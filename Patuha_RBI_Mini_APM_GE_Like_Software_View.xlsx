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00_COVER_LOGIN" sheetId="1" r:id="rId1"/>
    <sheet name="00_USER_GUIDE_FLOW" sheetId="2" r:id="rId2"/>
    <sheet name="00_INPUT_CONTROL_PANEL" sheetId="3" r:id="rId3"/>
    <sheet name="00_DASHBOARD" sheetId="4" r:id="rId4"/>
    <sheet name="01_ASSET_INPUT_FULL" sheetId="5" r:id="rId5"/>
    <sheet name="02_ASSET_HIERARCHY_FULL" sheetId="6" r:id="rId6"/>
    <sheet name="03_ECA_FULL" sheetId="7" r:id="rId7"/>
    <sheet name="04_CORROSION_LOOP_MODEL" sheetId="8" r:id="rId8"/>
    <sheet name="05_DAMAGE_MECHANISM_MODEL" sheetId="9" r:id="rId9"/>
    <sheet name="06_POF_ENGINE" sheetId="10" r:id="rId10"/>
    <sheet name="07_COF_ENGINE" sheetId="11" r:id="rId11"/>
    <sheet name="08_GDE_RISK_ENGINE" sheetId="12" r:id="rId12"/>
    <sheet name="09_INSPECTION_STRATEGY" sheetId="13" r:id="rId13"/>
    <sheet name="10_L3_UPGRADE_INPUT" sheetId="14" r:id="rId14"/>
    <sheet name="11_ACTION_TRACKER" sheetId="15" r:id="rId15"/>
    <sheet name="12_MODEL_GUIDE" sheetId="16" r:id="rId16"/>
    <sheet name="13_SUMMARIES" sheetId="17" r:id="rId17"/>
    <sheet name="97_CONTROL_LISTS" sheetId="18" r:id="rId18"/>
    <sheet name="98_MACRO_SETUP_GUIDE" sheetId="19" r:id="rId19"/>
    <sheet name="99_VBA_CODE_IMPORT" sheetId="20" r:id="rId20"/>
    <sheet name="15_RISK_MATRIX_LINK_DATA" sheetId="21" r:id="rId21"/>
    <sheet name="14_GDE_RISK_MATRIX_DASHBOARD" sheetId="22" r:id="rId22"/>
    <sheet name="16_RECONCILIATION_CHECK" sheetId="23" r:id="rId23"/>
    <sheet name="17_DASHBOARD_LINK_AUDIT" sheetId="24" r:id="rId24"/>
    <sheet name="99_USER_DB" sheetId="25" r:id="rId25"/>
    <sheet name="18_GB_CODE_MASTER" sheetId="26" r:id="rId26"/>
    <sheet name="21_CHANGE_LOG" sheetId="27" r:id="rId27"/>
    <sheet name="00_GE_SOFTWARE_VIEW" sheetId="28" r:id="rId28"/>
    <sheet name="22_GE_REPORTING_VIEW" sheetId="29" r:id="rId29"/>
    <sheet name="23_GE_INSPECTION_PLAN_VIEW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ChatGPT</author>
  </authors>
  <commentList>
    <comment ref="G18" authorId="0">
      <text>
        <r>
          <rPr>
            <sz val="10"/>
            <rFont val="SimSun"/>
            <charset val="134"/>
          </rPr>
          <t>Assign macro: LoginSystem</t>
        </r>
      </text>
    </comment>
    <comment ref="J18" authorId="0">
      <text>
        <r>
          <rPr>
            <sz val="10"/>
            <rFont val="SimSun"/>
            <charset val="134"/>
          </rPr>
          <t>Assign macro: ClearLoginForm</t>
        </r>
      </text>
    </comment>
  </commentList>
</comments>
</file>

<file path=xl/comments2.xml><?xml version="1.0" encoding="utf-8"?>
<comments xmlns="http://schemas.openxmlformats.org/spreadsheetml/2006/main">
  <authors>
    <author>ChatGPT</author>
  </authors>
  <commentList>
    <comment ref="C5" authorId="0">
      <text>
        <r>
          <rPr>
            <sz val="10"/>
            <rFont val="SimSun"/>
            <charset val="134"/>
          </rPr>
          <t>Required unique tag. Example: P2LBA11 BR001</t>
        </r>
      </text>
    </comment>
    <comment ref="C6" authorId="0">
      <text>
        <r>
          <rPr>
            <sz val="10"/>
            <rFont val="SimSun"/>
            <charset val="134"/>
          </rPr>
          <t>Piping / Equipment</t>
        </r>
      </text>
    </comment>
    <comment ref="C7" authorId="0">
      <text>
        <r>
          <rPr>
            <sz val="10"/>
            <rFont val="SimSun"/>
            <charset val="134"/>
          </rPr>
          <t>SAGS / Power Block / BOP/Utility</t>
        </r>
      </text>
    </comment>
    <comment ref="C8" authorId="0">
      <text>
        <r>
          <rPr>
            <sz val="10"/>
            <rFont val="SimSun"/>
            <charset val="134"/>
          </rPr>
          <t>Example: LBA, MAJ, PAB</t>
        </r>
      </text>
    </comment>
    <comment ref="C9" authorId="0">
      <text>
        <r>
          <rPr>
            <sz val="10"/>
            <rFont val="SimSun"/>
            <charset val="134"/>
          </rPr>
          <t>Steam, NCG, Cooling Water, etc.</t>
        </r>
      </text>
    </comment>
    <comment ref="C10" authorId="0">
      <text>
        <r>
          <rPr>
            <sz val="10"/>
            <rFont val="SimSun"/>
            <charset val="134"/>
          </rPr>
          <t>V, L, LG</t>
        </r>
      </text>
    </comment>
    <comment ref="C11" authorId="0">
      <text>
        <r>
          <rPr>
            <sz val="10"/>
            <rFont val="SimSun"/>
            <charset val="134"/>
          </rPr>
          <t>CS, SS316L, FRP, etc.</t>
        </r>
      </text>
    </comment>
    <comment ref="C12" authorId="0">
      <text>
        <r>
          <rPr>
            <sz val="10"/>
            <rFont val="SimSun"/>
            <charset val="134"/>
          </rPr>
          <t>Required for piping; optional for equipment</t>
        </r>
      </text>
    </comment>
    <comment ref="C13" authorId="0">
      <text>
        <r>
          <rPr>
            <sz val="10"/>
            <rFont val="SimSun"/>
            <charset val="134"/>
          </rPr>
          <t>YES/NO; important for CUI</t>
        </r>
      </text>
    </comment>
    <comment ref="C14" authorId="0">
      <text>
        <r>
          <rPr>
            <sz val="10"/>
            <rFont val="SimSun"/>
            <charset val="134"/>
          </rPr>
          <t>YES/NO; can push CoF/ECA higher</t>
        </r>
      </text>
    </comment>
    <comment ref="C15" authorId="0">
      <text>
        <r>
          <rPr>
            <sz val="10"/>
            <rFont val="SimSun"/>
            <charset val="134"/>
          </rPr>
          <t>Optional but recommended</t>
        </r>
      </text>
    </comment>
    <comment ref="C16" authorId="0">
      <text>
        <r>
          <rPr>
            <sz val="10"/>
            <rFont val="SimSun"/>
            <charset val="134"/>
          </rPr>
          <t>Free text</t>
        </r>
      </text>
    </comment>
    <comment ref="B33" authorId="0">
      <text>
        <r>
          <rPr>
            <sz val="10"/>
            <rFont val="SimSun"/>
            <charset val="134"/>
          </rPr>
          <t>Run macro: AddAssetToDatabase</t>
        </r>
      </text>
    </comment>
    <comment ref="E33" authorId="0">
      <text>
        <r>
          <rPr>
            <sz val="10"/>
            <rFont val="SimSun"/>
            <charset val="134"/>
          </rPr>
          <t>Run macro: ClearInputForm</t>
        </r>
      </text>
    </comment>
    <comment ref="G33" authorId="0">
      <text>
        <r>
          <rPr>
            <sz val="10"/>
            <rFont val="SimSun"/>
            <charset val="134"/>
          </rPr>
          <t>No database update; review live preview only</t>
        </r>
      </text>
    </comment>
    <comment ref="C41" authorId="0">
      <text>
        <r>
          <rPr>
            <sz val="10"/>
            <rFont val="SimSun"/>
            <charset val="134"/>
          </rPr>
          <t>Nominal/design wall thickness from line list or datasheet.</t>
        </r>
      </text>
    </comment>
    <comment ref="C42" authorId="0">
      <text>
        <r>
          <rPr>
            <sz val="10"/>
            <rFont val="SimSun"/>
            <charset val="134"/>
          </rPr>
          <t>Baseline thickness at first inspection/commissioning.</t>
        </r>
      </text>
    </comment>
    <comment ref="C43" authorId="0">
      <text>
        <r>
          <rPr>
            <sz val="10"/>
            <rFont val="SimSun"/>
            <charset val="134"/>
          </rPr>
          <t>Latest actual measured thickness.</t>
        </r>
      </text>
    </comment>
    <comment ref="C44" authorId="0">
      <text>
        <r>
          <rPr>
            <sz val="10"/>
            <rFont val="SimSun"/>
            <charset val="134"/>
          </rPr>
          <t>Minimum required thickness from code/design calculation.</t>
        </r>
      </text>
    </comment>
    <comment ref="C45" authorId="0">
      <text>
        <r>
          <rPr>
            <sz val="10"/>
            <rFont val="SimSun"/>
            <charset val="134"/>
          </rPr>
          <t>Previous inspection thickness. Can be same as t_initial for first update.</t>
        </r>
      </text>
    </comment>
    <comment ref="C46" authorId="0">
      <text>
        <r>
          <rPr>
            <sz val="10"/>
            <rFont val="SimSun"/>
            <charset val="134"/>
          </rPr>
          <t>Latest inspection date.</t>
        </r>
      </text>
    </comment>
    <comment ref="C47" authorId="0">
      <text>
        <r>
          <rPr>
            <sz val="10"/>
            <rFont val="SimSun"/>
            <charset val="134"/>
          </rPr>
          <t>Previous/baseline inspection date.</t>
        </r>
      </text>
    </comment>
  </commentList>
</comments>
</file>

<file path=xl/sharedStrings.xml><?xml version="1.0" encoding="utf-8"?>
<sst xmlns="http://schemas.openxmlformats.org/spreadsheetml/2006/main" count="35526" uniqueCount="1574">
  <si>
    <t>SRIYANTO RBI MINI APM SYSTEM</t>
  </si>
  <si>
    <t>Patuha Unit-2  |  Secure Access Gateway</t>
  </si>
  <si>
    <t>RBI
MINI APM</t>
  </si>
  <si>
    <t>LOGIN ACCESS</t>
  </si>
  <si>
    <t>Enter credentials to unlock the RBI model environment.</t>
  </si>
  <si>
    <t>Risk Based Inspection • Asset Integrity
Corrosion Loop • Risk Matrix • L3 Readiness</t>
  </si>
  <si>
    <t>Username</t>
  </si>
  <si>
    <t>admin</t>
  </si>
  <si>
    <t>Password</t>
  </si>
  <si>
    <t>1234</t>
  </si>
  <si>
    <t>GDE Matrix</t>
  </si>
  <si>
    <t>P&amp;ID Alignment</t>
  </si>
  <si>
    <t>LOGIN</t>
  </si>
  <si>
    <t>CLEAR</t>
  </si>
  <si>
    <t>ECA Gate</t>
  </si>
  <si>
    <t>L3 Thickness</t>
  </si>
  <si>
    <t>Status: Not logged in</t>
  </si>
  <si>
    <t>Developed by Adam
SRIYANTO RBI System</t>
  </si>
  <si>
    <t>Default test access: admin / 1234  |  Save as .xlsm and import VBA</t>
  </si>
  <si>
    <t>© SRIYANTO RBI Mini APM System  •  Confidential – Internal Use</t>
  </si>
  <si>
    <t>RBI MINI APM SYSTEM – USER FLOW GUIDE</t>
  </si>
  <si>
    <t>Quick operating guide for controlled data input, automated RBI preview, risk matrix update, reconciliation, and optional L3 thickness update.</t>
  </si>
  <si>
    <t>MAIN OPERATION FLOW</t>
  </si>
  <si>
    <t>QUICK CHECKLIST</t>
  </si>
  <si>
    <t>START
Open workbook and check dashboard status</t>
  </si>
  <si>
    <t>Before using macro
Save as .xlsm
Enable Content
Import .bas macro</t>
  </si>
  <si>
    <t>↓</t>
  </si>
  <si>
    <t>1. INPUT ASSET
Use 00_INPUT_CONTROL_PANEL
Do not type directly into database</t>
  </si>
  <si>
    <t>Before ADD ASSET
Validation = OK
Duplicate = NO
Risk preview reviewed</t>
  </si>
  <si>
    <t>2. AUTO ENGINE PREVIEW
Corrosion Loop
Damage Mechanism
PoF / CoF
Risk / ECA / Scope</t>
  </si>
  <si>
    <t>After ADD ASSET
Asset appears in database
Risk engine updated
Inspection strategy updated</t>
  </si>
  <si>
    <t>3. VALIDATION CHECK
Missing data
Duplicate tag
Logic consistency
CUI / material warnings</t>
  </si>
  <si>
    <t>Before reporting
Reconciliation = PASS
Coverage = 100%
Matrix counts match</t>
  </si>
  <si>
    <t>VALID?
If NOT valid → fix input
If valid → continue</t>
  </si>
  <si>
    <t>NO → Fix Input</t>
  </si>
  <si>
    <t>YES → Continue</t>
  </si>
  <si>
    <t>4. CLICK ADD ASSET
Run VBA macro after saving as .xlsm</t>
  </si>
  <si>
    <t>L3 use rule
Only input thickness when UT / baseline data exists
Do not force L3 for greenfield data</t>
  </si>
  <si>
    <t>5. DATABASE UPDATE
01_ASSET_INPUT_FULL
08_GDE_RISK_ENGINE
09_INSPECTION_STRATEGY
10_L3_UPGRADE_INPUT (if completed)</t>
  </si>
  <si>
    <t>IMPORTANT RULES</t>
  </si>
  <si>
    <t>1. Do NOT input directly to 01_ASSET_INPUT_FULL unless debugging.
2. Always check validation before using ADD ASSET.
3. Reconciliation PASS is mandatory before client presentation.
4. GDE-approved risk matrix/procedure remains final authority.
5. L3 thickness section is optional until UT data is available.</t>
  </si>
  <si>
    <t>6. RISK MATRIX UPDATE
14_GDE_RISK_MATRIX_DASHBOARD
Counts update from linked risk engine</t>
  </si>
  <si>
    <t>7. RECONCILIATION CHECK
16_RECONCILIATION_CHECK
Coverage must be 100%</t>
  </si>
  <si>
    <t>PASS?
If CHECK REQUIRED → debug first
If PASS → model is ready</t>
  </si>
  <si>
    <t>COLOR LEGEND</t>
  </si>
  <si>
    <t>Blue</t>
  </si>
  <si>
    <t>User Input / L3 Input</t>
  </si>
  <si>
    <t>Yellow</t>
  </si>
  <si>
    <t>Auto Engine / Risk Matrix</t>
  </si>
  <si>
    <t>8. OPTIONAL L3 THICKNESS
Input thickness only when UT data exists
Calculate CR / RL / L3 PoF</t>
  </si>
  <si>
    <t>Orange</t>
  </si>
  <si>
    <t>Validation / Caution</t>
  </si>
  <si>
    <t>Green</t>
  </si>
  <si>
    <t>OK / Action Complete</t>
  </si>
  <si>
    <t>Red</t>
  </si>
  <si>
    <t>Critical / Do Not Proceed</t>
  </si>
  <si>
    <t>Gray</t>
  </si>
  <si>
    <t>Start / End / Static Info</t>
  </si>
  <si>
    <t>END
Ready for review / meeting / report extraction</t>
  </si>
  <si>
    <t>NAVIGATION</t>
  </si>
  <si>
    <t>Input Control Panel</t>
  </si>
  <si>
    <t>Dashboard</t>
  </si>
  <si>
    <t>Risk Matrix Dashboard</t>
  </si>
  <si>
    <t>Reconciliation Check</t>
  </si>
  <si>
    <t>Asset Database</t>
  </si>
  <si>
    <t>Patuha Unit-2 RBI Mini APM System — Input Control Panel</t>
  </si>
  <si>
    <t>User Guide</t>
  </si>
  <si>
    <t>Controlled input → live RBI preview → validation → database update. Designed for GE-style / APM-style RBI workflow.</t>
  </si>
  <si>
    <t>INPUT FORM</t>
  </si>
  <si>
    <t>AUTO ENGINE — READ ONLY PREVIEW</t>
  </si>
  <si>
    <t>LIVE SUMMARY</t>
  </si>
  <si>
    <t>SAFE INPUT MODE — SAVE / SEARCH / UPDATE RULES</t>
  </si>
  <si>
    <t>Asset Tag</t>
  </si>
  <si>
    <t>P2LBA99 BR999</t>
  </si>
  <si>
    <t>Corrosion Loop ID</t>
  </si>
  <si>
    <t>Total Assets</t>
  </si>
  <si>
    <t>Asset Type</t>
  </si>
  <si>
    <t>Piping</t>
  </si>
  <si>
    <t>Dominant Damage Mechanism</t>
  </si>
  <si>
    <t>Piping Assets</t>
  </si>
  <si>
    <t>Command</t>
  </si>
  <si>
    <t>When to use</t>
  </si>
  <si>
    <t>Blocking Rule</t>
  </si>
  <si>
    <t>Database Impact</t>
  </si>
  <si>
    <t>System</t>
  </si>
  <si>
    <t>SAGS</t>
  </si>
  <si>
    <t>PoF Score</t>
  </si>
  <si>
    <t>Equipment Assets</t>
  </si>
  <si>
    <t>SEARCH / LOAD</t>
  </si>
  <si>
    <t>Asset Tag already exists and needs review/edit</t>
  </si>
  <si>
    <t>Asset Tag must exist</t>
  </si>
  <si>
    <t>Loads existing row into form; no database change</t>
  </si>
  <si>
    <t>Process Code</t>
  </si>
  <si>
    <t>LBA</t>
  </si>
  <si>
    <t>CoF Score</t>
  </si>
  <si>
    <t>Preview Risk</t>
  </si>
  <si>
    <t>SAVE NEW</t>
  </si>
  <si>
    <t>New asset only</t>
  </si>
  <si>
    <t>Reject if Asset Tag already exists</t>
  </si>
  <si>
    <t>Appends new row to 01_ASSET_INPUT_FULL</t>
  </si>
  <si>
    <t>Fluid / Service</t>
  </si>
  <si>
    <t>Steam</t>
  </si>
  <si>
    <t>Risk Level</t>
  </si>
  <si>
    <t>Preview ECA</t>
  </si>
  <si>
    <t>UPDATE EXISTING</t>
  </si>
  <si>
    <t>Edit loaded asset</t>
  </si>
  <si>
    <t>Requires SEARCH / LOAD first</t>
  </si>
  <si>
    <t>Updates only the matched row</t>
  </si>
  <si>
    <t>Phase</t>
  </si>
  <si>
    <t>LG</t>
  </si>
  <si>
    <t>ECA Category</t>
  </si>
  <si>
    <t>Preview Scope</t>
  </si>
  <si>
    <t>CLEAR FORM</t>
  </si>
  <si>
    <t>Reset input form</t>
  </si>
  <si>
    <t>None</t>
  </si>
  <si>
    <t>No database change</t>
  </si>
  <si>
    <t>Material</t>
  </si>
  <si>
    <t>CS</t>
  </si>
  <si>
    <t>Inspection Method</t>
  </si>
  <si>
    <t>CANCEL EDIT</t>
  </si>
  <si>
    <t>Exit edit mode</t>
  </si>
  <si>
    <t>Size (inch)</t>
  </si>
  <si>
    <t>Inspection Interval (yr)</t>
  </si>
  <si>
    <t>Is Insulated?</t>
  </si>
  <si>
    <t>YES</t>
  </si>
  <si>
    <t>RBI Scope</t>
  </si>
  <si>
    <t>Service Critical?</t>
  </si>
  <si>
    <t>Data Quality Score</t>
  </si>
  <si>
    <t>P&amp;ID Reference</t>
  </si>
  <si>
    <t>PTH2-PR-LBA-PID-IKT-50002</t>
  </si>
  <si>
    <t>Control Status</t>
  </si>
  <si>
    <t>Description / Notes</t>
  </si>
  <si>
    <t>New asset input preview</t>
  </si>
  <si>
    <t>VALIDATION PANEL</t>
  </si>
  <si>
    <t>DATA QUALITY</t>
  </si>
  <si>
    <t>Asset Tag filled</t>
  </si>
  <si>
    <t>Rule</t>
  </si>
  <si>
    <t>Live check</t>
  </si>
  <si>
    <t/>
  </si>
  <si>
    <t>Required fields filled</t>
  </si>
  <si>
    <t>Asset Tag unique</t>
  </si>
  <si>
    <t>Total required fields</t>
  </si>
  <si>
    <t>Asset Type valid</t>
  </si>
  <si>
    <t>Data Quality</t>
  </si>
  <si>
    <t>Fluid filled</t>
  </si>
  <si>
    <t>Duplicate Count</t>
  </si>
  <si>
    <t>Phase consistent</t>
  </si>
  <si>
    <t>Input Health</t>
  </si>
  <si>
    <t>Material/service consistency</t>
  </si>
  <si>
    <t>Insulation/CUI flag</t>
  </si>
  <si>
    <t>Ready to Add</t>
  </si>
  <si>
    <t>How to use:
1) Fill INPUT FORM.
2) Review AUTO ENGINE and VALIDATION PANEL.
3) If status is READY TO ADD, run ADD ASSET macro.
Professional rule:
Do not bypass validation. Any new asset should enter through this control panel.</t>
  </si>
  <si>
    <t>ACTION PANEL — SAFE DATABASE COMMANDS</t>
  </si>
  <si>
    <t>Database Target</t>
  </si>
  <si>
    <t>01_ASSET_INPUT_FULL</t>
  </si>
  <si>
    <t>Edit Mode Row</t>
  </si>
  <si>
    <t>Macro Status</t>
  </si>
  <si>
    <t>VBA-ready. Use SEARCH/LOAD before UPDATE. SAVE NEW appends a new row only.</t>
  </si>
  <si>
    <t>Loaded Asset Tag</t>
  </si>
  <si>
    <t>L3 THICKNESS / CORROSION RATE INPUT — OPTIONAL FUTURE QUANTITATIVE RBI</t>
  </si>
  <si>
    <t>L3 INPUT VALIDATION</t>
  </si>
  <si>
    <t>t_nominal (mm)</t>
  </si>
  <si>
    <t>CR_LT (mm/yr)</t>
  </si>
  <si>
    <t>Thickness complete</t>
  </si>
  <si>
    <t>t_initial (mm)</t>
  </si>
  <si>
    <t>CR_ST (mm/yr)</t>
  </si>
  <si>
    <t>Date complete</t>
  </si>
  <si>
    <t>t_actual (mm)</t>
  </si>
  <si>
    <t>Governing CR (mm/yr)</t>
  </si>
  <si>
    <t>Actual ≥ t_min</t>
  </si>
  <si>
    <t>t_min_required (mm)</t>
  </si>
  <si>
    <t>Remaining Life (yr)</t>
  </si>
  <si>
    <t>Date sequence</t>
  </si>
  <si>
    <t>t_previous (mm)</t>
  </si>
  <si>
    <t>L3 PoF Score</t>
  </si>
  <si>
    <t>CR valid</t>
  </si>
  <si>
    <t>Inspection Date</t>
  </si>
  <si>
    <t>L3 Risk Level</t>
  </si>
  <si>
    <t>Previous Inspection Date</t>
  </si>
  <si>
    <t>L3 Status</t>
  </si>
  <si>
    <t>Use this L3 section only when thickness data is available. For current greenfield/pre-baseline condition, keep L3 fields blank and use Level-2 RBI. After baseline UT, these inputs can drive corrosion rate, remaining life, and future Level-3 PoF update.</t>
  </si>
  <si>
    <t>RECONCILIATION</t>
  </si>
  <si>
    <t>Risk Engine</t>
  </si>
  <si>
    <t>Matrix Count</t>
  </si>
  <si>
    <t>Coverage</t>
  </si>
  <si>
    <t>Status</t>
  </si>
  <si>
    <t>RBI MINI APM SYSTEM | PATUHA UNIT-2</t>
  </si>
  <si>
    <t>Executive dashboard — linked KPI, risk distribution, model health, and GDE reference basis</t>
  </si>
  <si>
    <t>TOTAL ASSETS</t>
  </si>
  <si>
    <t>PIPING ASSETS</t>
  </si>
  <si>
    <t>EQUIPMENT ASSETS</t>
  </si>
  <si>
    <t>CORROSION LOOPS</t>
  </si>
  <si>
    <t>Risk Distribution</t>
  </si>
  <si>
    <t>Asset Split by System</t>
  </si>
  <si>
    <t>Model Health</t>
  </si>
  <si>
    <t>Count</t>
  </si>
  <si>
    <t>%</t>
  </si>
  <si>
    <t>Metric</t>
  </si>
  <si>
    <t>Value</t>
  </si>
  <si>
    <t>Extreme High</t>
  </si>
  <si>
    <t>High</t>
  </si>
  <si>
    <t>Power Block</t>
  </si>
  <si>
    <t>Medium</t>
  </si>
  <si>
    <t>BOP/Utility</t>
  </si>
  <si>
    <t>Low</t>
  </si>
  <si>
    <t>Equipment</t>
  </si>
  <si>
    <t>Top Risk Assets — current model output</t>
  </si>
  <si>
    <t>Type</t>
  </si>
  <si>
    <t>Process</t>
  </si>
  <si>
    <t>Fluid</t>
  </si>
  <si>
    <t>State</t>
  </si>
  <si>
    <t>Loop / Model</t>
  </si>
  <si>
    <t>PoF</t>
  </si>
  <si>
    <t>CoF</t>
  </si>
  <si>
    <t>Risk</t>
  </si>
  <si>
    <t>Interval</t>
  </si>
  <si>
    <t>Source Documents &amp; Basis</t>
  </si>
  <si>
    <t>Document</t>
  </si>
  <si>
    <t>Line List SAGS Area</t>
  </si>
  <si>
    <t>Line List Power Plant Area</t>
  </si>
  <si>
    <t>Equipment List</t>
  </si>
  <si>
    <t>01 Asset Input Full - Lines and Equipment</t>
  </si>
  <si>
    <t>Source Area</t>
  </si>
  <si>
    <t>Process Description</t>
  </si>
  <si>
    <t>KKS Level 2</t>
  </si>
  <si>
    <t>Description</t>
  </si>
  <si>
    <t>Equipment Class</t>
  </si>
  <si>
    <t>Main Size (inch)</t>
  </si>
  <si>
    <t>Material Family</t>
  </si>
  <si>
    <t>Schedule</t>
  </si>
  <si>
    <t>Rating</t>
  </si>
  <si>
    <t>Piping Spec</t>
  </si>
  <si>
    <t>Fluid State</t>
  </si>
  <si>
    <t>P&amp;ID</t>
  </si>
  <si>
    <t>Operating Pressure (barG)</t>
  </si>
  <si>
    <t>Operating Temperature (degC)</t>
  </si>
  <si>
    <t>P2LBA11 BR001</t>
  </si>
  <si>
    <t>Main Steam SAGS to Demister</t>
  </si>
  <si>
    <t>11</t>
  </si>
  <si>
    <t>12</t>
  </si>
  <si>
    <t>14.27</t>
  </si>
  <si>
    <t>300</t>
  </si>
  <si>
    <t>BSA6V</t>
  </si>
  <si>
    <t>IN</t>
  </si>
  <si>
    <t>P2LBA11 BR501</t>
  </si>
  <si>
    <t>STD</t>
  </si>
  <si>
    <t>PTH2-PR-LBA-PID-IKT-50001</t>
  </si>
  <si>
    <t>P2LBA11 BR011</t>
  </si>
  <si>
    <t>2</t>
  </si>
  <si>
    <t>S160</t>
  </si>
  <si>
    <t>P2LBA11 BR003</t>
  </si>
  <si>
    <t>14</t>
  </si>
  <si>
    <t>S40</t>
  </si>
  <si>
    <t>150</t>
  </si>
  <si>
    <t>ASA6V</t>
  </si>
  <si>
    <t>P2LBA11 BR010</t>
  </si>
  <si>
    <t>3</t>
  </si>
  <si>
    <t>XXS</t>
  </si>
  <si>
    <t>P2LBA11 BR301</t>
  </si>
  <si>
    <t>P2LBA12 BR001</t>
  </si>
  <si>
    <t>V</t>
  </si>
  <si>
    <t>P2LBA12 BR501</t>
  </si>
  <si>
    <t>P2LBA12 BR011</t>
  </si>
  <si>
    <t>P2LBA12 BR003</t>
  </si>
  <si>
    <t>P2LBA12 BR010</t>
  </si>
  <si>
    <t>P2LBA12 BR301</t>
  </si>
  <si>
    <t>P2LBA13 BR001</t>
  </si>
  <si>
    <t>13</t>
  </si>
  <si>
    <t>P2LBA13 BR501</t>
  </si>
  <si>
    <t>P2LBA13 BR011</t>
  </si>
  <si>
    <t>P2LBA13 BR003</t>
  </si>
  <si>
    <t>P2LBA13 BR010</t>
  </si>
  <si>
    <t>P2LBA13 BR301</t>
  </si>
  <si>
    <t>P2LBA10 BR002</t>
  </si>
  <si>
    <t>10</t>
  </si>
  <si>
    <t>20</t>
  </si>
  <si>
    <t>XS</t>
  </si>
  <si>
    <t>P2LBA14 BR001</t>
  </si>
  <si>
    <t>PTH2-PR-LBA-PID-IKT-50003</t>
  </si>
  <si>
    <t>P2LBA14 BR501</t>
  </si>
  <si>
    <t>P2LBA14 BR003</t>
  </si>
  <si>
    <t>P2LBA14 BR011</t>
  </si>
  <si>
    <t>P2LBA14 BR010</t>
  </si>
  <si>
    <t>P2LBA14 BR301</t>
  </si>
  <si>
    <t>P2LBA21 BR001</t>
  </si>
  <si>
    <t>21</t>
  </si>
  <si>
    <t>PTH2-PR-LBA-PID-IKT-50004</t>
  </si>
  <si>
    <t>P2LBA21 BR501</t>
  </si>
  <si>
    <t>P2LBA21 BR010</t>
  </si>
  <si>
    <t>P2LBA21 BR301</t>
  </si>
  <si>
    <t>P2LBA22 BR001</t>
  </si>
  <si>
    <t>22</t>
  </si>
  <si>
    <t>P2LBA22 BR501</t>
  </si>
  <si>
    <t>P2LBA22 BR011</t>
  </si>
  <si>
    <t>P2LBA22 BR010</t>
  </si>
  <si>
    <t>P2LBA22 BR301</t>
  </si>
  <si>
    <t>P2LBA25 BR001</t>
  </si>
  <si>
    <t>25</t>
  </si>
  <si>
    <t>PTH2-PR-LBA-PID-IKT-50005</t>
  </si>
  <si>
    <t>P2LBA25 BR501</t>
  </si>
  <si>
    <t>P2LBA25 BR003</t>
  </si>
  <si>
    <t>P2LBA25 BR011</t>
  </si>
  <si>
    <t>P2LBA25 BR010</t>
  </si>
  <si>
    <t>P2LBA25 BR301</t>
  </si>
  <si>
    <t>P2LBA26 BR001</t>
  </si>
  <si>
    <t>26</t>
  </si>
  <si>
    <t>P2LBA26 BR501</t>
  </si>
  <si>
    <t>P2LBA26 BR003</t>
  </si>
  <si>
    <t>P2LBA26 BR011</t>
  </si>
  <si>
    <t>P2LBA26 BR010</t>
  </si>
  <si>
    <t>P2LBA26 BR301</t>
  </si>
  <si>
    <t>P2LBA27 BR001</t>
  </si>
  <si>
    <t>27</t>
  </si>
  <si>
    <t>P2LBA27 BR501</t>
  </si>
  <si>
    <t>P2LBA27 BR011</t>
  </si>
  <si>
    <t>P2LBA27 BR010</t>
  </si>
  <si>
    <t>P2LBA27 BR301</t>
  </si>
  <si>
    <t>P2LBA28 BR001</t>
  </si>
  <si>
    <t>28</t>
  </si>
  <si>
    <t>PTH2-PR-LBA-PID-IKT-50006</t>
  </si>
  <si>
    <t>P2LBA28 BR501</t>
  </si>
  <si>
    <t>P2LBA28 BR011</t>
  </si>
  <si>
    <t>P2LBA28 BR010</t>
  </si>
  <si>
    <t>P2LBA28 BR301</t>
  </si>
  <si>
    <t>P2LBA29 BR001</t>
  </si>
  <si>
    <t>29</t>
  </si>
  <si>
    <t>P2LBA29 BR501</t>
  </si>
  <si>
    <t>P2LBA29 BR011</t>
  </si>
  <si>
    <t>P2LBA29 BR010</t>
  </si>
  <si>
    <t>P2LBA29 BR301</t>
  </si>
  <si>
    <t>P2LBA20 BR007</t>
  </si>
  <si>
    <t>38</t>
  </si>
  <si>
    <t>15.88</t>
  </si>
  <si>
    <t>PTH2-PR-LBA-PID-IKT-50007</t>
  </si>
  <si>
    <t>P2LCM01 BR010</t>
  </si>
  <si>
    <t>LCM</t>
  </si>
  <si>
    <t>01</t>
  </si>
  <si>
    <t>SCH80</t>
  </si>
  <si>
    <t>A1A3</t>
  </si>
  <si>
    <t>Condensate</t>
  </si>
  <si>
    <t>L</t>
  </si>
  <si>
    <t>OUT</t>
  </si>
  <si>
    <t>P2LCM01 BR009</t>
  </si>
  <si>
    <t>P2LBA10 BR591</t>
  </si>
  <si>
    <t>8</t>
  </si>
  <si>
    <t>8.74</t>
  </si>
  <si>
    <t>PTH2-PR-LBA-PID-IKT-50009</t>
  </si>
  <si>
    <t>P2LBA10 BR592</t>
  </si>
  <si>
    <t>P2LBA10 BR593</t>
  </si>
  <si>
    <t>P2LBA10 BR594</t>
  </si>
  <si>
    <t>P2LBA10 BR595</t>
  </si>
  <si>
    <t>P2LBF10 BR009</t>
  </si>
  <si>
    <t>LBF</t>
  </si>
  <si>
    <t>P2LBF10 BR010</t>
  </si>
  <si>
    <t>P2LBF10 BR011</t>
  </si>
  <si>
    <t>P2LBF10 BR012</t>
  </si>
  <si>
    <t>P2LBF10 BR013</t>
  </si>
  <si>
    <t>P2LBF10 BR008</t>
  </si>
  <si>
    <t>32</t>
  </si>
  <si>
    <t>P2LBA10 BR503</t>
  </si>
  <si>
    <t>40</t>
  </si>
  <si>
    <t>P2PAB08 BR005</t>
  </si>
  <si>
    <t>PAB</t>
  </si>
  <si>
    <t>Circulating Water / Blowdown</t>
  </si>
  <si>
    <t>08</t>
  </si>
  <si>
    <t>SS316/L</t>
  </si>
  <si>
    <t>SS316L</t>
  </si>
  <si>
    <t>SCH10S</t>
  </si>
  <si>
    <t>Cooling Water</t>
  </si>
  <si>
    <t>PTH2-PR-LBA-PID-IKT-50010</t>
  </si>
  <si>
    <t>P2PAB08 BR006</t>
  </si>
  <si>
    <t>P2PAB08 BR007</t>
  </si>
  <si>
    <t>P2PAB08 BR008</t>
  </si>
  <si>
    <t>P2LCM01 BR016</t>
  </si>
  <si>
    <t>P2LBF10 BR001</t>
  </si>
  <si>
    <t>PTH2-PR-LBF-PID-IKT-50008</t>
  </si>
  <si>
    <t>P2LBF10 BR002</t>
  </si>
  <si>
    <t>P2LBF10 BR014</t>
  </si>
  <si>
    <t>P2LBF10 BR003</t>
  </si>
  <si>
    <t>P2LBF10 BR004</t>
  </si>
  <si>
    <t>P2LBF10 BR015</t>
  </si>
  <si>
    <t>P2LBF10 BR005</t>
  </si>
  <si>
    <t>P2LBF10 BR006</t>
  </si>
  <si>
    <t>P2LBF10 BR016</t>
  </si>
  <si>
    <t>P2LBF10 BR401</t>
  </si>
  <si>
    <t>P2LBF10 BR402</t>
  </si>
  <si>
    <t>P2LBF10 BR403</t>
  </si>
  <si>
    <t>P2LBF10 BR405</t>
  </si>
  <si>
    <t>4</t>
  </si>
  <si>
    <t>P2LBA10 BR009</t>
  </si>
  <si>
    <t>PTH2-PR-LBA-PID-IKT-50011</t>
  </si>
  <si>
    <t>P2LCA10 BR017</t>
  </si>
  <si>
    <t>LCA</t>
  </si>
  <si>
    <t>Main Condensate Piping System</t>
  </si>
  <si>
    <t>SCH40</t>
  </si>
  <si>
    <t>PTH2-PR-LBJ-PID-IKT-50011</t>
  </si>
  <si>
    <t>P2LCA10 BR018</t>
  </si>
  <si>
    <t>P2LCA10 BR019</t>
  </si>
  <si>
    <t>P2LBG01 BR001</t>
  </si>
  <si>
    <t>Power Plant</t>
  </si>
  <si>
    <t>LBG</t>
  </si>
  <si>
    <t>Main/Aux/Gland Steam</t>
  </si>
  <si>
    <t>6</t>
  </si>
  <si>
    <t>PTH2-PR-PAC-PID-IKT-50012</t>
  </si>
  <si>
    <t>P2LBA09 BR004</t>
  </si>
  <si>
    <t>09</t>
  </si>
  <si>
    <t>14.27MM</t>
  </si>
  <si>
    <t>P2LBA09 BR005</t>
  </si>
  <si>
    <t>P2LBA09 BR006</t>
  </si>
  <si>
    <t>SCH160</t>
  </si>
  <si>
    <t>P2LBB05 BR001</t>
  </si>
  <si>
    <t>LBB</t>
  </si>
  <si>
    <t>Main Steam Demister to Strainer/Rock Muffler</t>
  </si>
  <si>
    <t>05</t>
  </si>
  <si>
    <t>A1L0</t>
  </si>
  <si>
    <t>Condensate Steam</t>
  </si>
  <si>
    <t>P2LBB04 BR001</t>
  </si>
  <si>
    <t>04</t>
  </si>
  <si>
    <t>P2LBB03 BR001</t>
  </si>
  <si>
    <t>03</t>
  </si>
  <si>
    <t>P2MAW01 BR001</t>
  </si>
  <si>
    <t>MAW</t>
  </si>
  <si>
    <t>Gland Steam</t>
  </si>
  <si>
    <t>A1L0V</t>
  </si>
  <si>
    <t>P2PAB01 BR002</t>
  </si>
  <si>
    <t>Spray Water</t>
  </si>
  <si>
    <t>P2MAW01 BR002</t>
  </si>
  <si>
    <t>P2MAW40 BR010</t>
  </si>
  <si>
    <t>AAX3</t>
  </si>
  <si>
    <t>P2LBG02 BR001</t>
  </si>
  <si>
    <t>02</t>
  </si>
  <si>
    <t>PTH2-PR-PAC-PID-IKT-50013</t>
  </si>
  <si>
    <t>P2LBG03 BR001</t>
  </si>
  <si>
    <t>P2LBG04 BR001</t>
  </si>
  <si>
    <t>P2MAJ06 BR001</t>
  </si>
  <si>
    <t>MAJ</t>
  </si>
  <si>
    <t>NCG</t>
  </si>
  <si>
    <t>06</t>
  </si>
  <si>
    <t>SCH10</t>
  </si>
  <si>
    <t>P2MAJ06 BR002</t>
  </si>
  <si>
    <t>24</t>
  </si>
  <si>
    <t>P2MAJ07 BR001</t>
  </si>
  <si>
    <t>07</t>
  </si>
  <si>
    <t>P2MAJ07 BR002</t>
  </si>
  <si>
    <t>P2MAJ08 BR001</t>
  </si>
  <si>
    <t>P2MAJ08 BR002</t>
  </si>
  <si>
    <t>P2MAJ09 BR001</t>
  </si>
  <si>
    <t>P2MAJ10 BR001</t>
  </si>
  <si>
    <t>P2PCB03 BR001</t>
  </si>
  <si>
    <t>PCB</t>
  </si>
  <si>
    <t>Auxiliary Cooling Tower</t>
  </si>
  <si>
    <t>P2MAJ11 BR004</t>
  </si>
  <si>
    <t>P2PCB01 BR002</t>
  </si>
  <si>
    <t>PTH2-PR-PAC-PID-IKT-50014</t>
  </si>
  <si>
    <t>P2PCB01 BR003</t>
  </si>
  <si>
    <t>P2MAJ10 BR002</t>
  </si>
  <si>
    <t>Air</t>
  </si>
  <si>
    <t>P2MAJ10 BR004</t>
  </si>
  <si>
    <t>P2MAJ11 BR001</t>
  </si>
  <si>
    <t>P2MAJ02 BR001</t>
  </si>
  <si>
    <t>16</t>
  </si>
  <si>
    <t>P2MAJ51 BR001</t>
  </si>
  <si>
    <t>51</t>
  </si>
  <si>
    <t>P2MAJ51 BR002</t>
  </si>
  <si>
    <t>P2MAJ51 BR003</t>
  </si>
  <si>
    <t>P2MAJ14 BR001</t>
  </si>
  <si>
    <t>P2MAJ03 BR001</t>
  </si>
  <si>
    <t>P2PCB02 BR002</t>
  </si>
  <si>
    <t>P2PCB02 BR003</t>
  </si>
  <si>
    <t>P2MAJ12 BR001</t>
  </si>
  <si>
    <t>P2MAJ13 BR001</t>
  </si>
  <si>
    <t>P2MAJ13 BR002</t>
  </si>
  <si>
    <t>P2MAJ13 BR003</t>
  </si>
  <si>
    <t>P2MAJ13 BR004</t>
  </si>
  <si>
    <t>P2MAJ52 BR001</t>
  </si>
  <si>
    <t>52</t>
  </si>
  <si>
    <t>P2MAJ52 BR002</t>
  </si>
  <si>
    <t>P2MAJ52 BR003</t>
  </si>
  <si>
    <t>P2MAJ04 BR001</t>
  </si>
  <si>
    <t>P2MAJ17 BR001</t>
  </si>
  <si>
    <t>17</t>
  </si>
  <si>
    <t>P2MAJ16 BR001</t>
  </si>
  <si>
    <t>P2PAD01 BR003</t>
  </si>
  <si>
    <t>PAD</t>
  </si>
  <si>
    <t>Cooling Tower Drain</t>
  </si>
  <si>
    <t>PTH2-PR-PAC-PID-IKT-50015</t>
  </si>
  <si>
    <t>P2PAD01 BR004</t>
  </si>
  <si>
    <t>P2MAG10 BR001</t>
  </si>
  <si>
    <t>MAG</t>
  </si>
  <si>
    <t>Condenser</t>
  </si>
  <si>
    <t>P2MAG10 BR002</t>
  </si>
  <si>
    <t>P2PAB02 BR001</t>
  </si>
  <si>
    <t>56</t>
  </si>
  <si>
    <t>15.88MM</t>
  </si>
  <si>
    <t>P2PAB03 BR001</t>
  </si>
  <si>
    <t>P2LBA03 BR001</t>
  </si>
  <si>
    <t>P2LBA03 BR002</t>
  </si>
  <si>
    <t>1</t>
  </si>
  <si>
    <t>P2PAB08 BR001</t>
  </si>
  <si>
    <t>44</t>
  </si>
  <si>
    <t>SCHXS</t>
  </si>
  <si>
    <t>PTH2-PR-PAC-PID-IKT-50016</t>
  </si>
  <si>
    <t>P2PAB04 BR001</t>
  </si>
  <si>
    <t>P2PAB11 BR001</t>
  </si>
  <si>
    <t>P2PAB11 BR002</t>
  </si>
  <si>
    <t>P2PAB11 BR003</t>
  </si>
  <si>
    <t>SCH40S</t>
  </si>
  <si>
    <t>P2PAB12 BR001</t>
  </si>
  <si>
    <t>P2PAB12 BR003</t>
  </si>
  <si>
    <t>P2PAB13 BR003</t>
  </si>
  <si>
    <t>P2PAB13 BR004</t>
  </si>
  <si>
    <t>P2PAB13 BR002</t>
  </si>
  <si>
    <t>P2PAB08 BR003</t>
  </si>
  <si>
    <t>Steam Wash</t>
  </si>
  <si>
    <t>P2PAB08 BR004</t>
  </si>
  <si>
    <t>P2PCB15 BR002</t>
  </si>
  <si>
    <t>15</t>
  </si>
  <si>
    <t>P2PAB02 BR002</t>
  </si>
  <si>
    <t>P2PAB09 BR001</t>
  </si>
  <si>
    <t>P2PAB09 BR002</t>
  </si>
  <si>
    <t>P2PAB05 BR001</t>
  </si>
  <si>
    <t>P2PAB07 BR001</t>
  </si>
  <si>
    <t>Vent</t>
  </si>
  <si>
    <t>P2PAB06 BR001</t>
  </si>
  <si>
    <t>P2PCB16 BR002</t>
  </si>
  <si>
    <t>P2PAB03 BR002</t>
  </si>
  <si>
    <t>P2MAJ14 BR003</t>
  </si>
  <si>
    <t>PTH2-PR-PAD-PID-IKT-50017</t>
  </si>
  <si>
    <t>P2MAJ14 BR004</t>
  </si>
  <si>
    <t>P2MAJ14 BR005</t>
  </si>
  <si>
    <t>P2MAJ14 BR006</t>
  </si>
  <si>
    <t>P2MAJ14 BR007</t>
  </si>
  <si>
    <t>P2MAJ14 BR008</t>
  </si>
  <si>
    <t>P2PAB10 BR002</t>
  </si>
  <si>
    <t>P2PAB10 BR003</t>
  </si>
  <si>
    <t>P2PAB10 BR004</t>
  </si>
  <si>
    <t>P2PAB10 BR005</t>
  </si>
  <si>
    <t>P2PAB10 BR006</t>
  </si>
  <si>
    <t>P2PAB10 BR007</t>
  </si>
  <si>
    <t>P2PAB10 BR008</t>
  </si>
  <si>
    <t>P2PAD03 BR004</t>
  </si>
  <si>
    <t>FRP</t>
  </si>
  <si>
    <t>(HOLD-3)</t>
  </si>
  <si>
    <t>PN10</t>
  </si>
  <si>
    <t>A120</t>
  </si>
  <si>
    <t>LIMITED</t>
  </si>
  <si>
    <t>P2PAD01 BR002</t>
  </si>
  <si>
    <t>P2PAD02 BR001</t>
  </si>
  <si>
    <t>P2PAD03 BR001</t>
  </si>
  <si>
    <t>P2PAD04 BR001</t>
  </si>
  <si>
    <t>P2PAD04 BR002</t>
  </si>
  <si>
    <t>P2SGA11 BR001</t>
  </si>
  <si>
    <t>SGA</t>
  </si>
  <si>
    <t>Fire Water System</t>
  </si>
  <si>
    <t>SCH30</t>
  </si>
  <si>
    <t>P2PAB11 BR006</t>
  </si>
  <si>
    <t>10S</t>
  </si>
  <si>
    <t>P2PAD02 BR003</t>
  </si>
  <si>
    <t>PTH2-PR-PAC-PID-IKT-50018</t>
  </si>
  <si>
    <t>P2PAE01 BR001</t>
  </si>
  <si>
    <t>PAE</t>
  </si>
  <si>
    <t>Cooling Tower Pump System</t>
  </si>
  <si>
    <t>P2PCB17 BR001</t>
  </si>
  <si>
    <t>P2PAE01 BR002</t>
  </si>
  <si>
    <t>P2PAD03 BR002</t>
  </si>
  <si>
    <t>P2PAD03 BR003</t>
  </si>
  <si>
    <t>P2PAD03 BR005</t>
  </si>
  <si>
    <t>P2PCB18 BR001</t>
  </si>
  <si>
    <t>18</t>
  </si>
  <si>
    <t>P2PAE01 BR005</t>
  </si>
  <si>
    <t>P2PCB16 BR001</t>
  </si>
  <si>
    <t>1.5</t>
  </si>
  <si>
    <t>Seal Water</t>
  </si>
  <si>
    <t>P2PCB15 BR003</t>
  </si>
  <si>
    <t>P2PCB16 BR003</t>
  </si>
  <si>
    <t>P2PCB04 BR001</t>
  </si>
  <si>
    <t>PTH2-PR-PAC-PID-IKT-50019</t>
  </si>
  <si>
    <t>P2PCB05 BR001</t>
  </si>
  <si>
    <t>P2PCB06 BR001</t>
  </si>
  <si>
    <t>P2PCB21 BR001</t>
  </si>
  <si>
    <t>P2PCB21 BR002</t>
  </si>
  <si>
    <t>P2PCB21 BR009</t>
  </si>
  <si>
    <t>P2PCB21 BR013</t>
  </si>
  <si>
    <t>P2PCB12 BR002</t>
  </si>
  <si>
    <t>P2PCB12 BR001</t>
  </si>
  <si>
    <t>P2PCB09 BR001</t>
  </si>
  <si>
    <t>P2PCB13 BR002</t>
  </si>
  <si>
    <t>P2PCB13 BR001</t>
  </si>
  <si>
    <t>P2PCB14 BR002</t>
  </si>
  <si>
    <t>P2PCB14 BR001</t>
  </si>
  <si>
    <t>P2PCB11 BR001</t>
  </si>
  <si>
    <t>P2PCB14 BR004</t>
  </si>
  <si>
    <t>P2PCB14 BR003</t>
  </si>
  <si>
    <t>P2PCB10 BR001</t>
  </si>
  <si>
    <t>P2PCB07 BR002</t>
  </si>
  <si>
    <t>P2PCB07 BR003</t>
  </si>
  <si>
    <t>P2PCB08 BR002</t>
  </si>
  <si>
    <t>P2PCB08 BR003</t>
  </si>
  <si>
    <t>P2PCB04 BR002</t>
  </si>
  <si>
    <t>P2PCB04 BR003</t>
  </si>
  <si>
    <t>P2PCB05 BR002</t>
  </si>
  <si>
    <t>P2PCB05 BR003</t>
  </si>
  <si>
    <t>P2PCB21 BR018</t>
  </si>
  <si>
    <t>PTH2-PR-QEA-PID-IKT-50019</t>
  </si>
  <si>
    <t>P2LCA01 BR007</t>
  </si>
  <si>
    <t>SCH20</t>
  </si>
  <si>
    <t>PTH2-PR-LCA-PID-IKT-50021</t>
  </si>
  <si>
    <t>P2LCA01 BR023</t>
  </si>
  <si>
    <t>P2LCA01 BR009</t>
  </si>
  <si>
    <t>P2LCA01 BR008</t>
  </si>
  <si>
    <t>P2LCA01 BR020</t>
  </si>
  <si>
    <t>P2LCA01 BR010</t>
  </si>
  <si>
    <t>P2LCA01 BR021</t>
  </si>
  <si>
    <t>P2LCA01 BR003</t>
  </si>
  <si>
    <t>P2PAB11 BR007</t>
  </si>
  <si>
    <t>P2LCA01 BR014</t>
  </si>
  <si>
    <t>PTH2-PR-LCA-PID-IKT-50022</t>
  </si>
  <si>
    <t>P2LCA01 BR012</t>
  </si>
  <si>
    <t>P2LCA01 BR015</t>
  </si>
  <si>
    <t>P2LCA01 BR018</t>
  </si>
  <si>
    <t>P2LCA01 BR019</t>
  </si>
  <si>
    <t>P2LCA01 BR013</t>
  </si>
  <si>
    <t>P2LCA01 BR016</t>
  </si>
  <si>
    <t>P2LCA01 BR017</t>
  </si>
  <si>
    <t>P2LCA01 BR029</t>
  </si>
  <si>
    <t>P2LCA01 BR030</t>
  </si>
  <si>
    <t>P2LCA01 BR025</t>
  </si>
  <si>
    <t>P2LCA01 BR026</t>
  </si>
  <si>
    <t>P2QEA01 BR001</t>
  </si>
  <si>
    <t>QEA</t>
  </si>
  <si>
    <t>Instrument Air / Utility Air</t>
  </si>
  <si>
    <t>SS304/L</t>
  </si>
  <si>
    <t>SS304L</t>
  </si>
  <si>
    <t>A1K0</t>
  </si>
  <si>
    <t>PTH2-PR-QEA-PID-IKT-50023</t>
  </si>
  <si>
    <t>P2QEA01 BR005</t>
  </si>
  <si>
    <t>P2QEA01 BR004</t>
  </si>
  <si>
    <t>P2QEA01 BR002</t>
  </si>
  <si>
    <t>P2QEA01 BR006</t>
  </si>
  <si>
    <t>P2QEA01 BR007</t>
  </si>
  <si>
    <t>P2QEB01 BR003</t>
  </si>
  <si>
    <t>QEB</t>
  </si>
  <si>
    <t>Central Compressed Air</t>
  </si>
  <si>
    <t>P2LCA01 BR027</t>
  </si>
  <si>
    <t>P2PCB21 BR005</t>
  </si>
  <si>
    <t>P2PCB21 BR008</t>
  </si>
  <si>
    <t>P2QEB01 BR008</t>
  </si>
  <si>
    <t>PTH2-PR-QEB-PID-IKT-50024</t>
  </si>
  <si>
    <t>P2QEB01 BR009</t>
  </si>
  <si>
    <t>P2QEB01 BR042</t>
  </si>
  <si>
    <t>P2QEB01 BR048</t>
  </si>
  <si>
    <t>P2QEB01 BR043</t>
  </si>
  <si>
    <t>P2QEB01 BR044</t>
  </si>
  <si>
    <t>P2QEB01 BR045</t>
  </si>
  <si>
    <t>P2QEB01 BR046</t>
  </si>
  <si>
    <t>P2QEB01 BR049</t>
  </si>
  <si>
    <t>P2QEB01 BR041</t>
  </si>
  <si>
    <t>P2QEB01 BR004</t>
  </si>
  <si>
    <t>P2QEB01 BR005</t>
  </si>
  <si>
    <t>P2QEB01 BR006</t>
  </si>
  <si>
    <t>P2QEB01 BR007</t>
  </si>
  <si>
    <t>P2QEB01 BR053</t>
  </si>
  <si>
    <t>P2QEB01 BR054</t>
  </si>
  <si>
    <t>P2QEB01 BR010</t>
  </si>
  <si>
    <t>P2QEB01 BR011</t>
  </si>
  <si>
    <t>P2QEB01 BR012</t>
  </si>
  <si>
    <t>P2QEB01 BR013</t>
  </si>
  <si>
    <t>P2QEB01 BR037</t>
  </si>
  <si>
    <t>P2QEB01 BR040</t>
  </si>
  <si>
    <t>P2QEB01 BR014</t>
  </si>
  <si>
    <t>P2QEB01 BR015</t>
  </si>
  <si>
    <t>P2QEB01 BR016</t>
  </si>
  <si>
    <t>P2QEB01 BR018</t>
  </si>
  <si>
    <t>P2QEB01 BR019</t>
  </si>
  <si>
    <t>P2QEB01 BR020</t>
  </si>
  <si>
    <t>P2QEB01 BR022</t>
  </si>
  <si>
    <t>P2QEB01 BR023</t>
  </si>
  <si>
    <t>P2QEB01 BR036</t>
  </si>
  <si>
    <t>P2QEB01 BR034</t>
  </si>
  <si>
    <t>P2QEB01 BR038</t>
  </si>
  <si>
    <t>P2QEB01 BR039</t>
  </si>
  <si>
    <t>P2QEB01 BR024</t>
  </si>
  <si>
    <t>P2QEB01 BR025</t>
  </si>
  <si>
    <t>P2QEB01 BR026</t>
  </si>
  <si>
    <t>P2QEB01 BR027</t>
  </si>
  <si>
    <t>P2QEB01 BR028</t>
  </si>
  <si>
    <t>P2QEB01 BR029</t>
  </si>
  <si>
    <t>P2QEB01 BR030</t>
  </si>
  <si>
    <t>P2QEB01 BR031</t>
  </si>
  <si>
    <t>P2QEB01 BR032</t>
  </si>
  <si>
    <t>P2QEB01 BR033</t>
  </si>
  <si>
    <t>P2QCB01 BR001</t>
  </si>
  <si>
    <t>QCB</t>
  </si>
  <si>
    <t>Chemical Dosing - Sulphur Dispersant/Biocide</t>
  </si>
  <si>
    <t>0.75</t>
  </si>
  <si>
    <t>PTH2-PR-QCB-PID-IKT-50025</t>
  </si>
  <si>
    <t>P2QCH01 BR013</t>
  </si>
  <si>
    <t>QCH</t>
  </si>
  <si>
    <t>Sodium Hydroxide Supply and Distribution</t>
  </si>
  <si>
    <t>PTH2-PR-QCH-PID-IKT-50027</t>
  </si>
  <si>
    <t>P2QCH01 BR012</t>
  </si>
  <si>
    <t>P2QCH01 BR007</t>
  </si>
  <si>
    <t>P2QCH02 BR001</t>
  </si>
  <si>
    <t>P2QCH01 BR002</t>
  </si>
  <si>
    <t>P2QCH02 BR002</t>
  </si>
  <si>
    <t>P2QCH01 BR010</t>
  </si>
  <si>
    <t>P2QCH01 BR014</t>
  </si>
  <si>
    <t>PTH2-PR-QCH-PID-IKT-50028</t>
  </si>
  <si>
    <t>P2QCH01 BR003</t>
  </si>
  <si>
    <t>P2QCH01 BR004</t>
  </si>
  <si>
    <t>P2PCC04 BR001</t>
  </si>
  <si>
    <t>PCC</t>
  </si>
  <si>
    <t>Pump System / Plant Water</t>
  </si>
  <si>
    <t>PTH2-PR-PCC-PID-IKT-50029</t>
  </si>
  <si>
    <t>P2PCC04 BR002</t>
  </si>
  <si>
    <t>P2PCC04 BR003</t>
  </si>
  <si>
    <t>P2PCC04 BR004</t>
  </si>
  <si>
    <t>P2PCC04 BR005</t>
  </si>
  <si>
    <t>P2PCC04 BR010</t>
  </si>
  <si>
    <t>P2PCC04 BR020</t>
  </si>
  <si>
    <t>P2PCC04 BR011</t>
  </si>
  <si>
    <t>P2PCC04 BR016</t>
  </si>
  <si>
    <t>P2PCC04 BR018</t>
  </si>
  <si>
    <t>P2BRV01 BR002</t>
  </si>
  <si>
    <t>BRV</t>
  </si>
  <si>
    <t>SCH80S</t>
  </si>
  <si>
    <t>PTH2-PR-EGX-PID-IKT-50030</t>
  </si>
  <si>
    <t>P2BRV01 BR004</t>
  </si>
  <si>
    <t>P2BRV01 BR005</t>
  </si>
  <si>
    <t>P2GCB01 BR006</t>
  </si>
  <si>
    <t>GCB</t>
  </si>
  <si>
    <t>PTH2-PR-EGR-PID-IKT-50031</t>
  </si>
  <si>
    <t>P2GCB01 BR003</t>
  </si>
  <si>
    <t>P2GCB01 BR001</t>
  </si>
  <si>
    <t>P2GCB01 BR007</t>
  </si>
  <si>
    <t>P2QEA01 BR003</t>
  </si>
  <si>
    <t>PTH2-PR-QEB-PID-IKT-50032</t>
  </si>
  <si>
    <t>P2QEA01 BR009</t>
  </si>
  <si>
    <t>P2QEA01 BR010</t>
  </si>
  <si>
    <t>P2QEB01 BR002</t>
  </si>
  <si>
    <t>P2LCA01 BR028</t>
  </si>
  <si>
    <t>P2QEA01 BR008</t>
  </si>
  <si>
    <t>P2PCB21 BR012</t>
  </si>
  <si>
    <t>PTH2LBF02 BS001</t>
  </si>
  <si>
    <t>Rock Muffler at Wellpad-9</t>
  </si>
  <si>
    <t>Civil/Static</t>
  </si>
  <si>
    <t>CARBON STEEL</t>
  </si>
  <si>
    <t>PTH2LBF01 BS001</t>
  </si>
  <si>
    <t>/</t>
  </si>
  <si>
    <t>PTH2LBF01 BS002</t>
  </si>
  <si>
    <t>PTH2LBF01 BS003</t>
  </si>
  <si>
    <t>PTH2LBF01 BS004</t>
  </si>
  <si>
    <t>Rock Muffler A/B/C/D</t>
  </si>
  <si>
    <t>PTH2LBJ01 BB001</t>
  </si>
  <si>
    <t>LBJ</t>
  </si>
  <si>
    <t>Steam Scrubber</t>
  </si>
  <si>
    <t>Static Equipment</t>
  </si>
  <si>
    <t>PTH2MKA10 AC010</t>
  </si>
  <si>
    <t>MKA</t>
  </si>
  <si>
    <t>PTH2MKA10 AC020</t>
  </si>
  <si>
    <t>Generator Air Cooler A/B</t>
  </si>
  <si>
    <t>PTH2MAV11 AC010</t>
  </si>
  <si>
    <t>MAV</t>
  </si>
  <si>
    <t>PTH2MAV12 AC010</t>
  </si>
  <si>
    <t>Main Oil Cooler A/B</t>
  </si>
  <si>
    <t>PTH2MAV10 BB010</t>
  </si>
  <si>
    <t>Main Oil Tank</t>
  </si>
  <si>
    <t>PTH2-PR-MAV-PID-IKT-50540</t>
  </si>
  <si>
    <t>PTH2MAV50 AN001</t>
  </si>
  <si>
    <t>Main Oil Tank Vapour Extractor</t>
  </si>
  <si>
    <t>PTH2MAV50 AT001</t>
  </si>
  <si>
    <t>Oil Mist Eliminator</t>
  </si>
  <si>
    <t>PTH2MAV60 AT010</t>
  </si>
  <si>
    <t>Lube Oil Purifier</t>
  </si>
  <si>
    <t>PTH2MAV60 AP001</t>
  </si>
  <si>
    <t>Lube Oil Purifier Filter Pump</t>
  </si>
  <si>
    <t>Rotating/Package</t>
  </si>
  <si>
    <t>PTH2MAV60 AT001</t>
  </si>
  <si>
    <t>Lube Oil Purifier Strainer</t>
  </si>
  <si>
    <t>PTH2GCB01 BB001</t>
  </si>
  <si>
    <t>Dirty Oil Tank</t>
  </si>
  <si>
    <t>PTH2GCB01 AP001</t>
  </si>
  <si>
    <t>Oil Transfer Discharge Pump</t>
  </si>
  <si>
    <t>PTH2MAJ11 BN010</t>
  </si>
  <si>
    <t>PTH2MAJ12 BN010</t>
  </si>
  <si>
    <t>PTH2MAJ13 BN010</t>
  </si>
  <si>
    <t>1st Stage 50% Steam Air Ejector</t>
  </si>
  <si>
    <t>PTH2-PR-MAJ-PID-IKT-50013</t>
  </si>
  <si>
    <t>PTH2MAJ21 AC010</t>
  </si>
  <si>
    <t>1St Stage 150% Inter Condenser</t>
  </si>
  <si>
    <t>PTH2MAJ51 AP001</t>
  </si>
  <si>
    <t>PTH2MAJ52 AP001</t>
  </si>
  <si>
    <t>2nd Stage 50% Liquid Ring Vacuum Pump</t>
  </si>
  <si>
    <t>PTH2-PR-MAJ-PID-IKT-50014</t>
  </si>
  <si>
    <t>PTH2MAJ51 AT001</t>
  </si>
  <si>
    <t>PTH2MAJ52 AT001</t>
  </si>
  <si>
    <t>2nd Stage 50% Seal Water Separator</t>
  </si>
  <si>
    <t>PTH2MAJ41 BN010</t>
  </si>
  <si>
    <t>2nd Stage 50% Back-up Steam Air Ejector</t>
  </si>
  <si>
    <t>PTH2MAJ42 AC010</t>
  </si>
  <si>
    <t>2nd Stage 50% Back-up After Condenser</t>
  </si>
  <si>
    <t>PTH2LCB01 AP001</t>
  </si>
  <si>
    <t>LCB</t>
  </si>
  <si>
    <t>PTH2LCB02 AP001</t>
  </si>
  <si>
    <t>Hot Well Pump A/B</t>
  </si>
  <si>
    <t>A-8</t>
  </si>
  <si>
    <t>PTH2PAE01 AP001</t>
  </si>
  <si>
    <t>PTH2PAE02 AP001</t>
  </si>
  <si>
    <t>Auxiliary Cooling Water Pump A/B</t>
  </si>
  <si>
    <t>PTH2PAD01 AH001</t>
  </si>
  <si>
    <t>Cooling Tower</t>
  </si>
  <si>
    <t>PTH2PAD01 BF001</t>
  </si>
  <si>
    <t>Cooling Tower Basin</t>
  </si>
  <si>
    <t>CONCRETE</t>
  </si>
  <si>
    <t>PTH2LCB01 AP002</t>
  </si>
  <si>
    <t>PTH2LCB02 AP002</t>
  </si>
  <si>
    <t>Turbine Steam Wash Pump A/B</t>
  </si>
  <si>
    <t>PTH2PAD01 AP001</t>
  </si>
  <si>
    <t>Cooling Tower Sump Pump</t>
  </si>
  <si>
    <t>PTH2QEA01 AN001</t>
  </si>
  <si>
    <t>PTH2QEA01 AN002</t>
  </si>
  <si>
    <t>Air Compressor Package A/B</t>
  </si>
  <si>
    <t>PTH2QEA01 BB001</t>
  </si>
  <si>
    <t>Instrument Air Receiver for PP</t>
  </si>
  <si>
    <t>PTH2QEB01 BB001</t>
  </si>
  <si>
    <t>Instrument Air Receiver for SAGS</t>
  </si>
  <si>
    <t>PTH2QEA01 AT001</t>
  </si>
  <si>
    <t>PTH2QEA01 AT002</t>
  </si>
  <si>
    <t>Instrument Air Dryer Package A/B</t>
  </si>
  <si>
    <t>PTH2QEA01 AN003</t>
  </si>
  <si>
    <t>Utility Air Compressor Package</t>
  </si>
  <si>
    <t>PTH2QEA01 BB002</t>
  </si>
  <si>
    <t>Utility Air Receiver</t>
  </si>
  <si>
    <t>PTH2BRV01 BB001</t>
  </si>
  <si>
    <t>EDG Fuel Oil Tank</t>
  </si>
  <si>
    <t>PTH2BRV01 AG001</t>
  </si>
  <si>
    <t>EDG Package</t>
  </si>
  <si>
    <t>PTH2QCB01 BB001</t>
  </si>
  <si>
    <t>Sulphur Disphersant Package</t>
  </si>
  <si>
    <t>PTH2QCB02 BB001</t>
  </si>
  <si>
    <t>Biocide Injection Package</t>
  </si>
  <si>
    <t>PTH2-PR-QCB-PID-IKT-50026</t>
  </si>
  <si>
    <t>PTH2QCH01 BB002</t>
  </si>
  <si>
    <t>Caustic Storage Tank</t>
  </si>
  <si>
    <t>PTH2QCH01 AP001</t>
  </si>
  <si>
    <t>PTH2QCH02 AP001</t>
  </si>
  <si>
    <t>Caustic Transfer Pump A/B</t>
  </si>
  <si>
    <t>PTH2QCH01 BB001</t>
  </si>
  <si>
    <t>Caustic Soda Package</t>
  </si>
  <si>
    <t>PTH2LCA01 BB002</t>
  </si>
  <si>
    <t>Atmospheric Flash Tank</t>
  </si>
  <si>
    <t>PTH2LCA01 AP001</t>
  </si>
  <si>
    <t>PTH2LCA02 AP001</t>
  </si>
  <si>
    <t>Pond Transfer Pump A/B</t>
  </si>
  <si>
    <t>PTH2PCC01 AP001</t>
  </si>
  <si>
    <t>PTH2PCC02 AP001</t>
  </si>
  <si>
    <t>Treated Water Pump A/B</t>
  </si>
  <si>
    <t>PTH2GRK01 BB001</t>
  </si>
  <si>
    <t>GRK</t>
  </si>
  <si>
    <t>Neutralization Pond</t>
  </si>
  <si>
    <t>PTH2GRK01 AP001</t>
  </si>
  <si>
    <t>Neutralization Pond Transfer Pump</t>
  </si>
  <si>
    <t>PTH2GRK02 BB001</t>
  </si>
  <si>
    <t>Oil Catcher</t>
  </si>
  <si>
    <t>PTH2GRK02 AP001</t>
  </si>
  <si>
    <t>Oil Catcher Sump Pump</t>
  </si>
  <si>
    <t>PTH2GRK01 BB002</t>
  </si>
  <si>
    <t>Oil Disposal Pit</t>
  </si>
  <si>
    <t>PTH2GRK02 AT001</t>
  </si>
  <si>
    <t>CPI Separator</t>
  </si>
  <si>
    <t>PTH2SGA14 AP002</t>
  </si>
  <si>
    <t>Electric Firewater Pump</t>
  </si>
  <si>
    <t>PTH2SGA13 AP001</t>
  </si>
  <si>
    <t>Jockey Pump</t>
  </si>
  <si>
    <t>PTH2SGA15 AP001</t>
  </si>
  <si>
    <t>Diesel Engine Fire Water Pump</t>
  </si>
  <si>
    <t>PTH2SGA15 BB001</t>
  </si>
  <si>
    <t>Diesel Fuel Tank</t>
  </si>
  <si>
    <t>02 Asset Hierarchy Full</t>
  </si>
  <si>
    <t>Plant</t>
  </si>
  <si>
    <t>Area</t>
  </si>
  <si>
    <t>Corrosion Loop / Equipment Model</t>
  </si>
  <si>
    <t>Patuha Unit-2</t>
  </si>
  <si>
    <t>CL-SAGS-LBA-STEAM-CS-LG-T3_150C_PLUS</t>
  </si>
  <si>
    <t>C1</t>
  </si>
  <si>
    <t>CL-SAGS-LBA-STEAM-CS-V-T3_150C_PLUS</t>
  </si>
  <si>
    <t>CL-SAGS-LCM-CONDENSATE-CS-L-T1_BELOW_80C</t>
  </si>
  <si>
    <t>C3</t>
  </si>
  <si>
    <t>CL-SAGS-LBA-STEAM-CS-V-T1_BELOW_80C</t>
  </si>
  <si>
    <t>CL-SAGS-LBF-STEAM-CS-V-T1_BELOW_80C</t>
  </si>
  <si>
    <t>CL-SAGS-LBF-STEAM-CS-V-T3_150C_PLUS</t>
  </si>
  <si>
    <t>CL-BOPUT-PAB-COOLINGWATER-SS316L-L-T1_BELOW_80C</t>
  </si>
  <si>
    <t>C2</t>
  </si>
  <si>
    <t>CL-SAGS-LBF-CONDENSATE-CS-L-T1_BELOW_80C</t>
  </si>
  <si>
    <t>CL-BOPUT-LCA-CONDENSATE-CS-L-T1_BELOW_80C</t>
  </si>
  <si>
    <t>CL-POWER-LBG-STEAM-CS-V-T1_BELOW_80C</t>
  </si>
  <si>
    <t>CL-SAGS-LBA-STEAM--V-T3_150C_PLUS</t>
  </si>
  <si>
    <t>CL-SAGS-LBB-CONDENSATESTEAM-SS316L-L-T0_UNKNOWN</t>
  </si>
  <si>
    <t>CL-POWER-MAW-GLANDSTEAM-SS316L-V-T2_80_150C</t>
  </si>
  <si>
    <t>CL-BOPUT-PAB-SPRAYWATER-SS316L-L-T0_UNKNOWN</t>
  </si>
  <si>
    <t>CL-POWER-MAW-GLANDSTEAM-SS316L-L-T1_BELOW_80C</t>
  </si>
  <si>
    <t>CL-POWER-MAW-CONDENSATESTEAM-CS-L-T1_BELOW_80C</t>
  </si>
  <si>
    <t>CL-POWER-LBG-STEAM-CS-V-T3_150C_PLUS</t>
  </si>
  <si>
    <t>CL-POWER-MAJ-NCG-SS316L-V-T0_UNKNOWN</t>
  </si>
  <si>
    <t>CL-POWER-MAJ-NCG-SS316L-V-T1_BELOW_80C</t>
  </si>
  <si>
    <t>CL-BOPUT-PCB-COOLINGWATER--L-T1_BELOW_80C</t>
  </si>
  <si>
    <t>CL-POWER-MAJ-COOLINGWATER--L-T1_BELOW_80C</t>
  </si>
  <si>
    <t>CL-POWER-MAJ-AIR-SS316L-V-T1_BELOW_80C</t>
  </si>
  <si>
    <t>CL-POWER-MAJ-STEAM-SS316L-V-T3_150C_PLUS</t>
  </si>
  <si>
    <t>CL-POWER-MAJ-COOLINGWATER-SS316L-L-T1_BELOW_80C</t>
  </si>
  <si>
    <t>CL-BOPUT-PAD-COOLINGWATER--L-T1_BELOW_80C</t>
  </si>
  <si>
    <t>CL-POWER-MAG-AIR-SS316L-V-T1_BELOW_80C</t>
  </si>
  <si>
    <t>CL-POWER-MAG-COOLINGWATER-SS316L-L-T1_BELOW_80C</t>
  </si>
  <si>
    <t>CL-SAGS-LBA-CONDENSATE-CS-L-T1_BELOW_80C</t>
  </si>
  <si>
    <t>CL-BOPUT-PAB-STEAMWASH-SS316L-L-T0_UNKNOWN</t>
  </si>
  <si>
    <t>CL-BOPUT-PAB-VENT-SS316L-V-T1_BELOW_80C</t>
  </si>
  <si>
    <t>CL-BOPUT-PAB-VENT-SS316L-V-T0_UNKNOWN</t>
  </si>
  <si>
    <t>CL-BOPUT-PAB-CONDENSATE--L-T1_BELOW_80C</t>
  </si>
  <si>
    <t>CL-BOPUT-PAD-CONDENSATE-FRP-L-T1_BELOW_80C</t>
  </si>
  <si>
    <t>CL-BOPUT-PAD-COOLINGWATER-FRP-L-T1_BELOW_80C</t>
  </si>
  <si>
    <t>CL-BOPUT-SGA-COOLINGWATER-CS-L-T1_BELOW_80C</t>
  </si>
  <si>
    <t>CL-BOPUT-PAB-CONDENSATE-SS316L-L-T1_BELOW_80C</t>
  </si>
  <si>
    <t>CL-BOPUT-PAD-COOLINGWATER-SS316L-L-T1_BELOW_80C</t>
  </si>
  <si>
    <t>CL-BOPUT-PAE-COOLINGWATER-SS316L-L-T1_BELOW_80C</t>
  </si>
  <si>
    <t>CL-BOPUT-PCB-COOLINGWATER-SS316L-L-T1_BELOW_80C</t>
  </si>
  <si>
    <t>CL-BOPUT-PCB-SEALWATER-SS316L-L-T1_BELOW_80C</t>
  </si>
  <si>
    <t>CL-BOPUT-PCB-COOLINGWATER-FRP-L-T1_BELOW_80C</t>
  </si>
  <si>
    <t>CL-BOPUT-LCA-CONDENSATE-SS316L-L-T1_BELOW_80C</t>
  </si>
  <si>
    <t>CL-BOPUT-LCA-CONDENSATE--L-T1_BELOW_80C</t>
  </si>
  <si>
    <t>CL-BOPUT-QEA-AIR-SS304L-V-T1_BELOW_80C</t>
  </si>
  <si>
    <t>CL-BOPUT-QEB-AIR-SS304L-V-T1_BELOW_80C</t>
  </si>
  <si>
    <t>CL-BOPUT-LCA-AIR-SS304L-V-T1_BELOW_80C</t>
  </si>
  <si>
    <t>CL-BOPUT-QCB--SS304L--T0_UNKNOWN</t>
  </si>
  <si>
    <t>CL-BOPUT-QCH--CS--T1_BELOW_80C</t>
  </si>
  <si>
    <t>CL-BOPUT-QCH--CS--T0_UNKNOWN</t>
  </si>
  <si>
    <t>CL-BOPUT-PCC--SS316L--T1_BELOW_80C</t>
  </si>
  <si>
    <t>CL-BOPUT-PCC--SS316L--T0_UNKNOWN</t>
  </si>
  <si>
    <t>CL-POWER-BRV--CS--T1_BELOW_80C</t>
  </si>
  <si>
    <t>CL-POWER-GCB--CS--T1_BELOW_80C</t>
  </si>
  <si>
    <t>CL-POWER-GCB-VENT-CS-V-T1_BELOW_80C</t>
  </si>
  <si>
    <t>CL-BOPUT-LCA--SS304L--T1_BELOW_80C</t>
  </si>
  <si>
    <t>CL-BOPUT-QEA--SS304L--T1_BELOW_80C</t>
  </si>
  <si>
    <t>EQ-SAGS-LBF-CIVILSTATIC</t>
  </si>
  <si>
    <t>EQ-SAGS-LBF-EQUIPMENT</t>
  </si>
  <si>
    <t>EQ-SAGS-LBJ-STATICEQUIPMENT</t>
  </si>
  <si>
    <t>EQ-POWER-MKA-EQUIPMENT</t>
  </si>
  <si>
    <t>EQ-POWER-MKA-STATICEQUIPMENT</t>
  </si>
  <si>
    <t>EQ-POWER-MAV-EQUIPMENT</t>
  </si>
  <si>
    <t>EQ-POWER-MAV-STATICEQUIPMENT</t>
  </si>
  <si>
    <t>EQ-POWER-MAV-ROTATINGPACKAGE</t>
  </si>
  <si>
    <t>EQ-EQUIP-GCB-STATICEQUIPMENT</t>
  </si>
  <si>
    <t>EQ-EQUIP-GCB-ROTATINGPACKAGE</t>
  </si>
  <si>
    <t>EQ-POWER-MAJ-EQUIPMENT</t>
  </si>
  <si>
    <t>EQ-POWER-MAJ-STATICEQUIPMENT</t>
  </si>
  <si>
    <t>EQ-POWER-MAJ-ROTATINGPACKAGE</t>
  </si>
  <si>
    <t>EQ-BOPUT-LCB-EQUIPMENT</t>
  </si>
  <si>
    <t>EQ-BOPUT-LCB-ROTATINGPACKAGE</t>
  </si>
  <si>
    <t>EQ-BOPUT-PAE-EQUIPMENT</t>
  </si>
  <si>
    <t>EQ-BOPUT-PAE-ROTATINGPACKAGE</t>
  </si>
  <si>
    <t>EQ-BOPUT-PAD-EQUIPMENT</t>
  </si>
  <si>
    <t>EQ-BOPUT-PAD-CIVILSTATIC</t>
  </si>
  <si>
    <t>EQ-POWER-LCB-ROTATINGPACKAGE</t>
  </si>
  <si>
    <t>EQ-BOPUT-PAD-ROTATINGPACKAGE</t>
  </si>
  <si>
    <t>EQ-BOPUT-QEA-EQUIPMENT</t>
  </si>
  <si>
    <t>EQ-BOPUT-QEA-ROTATINGPACKAGE</t>
  </si>
  <si>
    <t>EQ-BOPUT-QEA-STATICEQUIPMENT</t>
  </si>
  <si>
    <t>EQ-BOPUT-QEB-STATICEQUIPMENT</t>
  </si>
  <si>
    <t>EQ-BOPUT-BRV-STATICEQUIPMENT</t>
  </si>
  <si>
    <t>EQ-BOPUT-BRV-ROTATINGPACKAGE</t>
  </si>
  <si>
    <t>EQ-BOPUT-QCB-ROTATINGPACKAGE</t>
  </si>
  <si>
    <t>EQ-BOPUT-QCH-STATICEQUIPMENT</t>
  </si>
  <si>
    <t>EQ-BOPUT-QCH-EQUIPMENT</t>
  </si>
  <si>
    <t>EQ-BOPUT-QCH-ROTATINGPACKAGE</t>
  </si>
  <si>
    <t>EQ-BOPUT-LCA-STATICEQUIPMENT</t>
  </si>
  <si>
    <t>EQ-BOPUT-LCA-EQUIPMENT</t>
  </si>
  <si>
    <t>EQ-BOPUT-LCA-ROTATINGPACKAGE</t>
  </si>
  <si>
    <t>EQ-BOPUT-PCC-EQUIPMENT</t>
  </si>
  <si>
    <t>EQ-BOPUT-PCC-ROTATINGPACKAGE</t>
  </si>
  <si>
    <t>EQ-BOPUT-GRK-CIVILSTATIC</t>
  </si>
  <si>
    <t>EQ-BOPUT-GRK-ROTATINGPACKAGE</t>
  </si>
  <si>
    <t>EQ-BOPUT-GRK-EQUIPMENT</t>
  </si>
  <si>
    <t>EQ-BOPUT-GRK-STATICEQUIPMENT</t>
  </si>
  <si>
    <t>EQ-EQUIP-SGA-ROTATINGPACKAGE</t>
  </si>
  <si>
    <t>EQ-EQUIP-SGA-STATICEQUIPMENT</t>
  </si>
  <si>
    <t>03 ECA Full - Scope Gate</t>
  </si>
  <si>
    <t>Production Impact Score</t>
  </si>
  <si>
    <t>Safety/Environment Score</t>
  </si>
  <si>
    <t>Maintainability Score</t>
  </si>
  <si>
    <t>Final ECA Score</t>
  </si>
  <si>
    <t>ECA Basis</t>
  </si>
  <si>
    <t>C1/C2 included in RBI; C3 routine/non-assessed. Non-metallic piping set to LIMITED RBI.</t>
  </si>
  <si>
    <t>04 Corrosion Loop / Equipment Model</t>
  </si>
  <si>
    <t>Asset Count</t>
  </si>
  <si>
    <t>Asset Type Mix</t>
  </si>
  <si>
    <t>Dominant Damage Mechanisms</t>
  </si>
  <si>
    <t>Avg PoF</t>
  </si>
  <si>
    <t>Max CoF</t>
  </si>
  <si>
    <t>Max Risk Level</t>
  </si>
  <si>
    <t>Recommended Inspection Method</t>
  </si>
  <si>
    <t>Recommended Interval (yr)</t>
  </si>
  <si>
    <t>CO2 corrosion; Erosion-corrosion / FAC; CUI</t>
  </si>
  <si>
    <t>UT Scan + VT</t>
  </si>
  <si>
    <t>General external corrosion; CUI if insulated</t>
  </si>
  <si>
    <t>VT + UT thickness / component inspection</t>
  </si>
  <si>
    <t>CO2 condensate corrosion; Oxygen corrosion; MIC / under-deposit</t>
  </si>
  <si>
    <t>CUI; Atmospheric corrosion; Erosion (localized)</t>
  </si>
  <si>
    <t>VT + CUI screening</t>
  </si>
  <si>
    <t>Cooling water corrosion; MIC; Oxygen corrosion</t>
  </si>
  <si>
    <t>VT / Sampling</t>
  </si>
  <si>
    <t>H2S / sour corrosion; CLSCC (if chloride + SS); Atmospheric/CUI</t>
  </si>
  <si>
    <t>Non-metallic degradation / erosion; Joint/leakage; Fouling</t>
  </si>
  <si>
    <t>Package inspection / function test / VT</t>
  </si>
  <si>
    <t>Oxygen corrosion; MIC</t>
  </si>
  <si>
    <t>Mechanical integrity / support systems; External corrosion; Package-specific degradation</t>
  </si>
  <si>
    <t>Atmospheric corrosion; CUI if insulated</t>
  </si>
  <si>
    <t>05 Damage Mechanism Model</t>
  </si>
  <si>
    <t>Dominant DM</t>
  </si>
  <si>
    <t>PoF Driver</t>
  </si>
  <si>
    <t>Inspection Effectiveness Need</t>
  </si>
  <si>
    <t>Comment</t>
  </si>
  <si>
    <t>phase + material + fluid service + temperature band</t>
  </si>
  <si>
    <t>method must detect listed DM</t>
  </si>
  <si>
    <t>Preliminary DM; validate against P&amp;ID, chemistry and baseline inspection.</t>
  </si>
  <si>
    <t>06 PoF Engine - Preliminary Semi-Quantitative</t>
  </si>
  <si>
    <t>PoF Basis</t>
  </si>
  <si>
    <t>Rule-based preliminary score from DM susceptibility; replace with L3 calculation after UT/CR data.</t>
  </si>
  <si>
    <t>07 CoF Engine - GDE Style Multi-Parameter Placeholder</t>
  </si>
  <si>
    <t>Production</t>
  </si>
  <si>
    <t>Asset Damage</t>
  </si>
  <si>
    <t>Non-Productive Asset</t>
  </si>
  <si>
    <t>Safety</t>
  </si>
  <si>
    <t>Environment</t>
  </si>
  <si>
    <t>Reputation</t>
  </si>
  <si>
    <t>Final CoF</t>
  </si>
  <si>
    <t>CoF Basis</t>
  </si>
  <si>
    <t>Final CoF = MAX of six consequence parameters per GDE style.</t>
  </si>
  <si>
    <t>08 GDE Risk Engine</t>
  </si>
  <si>
    <t>Risk Basis</t>
  </si>
  <si>
    <t>GDE-style matrix from PoF=4 and CoF=5</t>
  </si>
  <si>
    <t>GDE-style matrix from PoF=2 and CoF=5</t>
  </si>
  <si>
    <t>GDE-style matrix from PoF=4 and CoF=2</t>
  </si>
  <si>
    <t>GDE-style matrix from PoF=2 and CoF=2</t>
  </si>
  <si>
    <t>GDE-style matrix from PoF=2 and CoF=3</t>
  </si>
  <si>
    <t>GDE-style matrix from PoF=2 and CoF=4</t>
  </si>
  <si>
    <t>GDE-style matrix from PoF=4 and CoF=4</t>
  </si>
  <si>
    <t>GDE-style matrix from PoF=1 and CoF=4</t>
  </si>
  <si>
    <t>GDE-style matrix from PoF=1 and CoF=3</t>
  </si>
  <si>
    <t>GDE-style matrix from PoF=3 and CoF=2</t>
  </si>
  <si>
    <t>GDE-style matrix from PoF=1 and CoF=2</t>
  </si>
  <si>
    <t>GDE-style matrix from PoF=3 and CoF=4</t>
  </si>
  <si>
    <t>GDE-style matrix from PoF=3 and CoF=5</t>
  </si>
  <si>
    <t>09 Inspection Strategy</t>
  </si>
  <si>
    <t>Confidence Level</t>
  </si>
  <si>
    <t>Interval (yr)</t>
  </si>
  <si>
    <t>Method</t>
  </si>
  <si>
    <t>TML / Focus Area</t>
  </si>
  <si>
    <t>Basis</t>
  </si>
  <si>
    <t>Bends, reducers, low points, drain/deadleg, nozzles, insulation damage area</t>
  </si>
  <si>
    <t>10 L3 Upgrade Input - Future Quantitative RBI</t>
  </si>
  <si>
    <t>Input actual thickness and dates after baseline inspection.</t>
  </si>
  <si>
    <t>11 Action Tracker / Data Gap Register</t>
  </si>
  <si>
    <t>No</t>
  </si>
  <si>
    <t>Action</t>
  </si>
  <si>
    <t>Owner</t>
  </si>
  <si>
    <t>Priority</t>
  </si>
  <si>
    <t>Validate auto-generated corrosion loops against P&amp;ID and process narrative</t>
  </si>
  <si>
    <t>RBI / Process / Corrosion Engineer</t>
  </si>
  <si>
    <t>Open</t>
  </si>
  <si>
    <t>Confirm whether &lt;2 inch piping is excluded or retained as small-bore critical piping</t>
  </si>
  <si>
    <t>Owner + RBI Team</t>
  </si>
  <si>
    <t>Confirm treatment of FRP/HDPE/non-metallic piping in RBI scope</t>
  </si>
  <si>
    <t>Confirm GDE risk matrix and confidence-level interval table in current approved procedure</t>
  </si>
  <si>
    <t>RBI Team</t>
  </si>
  <si>
    <t>Define baseline UT/TML plan for metallic C1/C2 circuits</t>
  </si>
  <si>
    <t>Inspection Engineer</t>
  </si>
  <si>
    <t>Collect chemistry data: CO2, H2S, pH, chloride, O2, TDS</t>
  </si>
  <si>
    <t>Process / Lab</t>
  </si>
  <si>
    <t>12 Model Guide and Limitations</t>
  </si>
  <si>
    <t>Purpose</t>
  </si>
  <si>
    <t>This workbook converts uploaded Patuha Unit-2 line list and equipment list into a GE-style RBI/APM workflow in Excel.</t>
  </si>
  <si>
    <t>Important limitation</t>
  </si>
  <si>
    <t>This is a preliminary semi-quantitative model. It is not GE software and is not a final API 581 quantitative calculation.</t>
  </si>
  <si>
    <t>Input basis</t>
  </si>
  <si>
    <t>Line and equipment data are parsed from uploaded PDF lists; OCR/layout extraction can require manual validation.</t>
  </si>
  <si>
    <t>RBI approach</t>
  </si>
  <si>
    <t>Piping is grouped by corrosion loop; equipment is grouped by equipment/component model.</t>
  </si>
  <si>
    <t>ECA role</t>
  </si>
  <si>
    <t>ECA acts as the RBI scope gate: C1 full RBI, C2 simplified/selective RBI, C3 routine/non-assessed unless owner requires.</t>
  </si>
  <si>
    <t>L3 upgrade</t>
  </si>
  <si>
    <t>Use the L3 sheet when baseline thickness, previous thickness, minimum required thickness, and inspection dates are available.</t>
  </si>
  <si>
    <t>13 Summaries</t>
  </si>
  <si>
    <t>RBI Treatment</t>
  </si>
  <si>
    <t>Full RBI</t>
  </si>
  <si>
    <t>Simplified/Selective RBI</t>
  </si>
  <si>
    <t>Routine / Non-assessed unless required</t>
  </si>
  <si>
    <t>Fluid/Service</t>
  </si>
  <si>
    <t>YES/NO</t>
  </si>
  <si>
    <t>NO</t>
  </si>
  <si>
    <t>Component</t>
  </si>
  <si>
    <t>Fire Water</t>
  </si>
  <si>
    <t>LCL</t>
  </si>
  <si>
    <t>HDPE</t>
  </si>
  <si>
    <t>LCT</t>
  </si>
  <si>
    <t>CS/GALV</t>
  </si>
  <si>
    <t>Chemical Injection</t>
  </si>
  <si>
    <t>MAC</t>
  </si>
  <si>
    <t>Concrete</t>
  </si>
  <si>
    <t>Instrument Air</t>
  </si>
  <si>
    <t>Other</t>
  </si>
  <si>
    <t>API5L GR.B</t>
  </si>
  <si>
    <t>Carbon Steel</t>
  </si>
  <si>
    <t>PAC</t>
  </si>
  <si>
    <t>Chemical</t>
  </si>
  <si>
    <t>Fuel Oil</t>
  </si>
  <si>
    <t>Lube Oil</t>
  </si>
  <si>
    <t>Utility Air</t>
  </si>
  <si>
    <t>GMC</t>
  </si>
  <si>
    <t>LBA10</t>
  </si>
  <si>
    <t>LBA13</t>
  </si>
  <si>
    <t>LBA14</t>
  </si>
  <si>
    <t>LBA20</t>
  </si>
  <si>
    <t>LBA21</t>
  </si>
  <si>
    <t>LBA22</t>
  </si>
  <si>
    <t>LBA25</t>
  </si>
  <si>
    <t>LBA26</t>
  </si>
  <si>
    <t>LBA27</t>
  </si>
  <si>
    <t>VBA Setup Guide — Mini APM Control Panel</t>
  </si>
  <si>
    <t>Step 1</t>
  </si>
  <si>
    <t>Save this workbook as Excel Macro-Enabled Workbook (*.xlsm).</t>
  </si>
  <si>
    <t>Step 2</t>
  </si>
  <si>
    <t>Open VBA editor using Alt + F11.</t>
  </si>
  <si>
    <t>Step 3</t>
  </si>
  <si>
    <t>File → Import File → select Patuha_RBI_Mini_APM_Smart_Macros.bas.</t>
  </si>
  <si>
    <t>Step 4</t>
  </si>
  <si>
    <t>Return to Excel. Right-click green ADD ASSET area → Assign Macro → AddAssetToDatabase.</t>
  </si>
  <si>
    <t>Step 5</t>
  </si>
  <si>
    <t>Right-click orange CLEAR FORM area → Assign Macro → ClearInputForm.</t>
  </si>
  <si>
    <t>Step 6</t>
  </si>
  <si>
    <t>Enable Content when reopening the .xlsm file.</t>
  </si>
  <si>
    <t>Important</t>
  </si>
  <si>
    <t>The workbook is delivered as .xlsx because macros cannot be embedded safely through this environment. VBA is provided separately as a .bas file.</t>
  </si>
  <si>
    <t>L3 Update</t>
  </si>
  <si>
    <t>The updated VBA macro can also append L3 thickness fields into 10_L3_UPGRADE_INPUT when the L3 input section is completed.</t>
  </si>
  <si>
    <t>Login System</t>
  </si>
  <si>
    <t>Save as .xlsm, import Patuha_RBI_Login_System_Macros.bas, assign LoginSystem to LOGIN button and ClearLoginForm to CLEAR button on 00_COVER_LOGIN.</t>
  </si>
  <si>
    <t>Full Software Login UI</t>
  </si>
  <si>
    <t>Username input cell: H13. Password input cell: H15. Status cell: G21. Assign LoginSystem to LOGIN and ClearLoginForm to CLEAR.</t>
  </si>
  <si>
    <t>Safe Input Commands</t>
  </si>
  <si>
    <t>Assign macros to Action Panel buttons:</t>
  </si>
  <si>
    <t>SearchLoadAsset</t>
  </si>
  <si>
    <t>SaveNewAsset</t>
  </si>
  <si>
    <t>UpdateExistingAsset</t>
  </si>
  <si>
    <t>ClearInputForm</t>
  </si>
  <si>
    <t>CancelEditMode</t>
  </si>
  <si>
    <t>Change Log</t>
  </si>
  <si>
    <t>21_CHANGE_LOG records ADD/UPDATE events.</t>
  </si>
  <si>
    <t>Copy/import the separate .bas file. Full VBA code is included there.</t>
  </si>
  <si>
    <t>Risk Matrix Link Data — linked from 08_GDE_RISK_ENGINE</t>
  </si>
  <si>
    <t>Use this sheet as the linked data source for current risk, plan date without inspection, and plan date with inspection.</t>
  </si>
  <si>
    <t>Current PoF</t>
  </si>
  <si>
    <t>Current CoF</t>
  </si>
  <si>
    <t>Current Risk</t>
  </si>
  <si>
    <t>PoF at Plan Date w/o Inspection</t>
  </si>
  <si>
    <t>PoF at Plan Date with Inspection</t>
  </si>
  <si>
    <t>Plan Risk w/o Inspection</t>
  </si>
  <si>
    <t>Plan Risk with Inspection</t>
  </si>
  <si>
    <t>GDE Risk Matrix Dashboard — Linked RBI Distribution</t>
  </si>
  <si>
    <t>Reference basis follows GDE-style PoF × CoF risk matrix logic. Counts are linked to 08_GDE_RISK_ENGINE via 15_RISK_MATRIX_LINK_DATA.</t>
  </si>
  <si>
    <t>Plan Assumptions</t>
  </si>
  <si>
    <t>Risk Matrix at RBI Date</t>
  </si>
  <si>
    <t>Risk Matrix at Plan Date w/o Inspection</t>
  </si>
  <si>
    <t>RBI Date</t>
  </si>
  <si>
    <t>Current</t>
  </si>
  <si>
    <t>Likelihood</t>
  </si>
  <si>
    <t>Consequence Category</t>
  </si>
  <si>
    <t>No Inspection PoF Increase</t>
  </si>
  <si>
    <t>Category</t>
  </si>
  <si>
    <t>A</t>
  </si>
  <si>
    <t>B</t>
  </si>
  <si>
    <t>C</t>
  </si>
  <si>
    <t>D</t>
  </si>
  <si>
    <t>E</t>
  </si>
  <si>
    <t>With Inspection PoF Reduction</t>
  </si>
  <si>
    <t>Risk Summary</t>
  </si>
  <si>
    <t>With Inspection</t>
  </si>
  <si>
    <t>Current Level-2 Risk Distribution</t>
  </si>
  <si>
    <t>Forward Risk if No Inspection Is Credited</t>
  </si>
  <si>
    <t>Risk Matrix at Plan Date with Inspection</t>
  </si>
  <si>
    <t>GDE-Style Target Risk Matrix</t>
  </si>
  <si>
    <t>Extreme</t>
  </si>
  <si>
    <t>Forward Risk with Inspection Effectiveness Credited</t>
  </si>
  <si>
    <t>Target matrix reference: use approved GDE procedure as final authority.</t>
  </si>
  <si>
    <t>Professional note: This matrix dashboard is linked to the RBI risk engine. The current matrix counts assets by current PoF/CoF. The plan-date matrices use controlled assumptions for no-inspection degradation and inspection effectiveness. Final colors, categories and interval rules must remain aligned with the approved GDE RBI procedure.</t>
  </si>
  <si>
    <t>RECONCILIATION STATUS</t>
  </si>
  <si>
    <t>Risk Engine Count</t>
  </si>
  <si>
    <t>Current Matrix Count</t>
  </si>
  <si>
    <t>Coverage %</t>
  </si>
  <si>
    <t>Overall Status</t>
  </si>
  <si>
    <t>RBI Model Reconciliation Check — Asset Count vs Risk Matrix Coverage</t>
  </si>
  <si>
    <t>Purpose: verify that total assets in database, risk engine, linked matrix data, and matrix dashboard are fully aligned before running VBA or presenting to client.</t>
  </si>
  <si>
    <t>1. HIGH-LEVEL RECONCILIATION</t>
  </si>
  <si>
    <t>Asset Input Count</t>
  </si>
  <si>
    <t>All asset tags in main database</t>
  </si>
  <si>
    <t>All asset tags in risk engine</t>
  </si>
  <si>
    <t>Matrix Link Data Count</t>
  </si>
  <si>
    <t>All asset tags available to matrix dashboard</t>
  </si>
  <si>
    <t>Sum of all cells in current RBI date matrix</t>
  </si>
  <si>
    <t>Plan Matrix w/o Inspection Count</t>
  </si>
  <si>
    <t>Sum of all cells in plan-date without inspection matrix</t>
  </si>
  <si>
    <t>Plan Matrix with Inspection Count</t>
  </si>
  <si>
    <t>Sum of all cells in plan-date with inspection matrix</t>
  </si>
  <si>
    <t>Coverage %: Current Matrix vs Risk Engine</t>
  </si>
  <si>
    <t>Must be 100%</t>
  </si>
  <si>
    <t>Coverage %: Link Data vs Risk Engine</t>
  </si>
  <si>
    <t>Overall Reconciliation Status</t>
  </si>
  <si>
    <t>PASS means all count layers match</t>
  </si>
  <si>
    <t>2. DATA QUALITY / MISSING RISK INPUT CHECK</t>
  </si>
  <si>
    <t>Blank PoF in Risk Engine</t>
  </si>
  <si>
    <t>Should be 0 for all active asset rows</t>
  </si>
  <si>
    <t>Blank CoF in Risk Engine</t>
  </si>
  <si>
    <t>Invalid PoF outside 1–5</t>
  </si>
  <si>
    <t>Should be 0</t>
  </si>
  <si>
    <t>Invalid CoF outside 1–5</t>
  </si>
  <si>
    <t>Blank Risk Level</t>
  </si>
  <si>
    <t>Duplicate Asset Tags in Database</t>
  </si>
  <si>
    <t>Duplicate Asset Tags in Risk Engine</t>
  </si>
  <si>
    <t>3. RISK LEVEL RECONCILIATION</t>
  </si>
  <si>
    <t>Variance</t>
  </si>
  <si>
    <t>4. ASSET-LEVEL CHECKLIST — FIRST 200 ROWS</t>
  </si>
  <si>
    <t>In Asset Input?</t>
  </si>
  <si>
    <t>In Risk Engine?</t>
  </si>
  <si>
    <t>In Matrix Link?</t>
  </si>
  <si>
    <t>Check Status</t>
  </si>
  <si>
    <t>Dashboard Link Audit</t>
  </si>
  <si>
    <t>KPI Label Cell</t>
  </si>
  <si>
    <t>Linked Value Cell</t>
  </si>
  <si>
    <t>KPI</t>
  </si>
  <si>
    <t>Formula</t>
  </si>
  <si>
    <t>A8</t>
  </si>
  <si>
    <t>A9</t>
  </si>
  <si>
    <t>LINKED</t>
  </si>
  <si>
    <t>C8</t>
  </si>
  <si>
    <t>C9</t>
  </si>
  <si>
    <t>E8</t>
  </si>
  <si>
    <t>E9</t>
  </si>
  <si>
    <t>G8</t>
  </si>
  <si>
    <t>G9</t>
  </si>
  <si>
    <t>Corrosion Loops / Equipment Models</t>
  </si>
  <si>
    <t>A11</t>
  </si>
  <si>
    <t>A12</t>
  </si>
  <si>
    <t>C11</t>
  </si>
  <si>
    <t>C12</t>
  </si>
  <si>
    <t>E11</t>
  </si>
  <si>
    <t>E12</t>
  </si>
  <si>
    <t>G11</t>
  </si>
  <si>
    <t>G12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</si>
  <si>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</si>
  <si>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</si>
  <si>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</si>
  <si>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</si>
  <si>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</si>
  <si>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</si>
  <si>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</si>
  <si>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</si>
  <si>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</si>
  <si>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</si>
  <si>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</si>
  <si>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</si>
  <si>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</si>
  <si>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</si>
  <si>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</si>
  <si>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</si>
  <si>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Role</t>
  </si>
  <si>
    <t>Default Landing Sheet</t>
  </si>
  <si>
    <t>Role Logic</t>
  </si>
  <si>
    <t>FULL</t>
  </si>
  <si>
    <t>00_DASHBOARD</t>
  </si>
  <si>
    <t>All sheets visible.</t>
  </si>
  <si>
    <t>viewer</t>
  </si>
  <si>
    <t>view123</t>
  </si>
  <si>
    <t>VIEW</t>
  </si>
  <si>
    <t>Core database and VBA helper sheets remain hidden.</t>
  </si>
  <si>
    <t>input</t>
  </si>
  <si>
    <t>input123</t>
  </si>
  <si>
    <t>INPUT</t>
  </si>
  <si>
    <t>00_INPUT_CONTROL_PANEL</t>
  </si>
  <si>
    <t>Input panel, dashboard, guide, risk matrix, and reconciliation are visible.</t>
  </si>
  <si>
    <t>Patuha Unit-2 GB/KKS Code Master – Initial Equipment / Process Code Reference</t>
  </si>
  <si>
    <t>Purpose: master reference for process initials/codes used in line and equipment lists. Use this sheet to validate Asset Input, Corrosion Loop grouping, ECA, and Risk Engine logic.</t>
  </si>
  <si>
    <t>Code</t>
  </si>
  <si>
    <t>Code Type</t>
  </si>
  <si>
    <t>Area/System Group</t>
  </si>
  <si>
    <t>Service / Description</t>
  </si>
  <si>
    <t>Typical Asset Type</t>
  </si>
  <si>
    <t>RBI Grouping Logic</t>
  </si>
  <si>
    <t>Typical Damage Mechanism / Concern</t>
  </si>
  <si>
    <t>Current Asset Count</t>
  </si>
  <si>
    <t>Notes / Validation</t>
  </si>
  <si>
    <t>P2</t>
  </si>
  <si>
    <t>Project Prefix</t>
  </si>
  <si>
    <t>Project name / unit prefix</t>
  </si>
  <si>
    <t>All</t>
  </si>
  <si>
    <t>Used as KKS Level 0 / project identifier</t>
  </si>
  <si>
    <t>N/A</t>
  </si>
  <si>
    <t>Reference only</t>
  </si>
  <si>
    <t>From line code convention; keep fixed for Patuha Unit-2.</t>
  </si>
  <si>
    <t>BR</t>
  </si>
  <si>
    <t>Equipment Code</t>
  </si>
  <si>
    <t>Piping, ductwork, chutes</t>
  </si>
  <si>
    <t>Asset tag identifier for piping line items</t>
  </si>
  <si>
    <t>Depends on service, material, phase</t>
  </si>
  <si>
    <t>Input to corrosion loop model</t>
  </si>
  <si>
    <t>Used in line list as equipment code for line items.</t>
  </si>
  <si>
    <t>Utility / Drainage</t>
  </si>
  <si>
    <t>Sump Pit Drain</t>
  </si>
  <si>
    <t>Piping / Drain</t>
  </si>
  <si>
    <t>Drainage / low pressure liquid service</t>
  </si>
  <si>
    <t>Oxygen corrosion, MIC, external corrosion</t>
  </si>
  <si>
    <t>Selective / C2-C3</t>
  </si>
  <si>
    <t>Validate against P&amp;ID and actual material.</t>
  </si>
  <si>
    <t>SAGS / Main Steam</t>
  </si>
  <si>
    <t>Steam service; split by phase V vs LG, material, temperature</t>
  </si>
  <si>
    <t>CO2 corrosion, FAC / erosion-corrosion, CUI</t>
  </si>
  <si>
    <t>Priority RBI / C1</t>
  </si>
  <si>
    <t>Critical code for SAGS steam lines.</t>
  </si>
  <si>
    <t>Main Steam Demister to Strainer / Rock Muffler</t>
  </si>
  <si>
    <t>Steam / wet steam / vent path grouping</t>
  </si>
  <si>
    <t>CO2 corrosion, erosion-corrosion, CUI</t>
  </si>
  <si>
    <t>Priority RBI / C1-C2</t>
  </si>
  <si>
    <t>Confirm wet zones and venting operating mode.</t>
  </si>
  <si>
    <t>SAGS / Steam Venting</t>
  </si>
  <si>
    <t>Steam Venting Station / Rock Muffler</t>
  </si>
  <si>
    <t>Equipment / Static</t>
  </si>
  <si>
    <t>Equipment model linked to venting service</t>
  </si>
  <si>
    <t>Diffuser corrosion/erosion, concrete degradation, external corrosion</t>
  </si>
  <si>
    <t>Equipment RBI / C1-C2</t>
  </si>
  <si>
    <t>Mostly equipment-list based; verify components.</t>
  </si>
  <si>
    <t>SAGS / Scrubber</t>
  </si>
  <si>
    <t>Equipment model by shell/nozzle/internal/drain</t>
  </si>
  <si>
    <t>Internal corrosion, erosion, nozzle degradation, CUI</t>
  </si>
  <si>
    <t>Equipment RBI / C1</t>
  </si>
  <si>
    <t>Key C1 equipment due production consequence.</t>
  </si>
  <si>
    <t>Power Block / Steam</t>
  </si>
  <si>
    <t>Main Steam, Auxiliary Steam, Gland Steam</t>
  </si>
  <si>
    <t>Steam service in power block; split by phase/material</t>
  </si>
  <si>
    <t>CUI, external corrosion, erosion localized</t>
  </si>
  <si>
    <t>RBI / C1-C2</t>
  </si>
  <si>
    <t>Dry steam often lower internal corrosion than LG.</t>
  </si>
  <si>
    <t>BOP / Condensate</t>
  </si>
  <si>
    <t>Piping / Static</t>
  </si>
  <si>
    <t>Condensate liquid service; split by material/temp</t>
  </si>
  <si>
    <t>CO2 condensate corrosion, oxygen corrosion, MIC</t>
  </si>
  <si>
    <t>RBI / C2</t>
  </si>
  <si>
    <t>Important for L3 when thickness data exists.</t>
  </si>
  <si>
    <t>Steam Drain</t>
  </si>
  <si>
    <t>Main Steam / Steam Drain</t>
  </si>
  <si>
    <t>Drain/deadleg and condensate affected steam service</t>
  </si>
  <si>
    <t>CO2 corrosion, under-deposit, CUI</t>
  </si>
  <si>
    <t>Priority check</t>
  </si>
  <si>
    <t>Drains/deadlegs are often localized risk.</t>
  </si>
  <si>
    <t>SAGS / Drain</t>
  </si>
  <si>
    <t>Steam Demister Drain</t>
  </si>
  <si>
    <t>Wet drain service from demister/scrubber</t>
  </si>
  <si>
    <t>Condensate corrosion, erosion, MIC</t>
  </si>
  <si>
    <t>Confirm intermittent vs continuous liquid.</t>
  </si>
  <si>
    <t>Power Block / STG</t>
  </si>
  <si>
    <t>Main Steam Strainer to Turbine</t>
  </si>
  <si>
    <t>Piping / Equipment interface</t>
  </si>
  <si>
    <t>Critical steam path to turbine</t>
  </si>
  <si>
    <t>CUI, erosion, steam purity-related degradation</t>
  </si>
  <si>
    <t>C1 / high consequence</t>
  </si>
  <si>
    <t>High consequence because turbine interface.</t>
  </si>
  <si>
    <t>Power Block / Condenser</t>
  </si>
  <si>
    <t>Equipment / Piping</t>
  </si>
  <si>
    <t>Condenser and associated piping/equipment model</t>
  </si>
  <si>
    <t>Cooling water corrosion, vacuum leak, SS corrosion concerns</t>
  </si>
  <si>
    <t>C1-C2</t>
  </si>
  <si>
    <t>Use equipment/component logic for condenser.</t>
  </si>
  <si>
    <t>MAL</t>
  </si>
  <si>
    <t>Power Block / Drain</t>
  </si>
  <si>
    <t>Turbine Drain</t>
  </si>
  <si>
    <t>Drain/condensate service</t>
  </si>
  <si>
    <t>Oxygen corrosion, MIC, localized corrosion</t>
  </si>
  <si>
    <t>Selective RBI</t>
  </si>
  <si>
    <t>Often small-bore; confirm inclusion rule.</t>
  </si>
  <si>
    <t>Power Block / NCG</t>
  </si>
  <si>
    <t>NCG Removal System</t>
  </si>
  <si>
    <t>Piping / Equipment</t>
  </si>
  <si>
    <t>NCG service; split by material, liquid carryover, vacuum section</t>
  </si>
  <si>
    <t>H2S/sour corrosion, CLSCC if chloride + SS, CUI</t>
  </si>
  <si>
    <t>Critical code for gas removal / NCG path.</t>
  </si>
  <si>
    <t>Power Block / Gland Steam</t>
  </si>
  <si>
    <t>Steam / condensate / vacuum interface</t>
  </si>
  <si>
    <t>CUI, condensate corrosion</t>
  </si>
  <si>
    <t>Check phase and pressure/vacuum condition.</t>
  </si>
  <si>
    <t>BOP / Circulating Water</t>
  </si>
  <si>
    <t>Circulating Water, Blowdown</t>
  </si>
  <si>
    <t>Cooling water circuit; split by FRP/SS/CS</t>
  </si>
  <si>
    <t>MIC, oxygen corrosion, fouling, non-metallic degradation</t>
  </si>
  <si>
    <t>C2 / limited for non-metallic</t>
  </si>
  <si>
    <t>FRP/HDPE should be limited RBI unless owner requires.</t>
  </si>
  <si>
    <t>Circulating Water</t>
  </si>
  <si>
    <t>Piping / Pump interface</t>
  </si>
  <si>
    <t>Cooling water circuit</t>
  </si>
  <si>
    <t>MIC, oxygen corrosion, erosion/fouling</t>
  </si>
  <si>
    <t>Pump interface may drive consequence.</t>
  </si>
  <si>
    <t>BOP / Cooling Tower</t>
  </si>
  <si>
    <t>Cooling tower and basin-related liquid service</t>
  </si>
  <si>
    <t>MIC, fouling, oxygen corrosion, concrete degradation</t>
  </si>
  <si>
    <t>Cooling tower area has biological/fouling concern.</t>
  </si>
  <si>
    <t>BOP / Cooling Tower Pump</t>
  </si>
  <si>
    <t>Piping / Pump</t>
  </si>
  <si>
    <t>Cooling water pump discharge/suction circuit</t>
  </si>
  <si>
    <t>MIC, oxygen corrosion, erosion</t>
  </si>
  <si>
    <t>Rotating equipment itself is limited/non-RBI unless static boundary.</t>
  </si>
  <si>
    <t>BOP / Auxiliary Cooling</t>
  </si>
  <si>
    <t>Auxiliary cooling water; split by material</t>
  </si>
  <si>
    <t>MIC, oxygen corrosion, fouling</t>
  </si>
  <si>
    <t>Often many FRP branches; check scope.</t>
  </si>
  <si>
    <t>BOP / Plant Water</t>
  </si>
  <si>
    <t>Water service</t>
  </si>
  <si>
    <t>Oxygen corrosion, MIC</t>
  </si>
  <si>
    <t>Lower consequence unless critical service.</t>
  </si>
  <si>
    <t>Utility / Air</t>
  </si>
  <si>
    <t>Compressed air package / receiver / distribution</t>
  </si>
  <si>
    <t>External corrosion, internal moisture corrosion if wet</t>
  </si>
  <si>
    <t>C2-C3</t>
  </si>
  <si>
    <t>Receivers may be pressure equipment; include if required.</t>
  </si>
  <si>
    <t>Piping / Receiver</t>
  </si>
  <si>
    <t>Compressed air distribution</t>
  </si>
  <si>
    <t>Moisture corrosion, external corrosion</t>
  </si>
  <si>
    <t>Check receiver design code and inspection obligation.</t>
  </si>
  <si>
    <t>Chemical System</t>
  </si>
  <si>
    <t>Chemical Dosing / Sulphur Dispersant / Biocide</t>
  </si>
  <si>
    <t>Package / Tank / Pump</t>
  </si>
  <si>
    <t>Chemical package, non-process dosing system</t>
  </si>
  <si>
    <t>Chemical compatibility, external corrosion, leakage</t>
  </si>
  <si>
    <t>Limited / C2-C3</t>
  </si>
  <si>
    <t>Often package-based; not always full RBI.</t>
  </si>
  <si>
    <t>Caustic chemical service</t>
  </si>
  <si>
    <t>Caustic corrosion/SCC depending material/temp, leakage</t>
  </si>
  <si>
    <t>Validate material compatibility and containment.</t>
  </si>
  <si>
    <t>Piping / Package</t>
  </si>
  <si>
    <t>Fire water service</t>
  </si>
  <si>
    <t>MIC, oxygen corrosion, under-deposit</t>
  </si>
  <si>
    <t>Selective / statutory/maintenance</t>
  </si>
  <si>
    <t>May be governed by fire protection inspection rules.</t>
  </si>
  <si>
    <t>Piping Class</t>
  </si>
  <si>
    <t>150 CS with corrosion allowance per line list table</t>
  </si>
  <si>
    <t>Used in class/material/CA validation</t>
  </si>
  <si>
    <t>Depends on fluid/service</t>
  </si>
  <si>
    <t>Reference</t>
  </si>
  <si>
    <t>Use approved line list / GB/KKS class table.</t>
  </si>
  <si>
    <t>300 CS with corrosion allowance per line list table</t>
  </si>
  <si>
    <t>Higher pressure class steam/SAGS lines.</t>
  </si>
  <si>
    <t>150 CS, 3 mm corrosion allowance</t>
  </si>
  <si>
    <t>Used in material/CA validation</t>
  </si>
  <si>
    <t>General CS corrosion</t>
  </si>
  <si>
    <t>Check CA against line list.</t>
  </si>
  <si>
    <t>150 SS316/L, 0 corrosion allowance</t>
  </si>
  <si>
    <t>CLSCC/pitting conditional</t>
  </si>
  <si>
    <t>For SS316L lines.</t>
  </si>
  <si>
    <t>150 SS316/L vacuum condition</t>
  </si>
  <si>
    <t>Vacuum/special requirement class</t>
  </si>
  <si>
    <t>External/CUI, leakage/vacuum integrity</t>
  </si>
  <si>
    <t>V suffix = special vacuum requirement.</t>
  </si>
  <si>
    <t>PN10 FRP</t>
  </si>
  <si>
    <t>Non-metallic water service validation</t>
  </si>
  <si>
    <t>Non-metallic degradation, joints/leakage</t>
  </si>
  <si>
    <t>Limited RBI</t>
  </si>
  <si>
    <t>Non-metallic risk treatment differs from metallic RBI.</t>
  </si>
  <si>
    <t>AAZ0</t>
  </si>
  <si>
    <t>PN16 HDPE</t>
  </si>
  <si>
    <t>Usually limited RBI/static integrity only.</t>
  </si>
  <si>
    <t>Timestamp</t>
  </si>
  <si>
    <t>User</t>
  </si>
  <si>
    <t>Target Sheet</t>
  </si>
  <si>
    <t>Target Row</t>
  </si>
  <si>
    <t>Remarks</t>
  </si>
  <si>
    <t>Log is populated by VBA SaveNewAsset / UpdateExistingAsset commands.</t>
  </si>
  <si>
    <t>RBI Mini APM System | Patuha Unit-2 | GE-like Software View</t>
  </si>
  <si>
    <t>Home</t>
  </si>
  <si>
    <t>Unit Summary</t>
  </si>
  <si>
    <t>Asset Summary</t>
  </si>
  <si>
    <t>Corrosion Loops</t>
  </si>
  <si>
    <t>RBI Components</t>
  </si>
  <si>
    <t>Risk Analysis</t>
  </si>
  <si>
    <t>Inspection Plan</t>
  </si>
  <si>
    <t>Reports</t>
  </si>
  <si>
    <t>Admin</t>
  </si>
  <si>
    <t>Navigation Tree</t>
  </si>
  <si>
    <t>Risk Based Inspection Overview</t>
  </si>
  <si>
    <t>Workspace concept: hierarchy, component risk, inspection planning, and reporting system in one GE-like APM interface.</t>
  </si>
  <si>
    <t>▣ RBI OVERVIEW</t>
  </si>
  <si>
    <t xml:space="preserve">  ├ Unit Summary</t>
  </si>
  <si>
    <t>Assets</t>
  </si>
  <si>
    <t>Loops</t>
  </si>
  <si>
    <t xml:space="preserve">  ├ Asset Summary</t>
  </si>
  <si>
    <t xml:space="preserve">  ├ Corrosion Loops</t>
  </si>
  <si>
    <t>Reconciliation</t>
  </si>
  <si>
    <t xml:space="preserve">  ├ RBI Components</t>
  </si>
  <si>
    <t xml:space="preserve">  ├ RBI Analyses</t>
  </si>
  <si>
    <t xml:space="preserve">  ├ Inspection Plans</t>
  </si>
  <si>
    <t xml:space="preserve">  └ Reporting System</t>
  </si>
  <si>
    <t>▣ DATA FOUNDATION</t>
  </si>
  <si>
    <t xml:space="preserve">  ├ Asset Registry</t>
  </si>
  <si>
    <t>Asset Risk Register Workspace</t>
  </si>
  <si>
    <t xml:space="preserve">  ├ P&amp;ID Alignment</t>
  </si>
  <si>
    <t>ECA</t>
  </si>
  <si>
    <t>Scope</t>
  </si>
  <si>
    <t xml:space="preserve">  ├ GB Code Master</t>
  </si>
  <si>
    <t xml:space="preserve">  ├ Change Log</t>
  </si>
  <si>
    <t>▣ RBI WORKFLOW</t>
  </si>
  <si>
    <t xml:space="preserve">  1 Define Component</t>
  </si>
  <si>
    <t xml:space="preserve">  2 Link Corrosion Loop</t>
  </si>
  <si>
    <t xml:space="preserve">  3 Validate PDM / DM</t>
  </si>
  <si>
    <t xml:space="preserve">  4 Perform RBI Analysis</t>
  </si>
  <si>
    <t xml:space="preserve">  5 Generate Recommendation</t>
  </si>
  <si>
    <t xml:space="preserve">  6 Approve Inspection Plan</t>
  </si>
  <si>
    <t>Model Health / Quality Gate</t>
  </si>
  <si>
    <t>Reconciliation Status</t>
  </si>
  <si>
    <t>Must PASS before issue</t>
  </si>
  <si>
    <t>Risk matrix / risk engine coverage</t>
  </si>
  <si>
    <t>Database source</t>
  </si>
  <si>
    <t>Engine source</t>
  </si>
  <si>
    <t>Reporting System</t>
  </si>
  <si>
    <t>Report Explorer</t>
  </si>
  <si>
    <t>Report Configuration and Output Workspace</t>
  </si>
  <si>
    <t>▣ REPORTING SYSTEM</t>
  </si>
  <si>
    <t xml:space="preserve">  • Inspection Plan</t>
  </si>
  <si>
    <t>Generate inspection scope/method/interval by risk.</t>
  </si>
  <si>
    <t>OPEN</t>
  </si>
  <si>
    <t xml:space="preserve">  • Work Pack</t>
  </si>
  <si>
    <t>Work Pack</t>
  </si>
  <si>
    <t>Field package: tag, method, focus area, P&amp;ID reference.</t>
  </si>
  <si>
    <t xml:space="preserve">  • Damage Mechanism</t>
  </si>
  <si>
    <t>Damage Mechanism</t>
  </si>
  <si>
    <t>Review PDM / DM basis by corrosion loop and component.</t>
  </si>
  <si>
    <t xml:space="preserve">  • Risk Summary</t>
  </si>
  <si>
    <t>Summarize current risk, plan risk, and matrix distribution.</t>
  </si>
  <si>
    <t xml:space="preserve">  • Custom Report</t>
  </si>
  <si>
    <t>Custom Report</t>
  </si>
  <si>
    <t>Configurable client-ready extract.</t>
  </si>
  <si>
    <t xml:space="preserve">  • Flexible GUI</t>
  </si>
  <si>
    <t>▣ OUTPUT CONTROL</t>
  </si>
  <si>
    <t xml:space="preserve">  • PDF Register</t>
  </si>
  <si>
    <t xml:space="preserve">  • Excel Export</t>
  </si>
  <si>
    <t xml:space="preserve">  • Client Summary</t>
  </si>
  <si>
    <t>Risk Summary Preview</t>
  </si>
  <si>
    <t>Inspection Action</t>
  </si>
  <si>
    <t>Output</t>
  </si>
  <si>
    <t>Immediate inspection / mitigation</t>
  </si>
  <si>
    <t>P1</t>
  </si>
  <si>
    <t>RBI Recommendation</t>
  </si>
  <si>
    <t>Planned inspection</t>
  </si>
  <si>
    <t>Routine monitoring</t>
  </si>
  <si>
    <t>P3</t>
  </si>
  <si>
    <t>PM / TML Review</t>
  </si>
  <si>
    <t>Normal strategy</t>
  </si>
  <si>
    <t>P4</t>
  </si>
  <si>
    <t>Archive / Monitor</t>
  </si>
  <si>
    <t>Inspection Plan Workspace</t>
  </si>
  <si>
    <t>Generated from RBI risk engine and inspection strategy. Proposed output is for review before formal inspection plan approval.</t>
  </si>
  <si>
    <t>Confidence</t>
  </si>
  <si>
    <t>Basis / Damage Mechanism</t>
  </si>
  <si>
    <t>Approval / Issue Control</t>
  </si>
  <si>
    <t>Prepared By</t>
  </si>
  <si>
    <t>Checked By</t>
  </si>
  <si>
    <t>Approved By</t>
  </si>
  <si>
    <t>Issue Status</t>
  </si>
  <si>
    <t>Draft</t>
  </si>
  <si>
    <t>Date</t>
  </si>
  <si>
    <t>Note</t>
  </si>
  <si>
    <t>Inspection plan should only be issued after reconciliation PASS and client basis confirmation.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</si>
</sst>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%"/>
    <numFmt numFmtId="181" formatCode="dd\-mmm\-yyyy"/>
  </numFmts>
  <fonts count="73">
    <font>
      <sz val="11"/>
      <color theme="1"/>
      <name val="Calibri"/>
      <charset val="134"/>
    </font>
    <font>
      <b/>
      <sz val="12"/>
      <color rgb="FFFFFFFF"/>
      <name val="Calibri"/>
      <charset val="134"/>
    </font>
    <font>
      <b/>
      <sz val="9"/>
      <color theme="1"/>
      <name val="Calibri"/>
      <charset val="134"/>
    </font>
    <font>
      <b/>
      <sz val="11"/>
      <color rgb="FFFFFFFF"/>
      <name val="Calibri"/>
      <charset val="134"/>
    </font>
    <font>
      <i/>
      <sz val="11"/>
      <color rgb="FF666666"/>
      <name val="Calibri"/>
      <charset val="134"/>
    </font>
    <font>
      <b/>
      <sz val="14"/>
      <color rgb="FFFFFFFF"/>
      <name val="Calibri"/>
      <charset val="134"/>
    </font>
    <font>
      <i/>
      <sz val="11"/>
      <color rgb="FF333333"/>
      <name val="Calibri"/>
      <charset val="134"/>
    </font>
    <font>
      <b/>
      <sz val="11"/>
      <name val="Calibri"/>
      <charset val="134"/>
    </font>
    <font>
      <b/>
      <sz val="15"/>
      <color rgb="FFFFFFFF"/>
      <name val="Calibri"/>
      <charset val="134"/>
    </font>
    <font>
      <b/>
      <sz val="11"/>
      <color rgb="FF0563C1"/>
      <name val="Calibri"/>
      <charset val="134"/>
    </font>
    <font>
      <b/>
      <sz val="16"/>
      <color rgb="FFFFFFFF"/>
      <name val="Calibri"/>
      <charset val="134"/>
    </font>
    <font>
      <b/>
      <sz val="12"/>
      <color rgb="FF000000"/>
      <name val="Calibri"/>
      <charset val="134"/>
    </font>
    <font>
      <sz val="9"/>
      <name val="Calibri"/>
      <charset val="134"/>
    </font>
    <font>
      <b/>
      <sz val="14"/>
      <name val="Calibri"/>
      <charset val="134"/>
    </font>
    <font>
      <b/>
      <sz val="11"/>
      <color rgb="FF000000"/>
      <name val="Calibri"/>
      <charset val="134"/>
    </font>
    <font>
      <b/>
      <i/>
      <sz val="11"/>
      <name val="Calibri"/>
      <charset val="134"/>
    </font>
    <font>
      <b/>
      <sz val="12"/>
      <name val="Calibri"/>
      <charset val="134"/>
    </font>
    <font>
      <b/>
      <sz val="8"/>
      <name val="Calibri"/>
      <charset val="134"/>
    </font>
    <font>
      <i/>
      <sz val="11"/>
      <name val="Calibri"/>
      <charset val="134"/>
    </font>
    <font>
      <b/>
      <sz val="11"/>
      <color rgb="FF008000"/>
      <name val="Calibri"/>
      <charset val="134"/>
    </font>
    <font>
      <sz val="10"/>
      <color theme="1"/>
      <name val="Calibri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i/>
      <sz val="10"/>
      <color rgb="FF6B7280"/>
      <name val="Calibri"/>
      <charset val="134"/>
    </font>
    <font>
      <b/>
      <sz val="9"/>
      <color rgb="FF6B7280"/>
      <name val="Calibri"/>
      <charset val="134"/>
    </font>
    <font>
      <b/>
      <sz val="18"/>
      <color rgb="FF111827"/>
      <name val="Calibri"/>
      <charset val="134"/>
    </font>
    <font>
      <b/>
      <sz val="10"/>
      <color rgb="FF1F4E78"/>
      <name val="Calibri"/>
      <charset val="134"/>
    </font>
    <font>
      <b/>
      <sz val="12"/>
      <color rgb="FF111827"/>
      <name val="Calibri"/>
      <charset val="134"/>
    </font>
    <font>
      <b/>
      <sz val="11"/>
      <color theme="1"/>
      <name val="Calibri"/>
      <charset val="134"/>
    </font>
    <font>
      <b/>
      <sz val="9"/>
      <color rgb="FFFFFFFF"/>
      <name val="Calibri"/>
      <charset val="134"/>
    </font>
    <font>
      <sz val="9"/>
      <color rgb="FF111827"/>
      <name val="Calibri"/>
      <charset val="134"/>
    </font>
    <font>
      <i/>
      <sz val="10"/>
      <color rgb="FF666666"/>
      <name val="Calibri"/>
      <charset val="134"/>
    </font>
    <font>
      <b/>
      <sz val="10"/>
      <color rgb="FF000000"/>
      <name val="Calibri"/>
      <charset val="134"/>
    </font>
    <font>
      <b/>
      <sz val="11"/>
      <color rgb="FF111827"/>
      <name val="Calibri"/>
      <charset val="134"/>
    </font>
    <font>
      <b/>
      <sz val="10"/>
      <color rgb="FF111827"/>
      <name val="Calibri"/>
      <charset val="134"/>
    </font>
    <font>
      <b/>
      <sz val="10"/>
      <color theme="1"/>
      <name val="Calibri"/>
      <charset val="134"/>
    </font>
    <font>
      <b/>
      <sz val="16"/>
      <color rgb="FF1F4E78"/>
      <name val="Calibri"/>
      <charset val="134"/>
    </font>
    <font>
      <b/>
      <sz val="11"/>
      <color rgb="FFC00000"/>
      <name val="Calibri"/>
      <charset val="134"/>
    </font>
    <font>
      <b/>
      <sz val="11"/>
      <color rgb="FF548235"/>
      <name val="Calibri"/>
      <charset val="134"/>
    </font>
    <font>
      <sz val="12"/>
      <color theme="10"/>
      <name val="Calibri"/>
      <charset val="134"/>
    </font>
    <font>
      <b/>
      <sz val="16"/>
      <color rgb="FFFFFFFF"/>
      <name val="Segoe UI Semibold"/>
      <charset val="134"/>
    </font>
    <font>
      <sz val="10"/>
      <color rgb="FF9CA3AF"/>
      <name val="Segoe UI"/>
      <charset val="134"/>
    </font>
    <font>
      <sz val="10"/>
      <color rgb="FFE5E7EB"/>
      <name val="Segoe UI"/>
      <charset val="134"/>
    </font>
    <font>
      <b/>
      <sz val="28"/>
      <color rgb="FFFFFFFF"/>
      <name val="Segoe UI Semibold"/>
      <charset val="134"/>
    </font>
    <font>
      <sz val="9"/>
      <color rgb="FF9CA3AF"/>
      <name val="Segoe UI"/>
      <charset val="134"/>
    </font>
    <font>
      <sz val="11"/>
      <color rgb="FF93C5FD"/>
      <name val="Segoe UI"/>
      <charset val="134"/>
    </font>
    <font>
      <sz val="10"/>
      <color rgb="FFFFFFFF"/>
      <name val="Segoe UI"/>
      <charset val="134"/>
    </font>
    <font>
      <b/>
      <sz val="10"/>
      <color rgb="FFE5E7EB"/>
      <name val="Segoe UI Semibold"/>
      <charset val="134"/>
    </font>
    <font>
      <b/>
      <sz val="11"/>
      <color rgb="FFFFFFFF"/>
      <name val="Segoe UI Semibold"/>
      <charset val="134"/>
    </font>
    <font>
      <b/>
      <sz val="11"/>
      <color rgb="FFF97316"/>
      <name val="Segoe UI Semibold"/>
      <charset val="134"/>
    </font>
    <font>
      <sz val="8"/>
      <color rgb="FF64748B"/>
      <name val="Segoe UI"/>
      <charset val="134"/>
    </font>
    <font>
      <sz val="9"/>
      <color rgb="FF64748B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7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E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B1220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1F2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F97316"/>
      </bottom>
      <diagonal/>
    </border>
    <border>
      <left/>
      <right/>
      <top/>
      <bottom style="thin">
        <color rgb="FF1D4ED8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/>
      <top/>
      <bottom style="thin">
        <color rgb="FF334155"/>
      </bottom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 style="thin">
        <color rgb="FFF9731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2" fillId="0" borderId="0" applyFont="0" applyFill="0" applyBorder="0" applyAlignment="0" applyProtection="0">
      <alignment vertical="center"/>
    </xf>
    <xf numFmtId="177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9" fontId="5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40" borderId="41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9" fillId="0" borderId="42" applyNumberFormat="0" applyFill="0" applyAlignment="0" applyProtection="0">
      <alignment vertical="center"/>
    </xf>
    <xf numFmtId="0" fontId="60" fillId="0" borderId="43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1" borderId="44" applyNumberFormat="0" applyAlignment="0" applyProtection="0">
      <alignment vertical="center"/>
    </xf>
    <xf numFmtId="0" fontId="62" fillId="42" borderId="45" applyNumberFormat="0" applyAlignment="0" applyProtection="0">
      <alignment vertical="center"/>
    </xf>
    <xf numFmtId="0" fontId="63" fillId="42" borderId="44" applyNumberFormat="0" applyAlignment="0" applyProtection="0">
      <alignment vertical="center"/>
    </xf>
    <xf numFmtId="0" fontId="64" fillId="43" borderId="46" applyNumberFormat="0" applyAlignment="0" applyProtection="0">
      <alignment vertical="center"/>
    </xf>
    <xf numFmtId="0" fontId="65" fillId="0" borderId="47" applyNumberFormat="0" applyFill="0" applyAlignment="0" applyProtection="0">
      <alignment vertical="center"/>
    </xf>
    <xf numFmtId="0" fontId="66" fillId="0" borderId="48" applyNumberFormat="0" applyFill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5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0" fillId="58" borderId="0" applyNumberFormat="0" applyBorder="0" applyAlignment="0" applyProtection="0">
      <alignment vertical="center"/>
    </xf>
    <xf numFmtId="0" fontId="70" fillId="59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7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1" fillId="69" borderId="0" applyNumberFormat="0" applyBorder="0" applyAlignment="0" applyProtection="0">
      <alignment vertical="center"/>
    </xf>
    <xf numFmtId="0" fontId="70" fillId="70" borderId="0" applyNumberFormat="0" applyBorder="0" applyAlignment="0" applyProtection="0">
      <alignment vertical="center"/>
    </xf>
    <xf numFmtId="0" fontId="39" fillId="0" borderId="0"/>
  </cellStyleXfs>
  <cellXfs count="242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4" fillId="5" borderId="0" xfId="0" applyNumberFormat="1" applyFont="1" applyFill="1" applyBorder="1"/>
    <xf numFmtId="0" fontId="5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/>
    <xf numFmtId="0" fontId="3" fillId="7" borderId="0" xfId="0" applyFont="1" applyFill="1"/>
    <xf numFmtId="0" fontId="0" fillId="0" borderId="1" xfId="0" applyBorder="1"/>
    <xf numFmtId="0" fontId="7" fillId="0" borderId="0" xfId="0" applyFont="1"/>
    <xf numFmtId="0" fontId="5" fillId="4" borderId="0" xfId="0" applyFont="1" applyFill="1"/>
    <xf numFmtId="0" fontId="0" fillId="8" borderId="0" xfId="0" applyFill="1" applyAlignment="1">
      <alignment vertical="top" wrapText="1"/>
    </xf>
    <xf numFmtId="0" fontId="8" fillId="4" borderId="0" xfId="0" applyFont="1" applyFill="1" applyAlignment="1">
      <alignment vertical="center" wrapText="1"/>
    </xf>
    <xf numFmtId="0" fontId="9" fillId="0" borderId="0" xfId="49" applyFont="1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80" fontId="0" fillId="9" borderId="1" xfId="0" applyNumberForma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10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3" xfId="0" applyBorder="1"/>
    <xf numFmtId="0" fontId="7" fillId="17" borderId="0" xfId="0" applyFont="1" applyFill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7" fillId="6" borderId="0" xfId="0" applyFont="1" applyFill="1"/>
    <xf numFmtId="0" fontId="19" fillId="9" borderId="7" xfId="0" applyFont="1" applyFill="1" applyBorder="1"/>
    <xf numFmtId="0" fontId="0" fillId="0" borderId="8" xfId="0" applyBorder="1"/>
    <xf numFmtId="0" fontId="0" fillId="0" borderId="9" xfId="0" applyBorder="1"/>
    <xf numFmtId="180" fontId="19" fillId="9" borderId="7" xfId="0" applyNumberFormat="1" applyFont="1" applyFill="1" applyBorder="1"/>
    <xf numFmtId="0" fontId="5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8" fillId="4" borderId="0" xfId="0" applyFont="1" applyFill="1"/>
    <xf numFmtId="0" fontId="7" fillId="19" borderId="0" xfId="0" applyFont="1" applyFill="1"/>
    <xf numFmtId="0" fontId="0" fillId="0" borderId="0" xfId="0" applyAlignment="1">
      <alignment wrapText="1"/>
    </xf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10" fillId="4" borderId="0" xfId="0" applyFont="1" applyFill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21" fillId="4" borderId="0" xfId="0" applyFont="1" applyFill="1" applyAlignment="1">
      <alignment horizontal="center" vertical="top" wrapText="1"/>
    </xf>
    <xf numFmtId="0" fontId="20" fillId="0" borderId="10" xfId="0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3" fillId="4" borderId="0" xfId="0" applyFont="1" applyFill="1" applyAlignment="1">
      <alignment horizontal="center" wrapText="1"/>
    </xf>
    <xf numFmtId="0" fontId="10" fillId="20" borderId="0" xfId="0" applyFont="1" applyFill="1" applyAlignment="1">
      <alignment wrapText="1"/>
    </xf>
    <xf numFmtId="0" fontId="23" fillId="21" borderId="0" xfId="0" applyFont="1" applyFill="1" applyAlignment="1">
      <alignment wrapText="1"/>
    </xf>
    <xf numFmtId="0" fontId="0" fillId="21" borderId="0" xfId="0" applyFill="1" applyAlignment="1">
      <alignment wrapText="1"/>
    </xf>
    <xf numFmtId="0" fontId="24" fillId="9" borderId="0" xfId="0" applyFont="1" applyFill="1" applyAlignment="1">
      <alignment horizontal="center" wrapText="1"/>
    </xf>
    <xf numFmtId="0" fontId="25" fillId="9" borderId="0" xfId="0" applyFont="1" applyFill="1" applyAlignment="1">
      <alignment horizontal="center" wrapText="1"/>
    </xf>
    <xf numFmtId="0" fontId="26" fillId="9" borderId="0" xfId="0" applyFont="1" applyFill="1" applyAlignment="1">
      <alignment horizontal="center" wrapText="1"/>
    </xf>
    <xf numFmtId="0" fontId="27" fillId="9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8" fillId="22" borderId="0" xfId="0" applyFont="1" applyFill="1" applyAlignment="1">
      <alignment wrapText="1"/>
    </xf>
    <xf numFmtId="0" fontId="0" fillId="9" borderId="0" xfId="0" applyFill="1" applyAlignment="1">
      <alignment wrapText="1"/>
    </xf>
    <xf numFmtId="180" fontId="0" fillId="9" borderId="0" xfId="0" applyNumberFormat="1" applyFill="1" applyAlignment="1">
      <alignment wrapText="1"/>
    </xf>
    <xf numFmtId="0" fontId="28" fillId="23" borderId="0" xfId="0" applyFont="1" applyFill="1" applyAlignment="1">
      <alignment wrapText="1"/>
    </xf>
    <xf numFmtId="0" fontId="28" fillId="24" borderId="0" xfId="0" applyFont="1" applyFill="1" applyAlignment="1">
      <alignment wrapText="1"/>
    </xf>
    <xf numFmtId="0" fontId="28" fillId="25" borderId="0" xfId="0" applyFont="1" applyFill="1" applyAlignment="1">
      <alignment wrapText="1"/>
    </xf>
    <xf numFmtId="0" fontId="29" fillId="4" borderId="0" xfId="0" applyFont="1" applyFill="1" applyAlignment="1">
      <alignment wrapText="1"/>
    </xf>
    <xf numFmtId="0" fontId="30" fillId="9" borderId="0" xfId="0" applyFont="1" applyFill="1" applyAlignment="1">
      <alignment wrapText="1"/>
    </xf>
    <xf numFmtId="0" fontId="31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21" fillId="26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21" fillId="27" borderId="11" xfId="0" applyFont="1" applyFill="1" applyBorder="1" applyAlignment="1">
      <alignment horizontal="center" vertical="center" wrapText="1"/>
    </xf>
    <xf numFmtId="0" fontId="3" fillId="20" borderId="0" xfId="0" applyNumberFormat="1" applyFont="1" applyFill="1" applyBorder="1" applyAlignment="1">
      <alignment horizontal="center"/>
    </xf>
    <xf numFmtId="0" fontId="32" fillId="6" borderId="1" xfId="0" applyFont="1" applyFill="1" applyBorder="1" applyAlignment="1">
      <alignment vertical="center" wrapText="1"/>
    </xf>
    <xf numFmtId="0" fontId="20" fillId="9" borderId="7" xfId="0" applyFont="1" applyFill="1" applyBorder="1" applyAlignment="1">
      <alignment vertical="center" wrapText="1"/>
    </xf>
    <xf numFmtId="0" fontId="22" fillId="28" borderId="1" xfId="0" applyFont="1" applyFill="1" applyBorder="1" applyAlignment="1">
      <alignment vertical="center" wrapText="1"/>
    </xf>
    <xf numFmtId="0" fontId="22" fillId="19" borderId="0" xfId="0" applyFont="1" applyFill="1" applyAlignment="1">
      <alignment vertical="center" wrapText="1"/>
    </xf>
    <xf numFmtId="0" fontId="20" fillId="9" borderId="0" xfId="0" applyFont="1" applyFill="1" applyAlignment="1">
      <alignment vertical="center"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10" fillId="29" borderId="0" xfId="0" applyFont="1" applyFill="1" applyAlignment="1">
      <alignment horizontal="center" vertical="center"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0" fontId="0" fillId="21" borderId="0" xfId="0" applyNumberFormat="1" applyFont="1" applyFill="1" applyBorder="1" applyAlignment="1">
      <alignment wrapText="1"/>
    </xf>
    <xf numFmtId="9" fontId="20" fillId="9" borderId="7" xfId="0" applyNumberFormat="1" applyFont="1" applyFill="1" applyBorder="1" applyAlignment="1">
      <alignment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0" fontId="22" fillId="30" borderId="0" xfId="0" applyFont="1" applyFill="1" applyAlignment="1">
      <alignment vertical="center" wrapText="1"/>
    </xf>
    <xf numFmtId="0" fontId="20" fillId="9" borderId="1" xfId="0" applyFont="1" applyFill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22" fillId="17" borderId="0" xfId="0" applyFont="1" applyFill="1" applyAlignment="1">
      <alignment vertical="center" wrapText="1"/>
    </xf>
    <xf numFmtId="9" fontId="20" fillId="9" borderId="0" xfId="0" applyNumberFormat="1" applyFont="1" applyFill="1" applyAlignment="1">
      <alignment vertical="center" wrapText="1"/>
    </xf>
    <xf numFmtId="0" fontId="20" fillId="5" borderId="11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1" fillId="31" borderId="11" xfId="0" applyFont="1" applyFill="1" applyBorder="1" applyAlignment="1">
      <alignment horizontal="center" vertical="center" wrapText="1"/>
    </xf>
    <xf numFmtId="0" fontId="21" fillId="32" borderId="11" xfId="0" applyNumberFormat="1" applyFont="1" applyFill="1" applyBorder="1" applyAlignment="1">
      <alignment horizontal="center" vertical="center" wrapText="1"/>
    </xf>
    <xf numFmtId="0" fontId="3" fillId="32" borderId="15" xfId="0" applyNumberFormat="1" applyFont="1" applyFill="1" applyBorder="1" applyAlignment="1">
      <alignment horizontal="center" vertical="center"/>
    </xf>
    <xf numFmtId="0" fontId="21" fillId="33" borderId="0" xfId="0" applyNumberFormat="1" applyFont="1" applyFill="1" applyAlignment="1">
      <alignment horizontal="center" vertical="center" wrapText="1"/>
    </xf>
    <xf numFmtId="0" fontId="21" fillId="33" borderId="11" xfId="0" applyNumberFormat="1" applyFont="1" applyFill="1" applyBorder="1" applyAlignment="1">
      <alignment horizontal="center" vertical="center" wrapText="1"/>
    </xf>
    <xf numFmtId="0" fontId="3" fillId="34" borderId="15" xfId="0" applyNumberFormat="1" applyFont="1" applyFill="1" applyBorder="1" applyAlignment="1">
      <alignment horizontal="center" vertical="center"/>
    </xf>
    <xf numFmtId="0" fontId="21" fillId="34" borderId="11" xfId="0" applyNumberFormat="1" applyFont="1" applyFill="1" applyBorder="1" applyAlignment="1">
      <alignment horizontal="center" vertical="center" wrapText="1"/>
    </xf>
    <xf numFmtId="0" fontId="33" fillId="11" borderId="15" xfId="0" applyNumberFormat="1" applyFont="1" applyFill="1" applyBorder="1" applyAlignment="1">
      <alignment horizontal="center" vertical="center"/>
    </xf>
    <xf numFmtId="0" fontId="34" fillId="11" borderId="15" xfId="0" applyNumberFormat="1" applyFont="1" applyFill="1" applyBorder="1" applyAlignment="1">
      <alignment horizontal="center" vertical="center" wrapText="1"/>
    </xf>
    <xf numFmtId="0" fontId="3" fillId="35" borderId="16" xfId="0" applyNumberFormat="1" applyFont="1" applyFill="1" applyBorder="1" applyAlignment="1">
      <alignment horizontal="center" vertical="center"/>
    </xf>
    <xf numFmtId="0" fontId="3" fillId="35" borderId="0" xfId="0" applyNumberFormat="1" applyFont="1" applyFill="1" applyAlignment="1">
      <alignment horizontal="center" vertical="center"/>
    </xf>
    <xf numFmtId="0" fontId="3" fillId="32" borderId="16" xfId="0" applyNumberFormat="1" applyFont="1" applyFill="1" applyBorder="1" applyAlignment="1">
      <alignment horizontal="center" vertical="center"/>
    </xf>
    <xf numFmtId="0" fontId="3" fillId="32" borderId="17" xfId="0" applyNumberFormat="1" applyFont="1" applyFill="1" applyBorder="1" applyAlignment="1">
      <alignment horizontal="center" vertical="center"/>
    </xf>
    <xf numFmtId="0" fontId="3" fillId="33" borderId="16" xfId="0" applyNumberFormat="1" applyFont="1" applyFill="1" applyBorder="1" applyAlignment="1">
      <alignment horizontal="center" vertical="center"/>
    </xf>
    <xf numFmtId="0" fontId="3" fillId="34" borderId="17" xfId="0" applyNumberFormat="1" applyFont="1" applyFill="1" applyBorder="1" applyAlignment="1">
      <alignment horizontal="center" vertical="center"/>
    </xf>
    <xf numFmtId="0" fontId="3" fillId="34" borderId="18" xfId="0" applyNumberFormat="1" applyFont="1" applyFill="1" applyBorder="1" applyAlignment="1">
      <alignment horizontal="center" vertical="center"/>
    </xf>
    <xf numFmtId="0" fontId="33" fillId="11" borderId="17" xfId="0" applyNumberFormat="1" applyFont="1" applyFill="1" applyBorder="1" applyAlignment="1">
      <alignment horizontal="center" vertical="center"/>
    </xf>
    <xf numFmtId="0" fontId="34" fillId="11" borderId="17" xfId="0" applyNumberFormat="1" applyFont="1" applyFill="1" applyBorder="1" applyAlignment="1">
      <alignment horizontal="center" vertical="center" wrapText="1"/>
    </xf>
    <xf numFmtId="0" fontId="3" fillId="32" borderId="19" xfId="0" applyNumberFormat="1" applyFont="1" applyFill="1" applyBorder="1" applyAlignment="1">
      <alignment horizontal="center" vertical="center"/>
    </xf>
    <xf numFmtId="0" fontId="3" fillId="32" borderId="20" xfId="0" applyNumberFormat="1" applyFont="1" applyFill="1" applyBorder="1" applyAlignment="1">
      <alignment horizontal="center" vertical="center"/>
    </xf>
    <xf numFmtId="0" fontId="3" fillId="33" borderId="19" xfId="0" applyNumberFormat="1" applyFont="1" applyFill="1" applyBorder="1" applyAlignment="1">
      <alignment horizontal="center" vertical="center"/>
    </xf>
    <xf numFmtId="0" fontId="3" fillId="34" borderId="20" xfId="0" applyNumberFormat="1" applyFont="1" applyFill="1" applyBorder="1" applyAlignment="1">
      <alignment horizontal="center" vertical="center"/>
    </xf>
    <xf numFmtId="0" fontId="3" fillId="34" borderId="21" xfId="0" applyNumberFormat="1" applyFont="1" applyFill="1" applyBorder="1" applyAlignment="1">
      <alignment horizontal="center" vertical="center"/>
    </xf>
    <xf numFmtId="0" fontId="33" fillId="11" borderId="20" xfId="0" applyNumberFormat="1" applyFont="1" applyFill="1" applyBorder="1" applyAlignment="1">
      <alignment horizontal="center" vertical="center"/>
    </xf>
    <xf numFmtId="0" fontId="22" fillId="18" borderId="0" xfId="0" applyFont="1" applyFill="1" applyAlignment="1">
      <alignment vertical="center" wrapText="1"/>
    </xf>
    <xf numFmtId="0" fontId="35" fillId="28" borderId="0" xfId="0" applyNumberFormat="1" applyFont="1" applyFill="1" applyAlignment="1">
      <alignment vertical="center" wrapText="1"/>
    </xf>
    <xf numFmtId="0" fontId="20" fillId="9" borderId="0" xfId="0" applyNumberFormat="1" applyFont="1" applyFill="1" applyAlignment="1">
      <alignment vertical="center" wrapText="1"/>
    </xf>
    <xf numFmtId="0" fontId="0" fillId="0" borderId="19" xfId="0" applyBorder="1"/>
    <xf numFmtId="0" fontId="0" fillId="0" borderId="22" xfId="0" applyBorder="1"/>
    <xf numFmtId="0" fontId="0" fillId="0" borderId="20" xfId="0" applyBorder="1"/>
    <xf numFmtId="0" fontId="3" fillId="16" borderId="1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7" fillId="6" borderId="1" xfId="0" applyFont="1" applyFill="1" applyBorder="1"/>
    <xf numFmtId="2" fontId="0" fillId="9" borderId="7" xfId="0" applyNumberFormat="1" applyFill="1" applyBorder="1" applyAlignment="1">
      <alignment wrapText="1"/>
    </xf>
    <xf numFmtId="0" fontId="7" fillId="17" borderId="1" xfId="0" applyFont="1" applyFill="1" applyBorder="1"/>
    <xf numFmtId="0" fontId="7" fillId="11" borderId="0" xfId="0" applyFont="1" applyFill="1"/>
    <xf numFmtId="0" fontId="0" fillId="9" borderId="7" xfId="0" applyFill="1" applyBorder="1"/>
    <xf numFmtId="1" fontId="0" fillId="9" borderId="7" xfId="0" applyNumberFormat="1" applyFill="1" applyBorder="1" applyAlignment="1">
      <alignment wrapText="1"/>
    </xf>
    <xf numFmtId="181" fontId="0" fillId="9" borderId="7" xfId="0" applyNumberFormat="1" applyFont="1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18" fillId="18" borderId="0" xfId="0" applyFont="1" applyFill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2" fillId="18" borderId="7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32" fillId="9" borderId="7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6" fillId="0" borderId="0" xfId="0" applyFont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2" fillId="28" borderId="7" xfId="0" applyFont="1" applyFill="1" applyBorder="1" applyAlignment="1">
      <alignment horizontal="center" vertical="center" wrapText="1"/>
    </xf>
    <xf numFmtId="0" fontId="32" fillId="11" borderId="7" xfId="0" applyFont="1" applyFill="1" applyBorder="1" applyAlignment="1">
      <alignment horizontal="center" vertical="center" wrapText="1"/>
    </xf>
    <xf numFmtId="0" fontId="32" fillId="17" borderId="7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center" vertical="center" wrapText="1"/>
    </xf>
    <xf numFmtId="0" fontId="32" fillId="19" borderId="7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7" fillId="36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39" fillId="0" borderId="0" xfId="49" applyAlignment="1">
      <alignment horizontal="center" vertical="center" wrapText="1"/>
    </xf>
    <xf numFmtId="0" fontId="39" fillId="0" borderId="0" xfId="49"/>
    <xf numFmtId="0" fontId="40" fillId="37" borderId="0" xfId="0" applyFont="1" applyFill="1" applyAlignment="1">
      <alignment horizontal="left" vertical="center"/>
    </xf>
    <xf numFmtId="0" fontId="41" fillId="37" borderId="0" xfId="0" applyFont="1" applyFill="1" applyAlignment="1">
      <alignment horizontal="right" vertical="center"/>
    </xf>
    <xf numFmtId="0" fontId="0" fillId="0" borderId="29" xfId="0" applyBorder="1"/>
    <xf numFmtId="0" fontId="42" fillId="38" borderId="0" xfId="0" applyFont="1" applyFill="1" applyAlignment="1">
      <alignment horizontal="center" vertical="center" wrapText="1"/>
    </xf>
    <xf numFmtId="0" fontId="42" fillId="20" borderId="30" xfId="0" applyFont="1" applyFill="1" applyBorder="1" applyAlignment="1">
      <alignment horizontal="center" vertical="center" wrapText="1"/>
    </xf>
    <xf numFmtId="0" fontId="42" fillId="37" borderId="0" xfId="0" applyFont="1" applyFill="1" applyAlignment="1">
      <alignment horizontal="center" vertical="center" wrapText="1"/>
    </xf>
    <xf numFmtId="0" fontId="42" fillId="34" borderId="31" xfId="0" applyFont="1" applyFill="1" applyBorder="1" applyAlignment="1">
      <alignment horizontal="center" vertical="center" wrapText="1"/>
    </xf>
    <xf numFmtId="0" fontId="43" fillId="38" borderId="0" xfId="0" applyFont="1" applyFill="1" applyAlignment="1">
      <alignment horizontal="left" vertical="center" wrapText="1"/>
    </xf>
    <xf numFmtId="0" fontId="42" fillId="20" borderId="31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left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4" fillId="20" borderId="31" xfId="0" applyFont="1" applyFill="1" applyBorder="1" applyAlignment="1">
      <alignment horizontal="left" vertical="center" wrapText="1"/>
    </xf>
    <xf numFmtId="0" fontId="45" fillId="38" borderId="0" xfId="0" applyFont="1" applyFill="1" applyAlignment="1">
      <alignment horizontal="left" vertical="center" wrapText="1"/>
    </xf>
    <xf numFmtId="0" fontId="44" fillId="20" borderId="31" xfId="0" applyFont="1" applyFill="1" applyBorder="1" applyAlignment="1">
      <alignment horizontal="left"/>
    </xf>
    <xf numFmtId="0" fontId="46" fillId="39" borderId="29" xfId="0" applyFont="1" applyFill="1" applyBorder="1" applyAlignment="1">
      <alignment horizontal="left"/>
    </xf>
    <xf numFmtId="0" fontId="0" fillId="39" borderId="29" xfId="0" applyFill="1" applyBorder="1"/>
    <xf numFmtId="0" fontId="47" fillId="20" borderId="31" xfId="0" applyFont="1" applyFill="1" applyBorder="1" applyAlignment="1">
      <alignment horizontal="center" vertical="center"/>
    </xf>
    <xf numFmtId="0" fontId="0" fillId="20" borderId="31" xfId="0" applyFill="1" applyBorder="1"/>
    <xf numFmtId="0" fontId="48" fillId="34" borderId="37" xfId="0" applyFont="1" applyFill="1" applyBorder="1" applyAlignment="1">
      <alignment horizontal="center" vertical="center"/>
    </xf>
    <xf numFmtId="0" fontId="0" fillId="34" borderId="37" xfId="0" applyFill="1" applyBorder="1"/>
    <xf numFmtId="0" fontId="49" fillId="20" borderId="37" xfId="0" applyFont="1" applyFill="1" applyBorder="1" applyAlignment="1">
      <alignment horizontal="center" vertical="center"/>
    </xf>
    <xf numFmtId="0" fontId="0" fillId="20" borderId="37" xfId="0" applyFill="1" applyBorder="1"/>
    <xf numFmtId="0" fontId="41" fillId="37" borderId="31" xfId="0" applyFont="1" applyFill="1" applyBorder="1" applyAlignment="1">
      <alignment horizontal="center" vertical="center"/>
    </xf>
    <xf numFmtId="0" fontId="0" fillId="37" borderId="31" xfId="0" applyFill="1" applyBorder="1"/>
    <xf numFmtId="0" fontId="41" fillId="38" borderId="0" xfId="0" applyFont="1" applyFill="1" applyAlignment="1">
      <alignment horizontal="left" vertical="center" wrapText="1"/>
    </xf>
    <xf numFmtId="0" fontId="50" fillId="20" borderId="31" xfId="0" applyFon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42" fillId="20" borderId="40" xfId="0" applyFont="1" applyFill="1" applyBorder="1" applyAlignment="1">
      <alignment horizontal="center" vertical="center" wrapText="1"/>
    </xf>
    <xf numFmtId="0" fontId="51" fillId="37" borderId="0" xfId="0" applyFont="1" applyFill="1" applyAlignment="1">
      <alignment horizontal="right" vertical="center"/>
    </xf>
    <xf numFmtId="0" fontId="0" fillId="0" borderId="0" xfId="0" applyAlignment="1">
      <alignment horizontal="righ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dxfs count="31">
    <dxf>
      <font>
        <b val="1"/>
        <color rgb="FFFFFFFF"/>
      </font>
      <fill>
        <patternFill patternType="solid">
          <bgColor rgb="FFFF6666"/>
        </patternFill>
      </fill>
    </dxf>
    <dxf>
      <font>
        <b val="1"/>
        <color rgb="FF000000"/>
      </font>
      <fill>
        <patternFill patternType="solid">
          <bgColor rgb="FFF4B183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C6EFCE"/>
        </patternFill>
      </fill>
    </dxf>
    <dxf>
      <font>
        <b val="1"/>
      </font>
      <fill>
        <patternFill patternType="solid">
          <bgColor rgb="FFC6EFCE"/>
        </patternFill>
      </fill>
    </dxf>
    <dxf>
      <font>
        <b val="1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F2CC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bgColor rgb="FFFF6666"/>
        </patternFill>
      </fill>
    </dxf>
    <dxf>
      <fill>
        <patternFill patternType="solid">
          <bgColor rgb="FFF4B18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opRiskAssets" displayName="TopRiskAssets" ref="A17:L32">
  <autoFilter xmlns:etc="http://www.wps.cn/officeDocument/2017/etCustomData" ref="A17:L32" etc:filterBottomFollowUsedRange="0"/>
  <tableColumns count="12">
    <tableColumn id="1" name="Asset Tag"/>
    <tableColumn id="2" name="Asset Type"/>
    <tableColumn id="3" name="System"/>
    <tableColumn id="4" name="Process Code"/>
    <tableColumn id="5" name="Fluid"/>
    <tableColumn id="6" name="Fluid State"/>
    <tableColumn id="7" name="Material Family"/>
    <tableColumn id="8" name="Corrosion Loop ID"/>
    <tableColumn id="9" name="PoF Score"/>
    <tableColumn id="10" name="CoF Score"/>
    <tableColumn id="11" name="Risk Level"/>
    <tableColumn id="12" name="Inspection Interval (y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etInputFull" displayName="AssetInputFull" ref="A3:U416">
  <autoFilter xmlns:etc="http://www.wps.cn/officeDocument/2017/etCustomData" ref="A3:U416" etc:filterBottomFollowUsedRange="0"/>
  <tableColumns count="21">
    <tableColumn id="1" name="Asset Tag"/>
    <tableColumn id="2" name="Asset Type"/>
    <tableColumn id="3" name="Source Area"/>
    <tableColumn id="4" name="System"/>
    <tableColumn id="5" name="Process Code"/>
    <tableColumn id="6" name="Process Description"/>
    <tableColumn id="7" name="KKS Level 2"/>
    <tableColumn id="8" name="Description"/>
    <tableColumn id="9" name="Equipment Class"/>
    <tableColumn id="10" name="Main Size (inch)"/>
    <tableColumn id="11" name="Material"/>
    <tableColumn id="12" name="Material Family"/>
    <tableColumn id="13" name="Schedule"/>
    <tableColumn id="14" name="Rating"/>
    <tableColumn id="15" name="Piping Spec"/>
    <tableColumn id="16" name="Fluid"/>
    <tableColumn id="17" name="Fluid State"/>
    <tableColumn id="18" name="P&amp;ID"/>
    <tableColumn id="19" name="Operating Pressure (barG)"/>
    <tableColumn id="20" name="Operating Temperature (degC)"/>
    <tableColumn id="21" name="RBI 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setHierarchy" displayName="AssetHierarchy" ref="A3:I416">
  <autoFilter xmlns:etc="http://www.wps.cn/officeDocument/2017/etCustomData" ref="A3:I416" etc:filterBottomFollowUsedRange="0"/>
  <tableColumns count="9">
    <tableColumn id="1" name="Plant"/>
    <tableColumn id="2" name="Area"/>
    <tableColumn id="3" name="System"/>
    <tableColumn id="4" name="Process Code"/>
    <tableColumn id="5" name="Corrosion Loop / Equipment Model"/>
    <tableColumn id="6" name="Asset Tag"/>
    <tableColumn id="7" name="Asset Type"/>
    <tableColumn id="8" name="ECA Category"/>
    <tableColumn id="9" name="RBI Sc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CAFull" displayName="ECAFull" ref="A3:K416">
  <autoFilter xmlns:etc="http://www.wps.cn/officeDocument/2017/etCustomData" ref="A3:K416" etc:filterBottomFollowUsedRange="0"/>
  <tableColumns count="11">
    <tableColumn id="1" name="Asset Tag"/>
    <tableColumn id="2" name="Asset Type"/>
    <tableColumn id="3" name="System"/>
    <tableColumn id="4" name="Process Code"/>
    <tableColumn id="5" name="Production Impact Score"/>
    <tableColumn id="6" name="Safety/Environment Score"/>
    <tableColumn id="7" name="Maintainability Score"/>
    <tableColumn id="8" name="Final ECA Score"/>
    <tableColumn id="9" name="ECA Category"/>
    <tableColumn id="10" name="RBI Scope"/>
    <tableColumn id="11" name="ECA Ba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rrosionLoopModel" displayName="CorrosionLoopModel" ref="A3:N101">
  <autoFilter xmlns:etc="http://www.wps.cn/officeDocument/2017/etCustomData" ref="A3:N101" etc:filterBottomFollowUsedRange="0"/>
  <tableColumns count="14">
    <tableColumn id="1" name="Corrosion Loop ID"/>
    <tableColumn id="2" name="Asset Count"/>
    <tableColumn id="3" name="Asset Type Mix"/>
    <tableColumn id="4" name="System"/>
    <tableColumn id="5" name="Process Code"/>
    <tableColumn id="6" name="Fluid"/>
    <tableColumn id="7" name="Fluid State"/>
    <tableColumn id="8" name="Material Family"/>
    <tableColumn id="9" name="Dominant Damage Mechanisms"/>
    <tableColumn id="10" name="Avg PoF"/>
    <tableColumn id="11" name="Max CoF"/>
    <tableColumn id="12" name="Max Risk Level"/>
    <tableColumn id="13" name="Recommended Inspection Method"/>
    <tableColumn id="14" name="Recommended Interval (yr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MModel" displayName="DMModel" ref="A3:I101">
  <autoFilter xmlns:etc="http://www.wps.cn/officeDocument/2017/etCustomData" ref="A3:I101" etc:filterBottomFollowUsedRange="0"/>
  <tableColumns count="9">
    <tableColumn id="1" name="Corrosion Loop ID"/>
    <tableColumn id="2" name="System"/>
    <tableColumn id="3" name="Fluid"/>
    <tableColumn id="4" name="Phase"/>
    <tableColumn id="5" name="Material"/>
    <tableColumn id="6" name="Dominant DM"/>
    <tableColumn id="7" name="PoF Driver"/>
    <tableColumn id="8" name="Inspection Effectiveness Need"/>
    <tableColumn id="9" name="Com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OFEngine" displayName="POFEngine" ref="A3:H416">
  <autoFilter xmlns:etc="http://www.wps.cn/officeDocument/2017/etCustomData" ref="A3:H416" etc:filterBottomFollowUsedRange="0"/>
  <tableColumns count="8">
    <tableColumn id="1" name="Asset Tag"/>
    <tableColumn id="2" name="Corrosion Loop ID"/>
    <tableColumn id="3" name="Fluid"/>
    <tableColumn id="4" name="State"/>
    <tableColumn id="5" name="Material"/>
    <tableColumn id="6" name="Dominant DM"/>
    <tableColumn id="7" name="PoF Score"/>
    <tableColumn id="8" name="PoF Bas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FEngine" displayName="COFEngine" ref="A3:I416">
  <autoFilter xmlns:etc="http://www.wps.cn/officeDocument/2017/etCustomData" ref="A3:I416" etc:filterBottomFollowUsedRange="0"/>
  <tableColumns count="9">
    <tableColumn id="1" name="Asset Tag"/>
    <tableColumn id="2" name="Production"/>
    <tableColumn id="3" name="Asset Damage"/>
    <tableColumn id="4" name="Non-Productive Asset"/>
    <tableColumn id="5" name="Safety"/>
    <tableColumn id="6" name="Environment"/>
    <tableColumn id="7" name="Reputation"/>
    <tableColumn id="8" name="Final CoF"/>
    <tableColumn id="9" name="CoF Ba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iskEngine" displayName="RiskEngine" ref="A3:J416">
  <autoFilter xmlns:etc="http://www.wps.cn/officeDocument/2017/etCustomData" ref="A3:J416" etc:filterBottomFollowUsedRange="0"/>
  <tableColumns count="10">
    <tableColumn id="1" name="Asset Tag"/>
    <tableColumn id="2" name="Asset Type"/>
    <tableColumn id="3" name="System"/>
    <tableColumn id="4" name="Corrosion Loop ID"/>
    <tableColumn id="5" name="PoF Score"/>
    <tableColumn id="6" name="CoF Score"/>
    <tableColumn id="7" name="Risk Level"/>
    <tableColumn id="8" name="ECA Category"/>
    <tableColumn id="9" name="RBI Scope"/>
    <tableColumn id="10" name="Risk Bas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spectionStrategy" displayName="InspectionStrategy" ref="A3:J416">
  <autoFilter xmlns:etc="http://www.wps.cn/officeDocument/2017/etCustomData" ref="A3:J416" etc:filterBottomFollowUsedRange="0"/>
  <tableColumns count="10">
    <tableColumn id="1" name="Asset Tag"/>
    <tableColumn id="2" name="Asset Type"/>
    <tableColumn id="3" name="System"/>
    <tableColumn id="4" name="Corrosion Loop ID"/>
    <tableColumn id="5" name="Risk Level"/>
    <tableColumn id="6" name="Confidence Level"/>
    <tableColumn id="7" name="Interval (yr)"/>
    <tableColumn id="8" name="Method"/>
    <tableColumn id="9" name="TML / Focus Area"/>
    <tableColumn id="10" name="Basi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3UpgradeInput" displayName="L3UpgradeInput" ref="A3:O253">
  <autoFilter xmlns:etc="http://www.wps.cn/officeDocument/2017/etCustomData" ref="A3:O253" etc:filterBottomFollowUsedRange="0"/>
  <tableColumns count="15">
    <tableColumn id="1" name="Asset Tag"/>
    <tableColumn id="2" name="Asset Type"/>
    <tableColumn id="3" name="Corrosion Loop ID"/>
    <tableColumn id="4" name="t_nominal (mm)"/>
    <tableColumn id="5" name="t_initial (mm)"/>
    <tableColumn id="6" name="t_actual (mm)"/>
    <tableColumn id="7" name="t_min_required (mm)"/>
    <tableColumn id="8" name="t_previous (mm)"/>
    <tableColumn id="9" name="Inspection Date"/>
    <tableColumn id="10" name="Previous Inspection Date"/>
    <tableColumn id="11" name="CR_LT (mm/yr)"/>
    <tableColumn id="12" name="CR_ST (mm/yr)"/>
    <tableColumn id="13" name="Remaining Life (yr)"/>
    <tableColumn id="14" name="L3 PoF Score"/>
    <tableColumn id="15" name="Comm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ctionTracker" displayName="ActionTracker" ref="A3:E9">
  <autoFilter xmlns:etc="http://www.wps.cn/officeDocument/2017/etCustomData" ref="A3:E9" etc:filterBottomFollowUsedRange="0"/>
  <tableColumns count="5">
    <tableColumn id="1" name="No"/>
    <tableColumn id="2" name="Action"/>
    <tableColumn id="3" name="Owner"/>
    <tableColumn id="4" name="Priority"/>
    <tableColumn id="5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ECASummary" displayName="ECASummary" ref="A3:C6">
  <autoFilter xmlns:etc="http://www.wps.cn/officeDocument/2017/etCustomData" ref="A3:C6" etc:filterBottomFollowUsedRange="0"/>
  <tableColumns count="3">
    <tableColumn id="1" name="ECA Category"/>
    <tableColumn id="2" name="Asset Count"/>
    <tableColumn id="3" name="RBI Treatm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iskSummary" displayName="RiskSummary" ref="A10:B14">
  <autoFilter xmlns:etc="http://www.wps.cn/officeDocument/2017/etCustomData" ref="A10:B14" etc:filterBottomFollowUsedRange="0"/>
  <tableColumns count="2">
    <tableColumn id="1" name="Risk Level"/>
    <tableColumn id="2" name="Asset Cou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ystemSummary" displayName="SystemSummary" ref="A17:B22">
  <autoFilter xmlns:etc="http://www.wps.cn/officeDocument/2017/etCustomData" ref="A17:B22" etc:filterBottomFollowUsedRange="0"/>
  <tableColumns count="2">
    <tableColumn id="1" name="System"/>
    <tableColumn id="2" name="Asset Cou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iskMatrixLinkData" displayName="RiskMatrixLinkData" ref="A3:K1003">
  <autoFilter xmlns:etc="http://www.wps.cn/officeDocument/2017/etCustomData" ref="A3:K1003" etc:filterBottomFollowUsedRange="0"/>
  <tableColumns count="11">
    <tableColumn id="1" name="Asset Tag"/>
    <tableColumn id="2" name="Asset Type"/>
    <tableColumn id="3" name="System"/>
    <tableColumn id="4" name="Corrosion Loop ID"/>
    <tableColumn id="5" name="Current PoF"/>
    <tableColumn id="6" name="Current CoF"/>
    <tableColumn id="7" name="Current Risk"/>
    <tableColumn id="8" name="PoF at Plan Date w/o Inspection"/>
    <tableColumn id="9" name="PoF at Plan Date with Inspection"/>
    <tableColumn id="10" name="Plan Risk w/o Inspection"/>
    <tableColumn id="11" name="Plan Risk with Inspe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AssetLevelReconciliation" displayName="AssetLevelReconciliation" ref="A35:I235">
  <autoFilter xmlns:etc="http://www.wps.cn/officeDocument/2017/etCustomData" ref="A35:I235" etc:filterBottomFollowUsedRange="0"/>
  <tableColumns count="9">
    <tableColumn id="1" name="No"/>
    <tableColumn id="2" name="Asset Tag"/>
    <tableColumn id="3" name="In Asset Input?"/>
    <tableColumn id="4" name="In Risk Engine?"/>
    <tableColumn id="5" name="In Matrix Link?"/>
    <tableColumn id="6" name="PoF"/>
    <tableColumn id="7" name="CoF"/>
    <tableColumn id="8" name="Risk"/>
    <tableColumn id="9" name="Check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GBCodeMasterTable" displayName="GBCodeMasterTable" ref="A4:J38">
  <tableColumns count="10">
    <tableColumn id="1" name="Code"/>
    <tableColumn id="2" name="Code Type"/>
    <tableColumn id="3" name="Area/System Group"/>
    <tableColumn id="4" name="Service / Description"/>
    <tableColumn id="5" name="Typical Asset Type"/>
    <tableColumn id="6" name="RBI Grouping Logic"/>
    <tableColumn id="7" name="Typical Damage Mechanism / Concern"/>
    <tableColumn id="8" name="RBI Treatment"/>
    <tableColumn id="9" name="Current Asset Count"/>
    <tableColumn id="10" name="Notes / 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zoomScale="55" zoomScaleNormal="55" topLeftCell="A17" workbookViewId="0">
      <selection activeCell="J32" sqref="J32"/>
    </sheetView>
  </sheetViews>
  <sheetFormatPr defaultColWidth="9" defaultRowHeight="14.5"/>
  <cols>
    <col min="1" max="13" width="12" customWidth="1"/>
  </cols>
  <sheetData>
    <row r="1" customFormat="1" ht="22" customHeight="1" spans="1:13">
      <c r="A1" s="207" t="s">
        <v>0</v>
      </c>
      <c r="I1" s="208" t="s">
        <v>1</v>
      </c>
    </row>
    <row r="2" customFormat="1" ht="22" customHeight="1" spans="1:13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customFormat="1" ht="22" customHeight="1" spans="1:13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customFormat="1" ht="22" customHeight="1" spans="1:13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customFormat="1" ht="22" customHeight="1" spans="1:13">
      <c r="A5" s="212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2"/>
    </row>
    <row r="6" customFormat="1" ht="22" customHeight="1" spans="1:13">
      <c r="A6" s="212"/>
      <c r="B6" s="210"/>
      <c r="C6" s="210"/>
      <c r="D6" s="210"/>
      <c r="E6" s="210"/>
      <c r="F6" s="210"/>
      <c r="G6" s="213"/>
      <c r="H6" s="213"/>
      <c r="I6" s="213"/>
      <c r="J6" s="213"/>
      <c r="K6" s="213"/>
      <c r="L6" s="210"/>
      <c r="M6" s="212"/>
    </row>
    <row r="7" customFormat="1" ht="22" customHeight="1" spans="1:13">
      <c r="A7" s="212"/>
      <c r="B7" s="214" t="s">
        <v>2</v>
      </c>
      <c r="F7" s="210"/>
      <c r="G7" s="215"/>
      <c r="H7" s="215"/>
      <c r="I7" s="215"/>
      <c r="J7" s="215"/>
      <c r="K7" s="215"/>
      <c r="L7" s="210"/>
      <c r="M7" s="212"/>
    </row>
    <row r="8" customFormat="1" ht="22" customHeight="1" spans="1:13">
      <c r="A8" s="212"/>
      <c r="B8"/>
      <c r="F8" s="210"/>
      <c r="G8" s="216" t="s">
        <v>3</v>
      </c>
      <c r="H8" s="217"/>
      <c r="I8" s="217"/>
      <c r="J8" s="217"/>
      <c r="K8" s="218"/>
      <c r="L8" s="210"/>
      <c r="M8" s="212"/>
    </row>
    <row r="9" customFormat="1" ht="22" customHeight="1" spans="1:13">
      <c r="A9" s="212"/>
      <c r="B9"/>
      <c r="F9" s="210"/>
      <c r="G9" s="219"/>
      <c r="H9" s="220"/>
      <c r="I9" s="220"/>
      <c r="J9" s="220"/>
      <c r="K9" s="221"/>
      <c r="L9" s="210"/>
      <c r="M9" s="212"/>
    </row>
    <row r="10" customFormat="1" ht="22" customHeight="1" spans="1:13">
      <c r="A10" s="212"/>
      <c r="B10"/>
      <c r="C10"/>
      <c r="D10"/>
      <c r="E10"/>
      <c r="F10" s="210"/>
      <c r="G10" s="222" t="s">
        <v>4</v>
      </c>
      <c r="H10" s="217"/>
      <c r="I10" s="217"/>
      <c r="J10" s="217"/>
      <c r="K10" s="218"/>
      <c r="L10" s="210"/>
      <c r="M10" s="212"/>
    </row>
    <row r="11" customFormat="1" ht="22" customHeight="1" spans="1:13">
      <c r="A11" s="212"/>
      <c r="B11" s="210"/>
      <c r="C11" s="210"/>
      <c r="D11" s="210"/>
      <c r="E11" s="210"/>
      <c r="F11" s="210"/>
      <c r="G11" s="219"/>
      <c r="H11" s="220"/>
      <c r="I11" s="220"/>
      <c r="J11" s="220"/>
      <c r="K11" s="221"/>
      <c r="L11" s="210"/>
      <c r="M11" s="212"/>
    </row>
    <row r="12" customFormat="1" ht="22" customHeight="1" spans="1:13">
      <c r="A12" s="212"/>
      <c r="B12" s="223" t="s">
        <v>5</v>
      </c>
      <c r="F12" s="210"/>
      <c r="G12" s="215"/>
      <c r="H12" s="215"/>
      <c r="I12" s="215"/>
      <c r="J12" s="215"/>
      <c r="K12" s="215"/>
      <c r="L12" s="210"/>
      <c r="M12" s="212"/>
    </row>
    <row r="13" customFormat="1" ht="22" customHeight="1" spans="1:13">
      <c r="A13" s="212"/>
      <c r="B13"/>
      <c r="F13" s="210"/>
      <c r="G13" s="224" t="s">
        <v>6</v>
      </c>
      <c r="H13" s="225" t="s">
        <v>7</v>
      </c>
      <c r="I13" s="226"/>
      <c r="J13" s="226"/>
      <c r="K13" s="226"/>
      <c r="L13" s="210"/>
      <c r="M13" s="212"/>
    </row>
    <row r="14" customFormat="1" ht="22" customHeight="1" spans="1:13">
      <c r="A14" s="212"/>
      <c r="B14"/>
      <c r="C14"/>
      <c r="D14"/>
      <c r="E14"/>
      <c r="F14" s="210"/>
      <c r="G14" s="215"/>
      <c r="H14" s="215"/>
      <c r="I14" s="215"/>
      <c r="J14" s="215"/>
      <c r="K14" s="215"/>
      <c r="L14" s="210"/>
      <c r="M14" s="212"/>
    </row>
    <row r="15" customFormat="1" ht="22" customHeight="1" spans="1:13">
      <c r="A15" s="212"/>
      <c r="B15" s="210"/>
      <c r="C15" s="210"/>
      <c r="D15" s="210"/>
      <c r="E15" s="210"/>
      <c r="F15" s="210"/>
      <c r="G15" s="224" t="s">
        <v>8</v>
      </c>
      <c r="H15" s="225" t="s">
        <v>9</v>
      </c>
      <c r="I15" s="226"/>
      <c r="J15" s="226"/>
      <c r="K15" s="226"/>
      <c r="L15" s="210"/>
      <c r="M15" s="212"/>
    </row>
    <row r="16" customFormat="1" ht="22" customHeight="1" spans="1:13">
      <c r="A16" s="212"/>
      <c r="B16" s="210"/>
      <c r="C16" s="210"/>
      <c r="D16" s="210"/>
      <c r="E16" s="210"/>
      <c r="F16" s="210"/>
      <c r="G16" s="215"/>
      <c r="H16" s="215"/>
      <c r="I16" s="215"/>
      <c r="J16" s="215"/>
      <c r="K16" s="215"/>
      <c r="L16" s="210"/>
      <c r="M16" s="212"/>
    </row>
    <row r="17" customFormat="1" ht="22" customHeight="1" spans="1:13">
      <c r="A17" s="212"/>
      <c r="B17" s="227" t="s">
        <v>10</v>
      </c>
      <c r="C17" s="228"/>
      <c r="D17" s="227" t="s">
        <v>11</v>
      </c>
      <c r="E17" s="228"/>
      <c r="F17" s="210"/>
      <c r="G17" s="215"/>
      <c r="H17" s="215"/>
      <c r="I17" s="215"/>
      <c r="J17" s="215"/>
      <c r="K17" s="215"/>
      <c r="L17" s="210"/>
      <c r="M17" s="212"/>
    </row>
    <row r="18" customFormat="1" ht="22" customHeight="1" spans="1:13">
      <c r="A18" s="212"/>
      <c r="B18" s="228"/>
      <c r="C18" s="228"/>
      <c r="D18" s="228"/>
      <c r="E18" s="228"/>
      <c r="F18" s="210"/>
      <c r="G18" s="229" t="s">
        <v>12</v>
      </c>
      <c r="H18" s="230"/>
      <c r="I18" s="230"/>
      <c r="J18" s="231" t="s">
        <v>13</v>
      </c>
      <c r="K18" s="232"/>
      <c r="L18" s="210"/>
      <c r="M18" s="212"/>
    </row>
    <row r="19" customFormat="1" ht="22" customHeight="1" spans="1:13">
      <c r="A19" s="212"/>
      <c r="B19" s="210"/>
      <c r="C19" s="210"/>
      <c r="D19" s="210"/>
      <c r="E19" s="210"/>
      <c r="F19" s="210"/>
      <c r="G19" s="230"/>
      <c r="H19" s="230"/>
      <c r="I19" s="230"/>
      <c r="J19" s="232"/>
      <c r="K19" s="232"/>
      <c r="L19" s="210"/>
      <c r="M19" s="212"/>
    </row>
    <row r="20" customFormat="1" ht="22" customHeight="1" spans="1:13">
      <c r="A20" s="212"/>
      <c r="B20" s="227" t="s">
        <v>14</v>
      </c>
      <c r="C20" s="228"/>
      <c r="D20" s="227" t="s">
        <v>15</v>
      </c>
      <c r="E20" s="228"/>
      <c r="F20" s="210"/>
      <c r="G20" s="215"/>
      <c r="H20" s="215"/>
      <c r="I20" s="215"/>
      <c r="J20" s="215"/>
      <c r="K20" s="215"/>
      <c r="L20" s="210"/>
      <c r="M20" s="212"/>
    </row>
    <row r="21" customFormat="1" ht="22" customHeight="1" spans="1:13">
      <c r="A21" s="212"/>
      <c r="B21" s="228"/>
      <c r="C21" s="228"/>
      <c r="D21" s="228"/>
      <c r="E21" s="228"/>
      <c r="F21" s="210"/>
      <c r="G21" s="233" t="s">
        <v>16</v>
      </c>
      <c r="H21" s="234"/>
      <c r="I21" s="234"/>
      <c r="J21" s="234"/>
      <c r="K21" s="234"/>
      <c r="L21" s="210"/>
      <c r="M21" s="212"/>
    </row>
    <row r="22" customFormat="1" ht="22" customHeight="1" spans="1:13">
      <c r="A22" s="212"/>
      <c r="B22" s="210"/>
      <c r="C22" s="210"/>
      <c r="D22" s="210"/>
      <c r="E22" s="210"/>
      <c r="F22" s="210"/>
      <c r="G22" s="234"/>
      <c r="H22" s="234"/>
      <c r="I22" s="234"/>
      <c r="J22" s="234"/>
      <c r="K22" s="234"/>
      <c r="L22" s="210"/>
      <c r="M22" s="212"/>
    </row>
    <row r="23" customFormat="1" ht="22" customHeight="1" spans="1:13">
      <c r="A23" s="212"/>
      <c r="B23" s="210"/>
      <c r="C23" s="210"/>
      <c r="D23" s="210"/>
      <c r="E23" s="210"/>
      <c r="F23" s="210"/>
      <c r="G23" s="215"/>
      <c r="H23" s="215"/>
      <c r="I23" s="215"/>
      <c r="J23" s="215"/>
      <c r="K23" s="215"/>
      <c r="L23" s="210"/>
      <c r="M23" s="212"/>
    </row>
    <row r="24" customFormat="1" ht="22" customHeight="1" spans="1:13">
      <c r="A24" s="212"/>
      <c r="B24" s="235" t="s">
        <v>17</v>
      </c>
      <c r="F24" s="210"/>
      <c r="G24" s="236" t="s">
        <v>18</v>
      </c>
      <c r="H24" s="237"/>
      <c r="I24" s="237"/>
      <c r="J24" s="237"/>
      <c r="K24" s="238"/>
      <c r="L24" s="210"/>
      <c r="M24" s="212"/>
    </row>
    <row r="25" customFormat="1" ht="22" customHeight="1" spans="1:13">
      <c r="A25" s="212"/>
      <c r="B25"/>
      <c r="F25" s="210"/>
      <c r="G25" s="215"/>
      <c r="H25" s="215"/>
      <c r="I25" s="215"/>
      <c r="J25" s="215"/>
      <c r="K25" s="215"/>
      <c r="L25" s="210"/>
      <c r="M25" s="212"/>
    </row>
    <row r="26" customFormat="1" ht="22" customHeight="1" spans="1:13">
      <c r="A26" s="212"/>
      <c r="B26"/>
      <c r="C26"/>
      <c r="D26"/>
      <c r="E26"/>
      <c r="F26" s="210"/>
      <c r="G26" s="215"/>
      <c r="H26" s="215"/>
      <c r="I26" s="215"/>
      <c r="J26" s="215"/>
      <c r="K26" s="215"/>
      <c r="L26" s="210"/>
      <c r="M26" s="212"/>
    </row>
    <row r="27" customFormat="1" ht="22" customHeight="1" spans="1:13">
      <c r="A27" s="212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2"/>
    </row>
    <row r="28" customFormat="1" ht="22" customHeight="1" spans="1:13">
      <c r="A28" s="212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2"/>
    </row>
    <row r="29" customFormat="1" ht="22" customHeight="1" spans="1:13">
      <c r="A29" s="212"/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2"/>
    </row>
    <row r="30" customFormat="1" ht="22" customHeight="1" spans="1:13">
      <c r="A30" s="212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2"/>
    </row>
    <row r="31" customFormat="1" ht="22" customHeight="1" spans="1:13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</row>
    <row r="32" customFormat="1" ht="22" customHeight="1" spans="1:13">
      <c r="A32" s="210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</row>
    <row r="33" customFormat="1" ht="22" customHeight="1" spans="1:13">
      <c r="A33" s="210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</row>
    <row r="34" customFormat="1" ht="22" customHeight="1" spans="1:13">
      <c r="A34" s="240" t="s">
        <v>19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</row>
    <row r="35" customFormat="1" ht="22" customHeight="1" spans="1:13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</row>
    <row r="36" customFormat="1" ht="22" customHeight="1" spans="1:13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</row>
    <row r="37" customFormat="1" ht="22" customHeight="1" spans="1:1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</row>
  </sheetData>
  <mergeCells count="18">
    <mergeCell ref="H13:K13"/>
    <mergeCell ref="H15:K15"/>
    <mergeCell ref="G24:K24"/>
    <mergeCell ref="J18:K19"/>
    <mergeCell ref="G18:I19"/>
    <mergeCell ref="B17:C18"/>
    <mergeCell ref="D17:E18"/>
    <mergeCell ref="G21:K22"/>
    <mergeCell ref="I1:M2"/>
    <mergeCell ref="B12:E14"/>
    <mergeCell ref="B20:C21"/>
    <mergeCell ref="D20:E21"/>
    <mergeCell ref="A34:M35"/>
    <mergeCell ref="B24:E26"/>
    <mergeCell ref="G10:K11"/>
    <mergeCell ref="A1:H2"/>
    <mergeCell ref="B7:E10"/>
    <mergeCell ref="G8:K9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workbookViewId="0">
      <selection activeCell="A1" sqref="A1:M1"/>
    </sheetView>
  </sheetViews>
  <sheetFormatPr defaultColWidth="9" defaultRowHeight="14.5"/>
  <cols>
    <col min="1" max="13" width="14" customWidth="1"/>
  </cols>
  <sheetData>
    <row r="1" customFormat="1" ht="22" customHeight="1" spans="1:13">
      <c r="A1" s="34" t="s">
        <v>20</v>
      </c>
    </row>
    <row r="2" customFormat="1" ht="22" customHeight="1" spans="1:13">
      <c r="A2" s="177" t="s">
        <v>21</v>
      </c>
    </row>
    <row r="3" customFormat="1" ht="22" customHeight="1" spans="1:1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customFormat="1" ht="22" customHeight="1" spans="1:13">
      <c r="A4" s="36"/>
      <c r="B4" s="178" t="s">
        <v>22</v>
      </c>
      <c r="C4" s="105"/>
      <c r="D4" s="105"/>
      <c r="E4" s="105"/>
      <c r="F4" s="105"/>
      <c r="G4" s="105"/>
      <c r="H4" s="105"/>
      <c r="I4" s="36"/>
      <c r="J4" s="178" t="s">
        <v>23</v>
      </c>
      <c r="K4" s="105"/>
      <c r="L4" s="105"/>
      <c r="M4" s="105"/>
    </row>
    <row r="5" customFormat="1" ht="22" customHeight="1" spans="1:1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customFormat="1" ht="22" customHeight="1" spans="1:13">
      <c r="A6" s="36"/>
      <c r="B6" s="36"/>
      <c r="C6" s="179" t="s">
        <v>24</v>
      </c>
      <c r="D6" s="180"/>
      <c r="E6" s="180"/>
      <c r="F6" s="180"/>
      <c r="G6" s="181"/>
      <c r="H6" s="36"/>
      <c r="I6" s="36"/>
      <c r="J6" s="182" t="s">
        <v>25</v>
      </c>
      <c r="K6" s="180"/>
      <c r="L6" s="180"/>
      <c r="M6" s="181"/>
    </row>
    <row r="7" customFormat="1" ht="22" customHeight="1" spans="1:13">
      <c r="A7" s="36"/>
      <c r="B7" s="36"/>
      <c r="C7" s="183"/>
      <c r="D7" s="11"/>
      <c r="E7" s="11"/>
      <c r="F7" s="11"/>
      <c r="G7" s="184"/>
      <c r="H7" s="36"/>
      <c r="I7" s="36"/>
      <c r="J7" s="185"/>
      <c r="M7" s="186"/>
    </row>
    <row r="8" customFormat="1" ht="22" customHeight="1" spans="1:13">
      <c r="A8" s="36"/>
      <c r="B8" s="36"/>
      <c r="C8" s="36"/>
      <c r="D8" s="36"/>
      <c r="E8" s="187" t="s">
        <v>26</v>
      </c>
      <c r="F8" s="36"/>
      <c r="G8" s="36"/>
      <c r="H8" s="36"/>
      <c r="I8" s="36"/>
      <c r="J8" s="185"/>
      <c r="M8" s="186"/>
    </row>
    <row r="9" customFormat="1" ht="22" customHeight="1" spans="1:13">
      <c r="A9" s="36"/>
      <c r="B9" s="36"/>
      <c r="C9" s="188" t="s">
        <v>27</v>
      </c>
      <c r="D9" s="180"/>
      <c r="E9" s="180"/>
      <c r="F9" s="180"/>
      <c r="G9" s="181"/>
      <c r="H9" s="36"/>
      <c r="I9" s="36"/>
      <c r="J9" s="183"/>
      <c r="K9" s="11"/>
      <c r="L9" s="11"/>
      <c r="M9" s="184"/>
    </row>
    <row r="10" customFormat="1" ht="22" customHeight="1" spans="1:13">
      <c r="A10" s="36"/>
      <c r="B10" s="36"/>
      <c r="C10" s="185"/>
      <c r="G10" s="186"/>
      <c r="H10" s="36"/>
      <c r="I10" s="36"/>
      <c r="J10" s="36"/>
      <c r="K10" s="36"/>
      <c r="L10" s="36"/>
      <c r="M10" s="36"/>
    </row>
    <row r="11" customFormat="1" ht="22" customHeight="1" spans="1:13">
      <c r="A11" s="36"/>
      <c r="B11" s="36"/>
      <c r="C11" s="183"/>
      <c r="D11" s="11"/>
      <c r="E11" s="11"/>
      <c r="F11" s="11"/>
      <c r="G11" s="184"/>
      <c r="H11" s="36"/>
      <c r="I11" s="36"/>
      <c r="J11" s="182" t="s">
        <v>28</v>
      </c>
      <c r="K11" s="180"/>
      <c r="L11" s="180"/>
      <c r="M11" s="181"/>
    </row>
    <row r="12" customFormat="1" ht="22" customHeight="1" spans="1:13">
      <c r="A12" s="36"/>
      <c r="B12" s="36"/>
      <c r="C12" s="36"/>
      <c r="D12" s="36"/>
      <c r="E12" s="187" t="s">
        <v>26</v>
      </c>
      <c r="F12" s="36"/>
      <c r="G12" s="36"/>
      <c r="H12" s="36"/>
      <c r="I12" s="36"/>
      <c r="J12" s="185"/>
      <c r="M12" s="186"/>
    </row>
    <row r="13" customFormat="1" ht="22" customHeight="1" spans="1:13">
      <c r="A13" s="36"/>
      <c r="B13" s="36"/>
      <c r="C13" s="189" t="s">
        <v>29</v>
      </c>
      <c r="D13" s="180"/>
      <c r="E13" s="180"/>
      <c r="F13" s="180"/>
      <c r="G13" s="181"/>
      <c r="H13" s="36"/>
      <c r="I13" s="36"/>
      <c r="J13" s="185"/>
      <c r="M13" s="186"/>
    </row>
    <row r="14" customFormat="1" ht="22" customHeight="1" spans="1:13">
      <c r="A14" s="36"/>
      <c r="B14" s="36"/>
      <c r="C14" s="185"/>
      <c r="G14" s="186"/>
      <c r="H14" s="36"/>
      <c r="I14" s="36"/>
      <c r="J14" s="183"/>
      <c r="K14" s="11"/>
      <c r="L14" s="11"/>
      <c r="M14" s="184"/>
    </row>
    <row r="15" customFormat="1" ht="22" customHeight="1" spans="1:13">
      <c r="A15" s="36"/>
      <c r="B15" s="36"/>
      <c r="C15" s="185"/>
      <c r="G15" s="186"/>
      <c r="H15" s="36"/>
      <c r="I15" s="36"/>
      <c r="J15" s="36"/>
      <c r="K15" s="36"/>
      <c r="L15" s="36"/>
      <c r="M15" s="36"/>
    </row>
    <row r="16" customFormat="1" ht="22" customHeight="1" spans="1:13">
      <c r="A16" s="36"/>
      <c r="B16" s="36"/>
      <c r="C16" s="183"/>
      <c r="D16" s="11"/>
      <c r="E16" s="11"/>
      <c r="F16" s="11"/>
      <c r="G16" s="184"/>
      <c r="H16" s="36"/>
      <c r="I16" s="36"/>
      <c r="J16" s="182" t="s">
        <v>30</v>
      </c>
      <c r="K16" s="180"/>
      <c r="L16" s="180"/>
      <c r="M16" s="181"/>
    </row>
    <row r="17" customFormat="1" ht="22" customHeight="1" spans="1:13">
      <c r="A17" s="36"/>
      <c r="B17" s="36"/>
      <c r="C17" s="36"/>
      <c r="D17" s="36"/>
      <c r="E17" s="187" t="s">
        <v>26</v>
      </c>
      <c r="F17" s="36"/>
      <c r="G17" s="36"/>
      <c r="H17" s="36"/>
      <c r="I17" s="36"/>
      <c r="J17" s="185"/>
      <c r="M17" s="186"/>
    </row>
    <row r="18" customFormat="1" ht="22" customHeight="1" spans="1:13">
      <c r="A18" s="36"/>
      <c r="B18" s="36"/>
      <c r="C18" s="190" t="s">
        <v>31</v>
      </c>
      <c r="D18" s="180"/>
      <c r="E18" s="180"/>
      <c r="F18" s="180"/>
      <c r="G18" s="181"/>
      <c r="H18" s="36"/>
      <c r="I18" s="36"/>
      <c r="J18" s="185"/>
      <c r="M18" s="186"/>
    </row>
    <row r="19" customFormat="1" ht="22" customHeight="1" spans="1:13">
      <c r="A19" s="36"/>
      <c r="B19" s="36"/>
      <c r="C19" s="185"/>
      <c r="G19" s="186"/>
      <c r="H19" s="36"/>
      <c r="I19" s="36"/>
      <c r="J19" s="183"/>
      <c r="K19" s="11"/>
      <c r="L19" s="11"/>
      <c r="M19" s="184"/>
    </row>
    <row r="20" customFormat="1" ht="22" customHeight="1" spans="1:13">
      <c r="A20" s="36"/>
      <c r="B20" s="36"/>
      <c r="C20" s="183"/>
      <c r="D20" s="11"/>
      <c r="E20" s="11"/>
      <c r="F20" s="11"/>
      <c r="G20" s="184"/>
      <c r="H20" s="36"/>
      <c r="I20" s="36"/>
      <c r="J20" s="36"/>
      <c r="K20" s="36"/>
      <c r="L20" s="36"/>
      <c r="M20" s="36"/>
    </row>
    <row r="21" customFormat="1" ht="22" customHeight="1" spans="1:13">
      <c r="A21" s="36"/>
      <c r="B21" s="36"/>
      <c r="C21" s="36"/>
      <c r="D21" s="36"/>
      <c r="E21" s="187" t="s">
        <v>26</v>
      </c>
      <c r="F21" s="36"/>
      <c r="G21" s="36"/>
      <c r="H21" s="36"/>
      <c r="I21" s="36"/>
      <c r="J21" s="182" t="s">
        <v>32</v>
      </c>
      <c r="K21" s="180"/>
      <c r="L21" s="180"/>
      <c r="M21" s="181"/>
    </row>
    <row r="22" customFormat="1" ht="22" customHeight="1" spans="1:13">
      <c r="A22" s="36"/>
      <c r="B22" s="36"/>
      <c r="C22" s="191" t="s">
        <v>33</v>
      </c>
      <c r="D22" s="180"/>
      <c r="E22" s="180"/>
      <c r="F22" s="180"/>
      <c r="G22" s="181"/>
      <c r="H22" s="36"/>
      <c r="I22" s="36"/>
      <c r="J22" s="185"/>
      <c r="M22" s="186"/>
    </row>
    <row r="23" customFormat="1" ht="22" customHeight="1" spans="1:13">
      <c r="A23" s="36"/>
      <c r="B23" s="36"/>
      <c r="C23" s="185"/>
      <c r="G23" s="186"/>
      <c r="H23" s="192" t="s">
        <v>34</v>
      </c>
      <c r="I23" s="11"/>
      <c r="J23" s="185"/>
      <c r="M23" s="186"/>
    </row>
    <row r="24" customFormat="1" ht="22" customHeight="1" spans="1:13">
      <c r="A24" s="36"/>
      <c r="B24" s="36"/>
      <c r="C24" s="183"/>
      <c r="D24" s="11"/>
      <c r="E24" s="11"/>
      <c r="F24" s="11"/>
      <c r="G24" s="184"/>
      <c r="H24" s="193" t="s">
        <v>35</v>
      </c>
      <c r="I24" s="11"/>
      <c r="J24" s="183"/>
      <c r="K24" s="11"/>
      <c r="L24" s="11"/>
      <c r="M24" s="184"/>
    </row>
    <row r="25" customFormat="1" ht="22" customHeight="1" spans="1:13">
      <c r="A25" s="36"/>
      <c r="B25" s="36"/>
      <c r="C25" s="36"/>
      <c r="D25" s="36"/>
      <c r="E25" s="187" t="s">
        <v>26</v>
      </c>
      <c r="F25" s="36"/>
      <c r="G25" s="36"/>
      <c r="H25" s="36"/>
      <c r="I25" s="36"/>
      <c r="J25" s="36"/>
      <c r="K25" s="36"/>
      <c r="L25" s="36"/>
      <c r="M25" s="36"/>
    </row>
    <row r="26" customFormat="1" ht="22" customHeight="1" spans="1:13">
      <c r="A26" s="36"/>
      <c r="B26" s="36"/>
      <c r="C26" s="194" t="s">
        <v>36</v>
      </c>
      <c r="D26" s="180"/>
      <c r="E26" s="180"/>
      <c r="F26" s="180"/>
      <c r="G26" s="181"/>
      <c r="H26" s="36"/>
      <c r="I26" s="36"/>
      <c r="J26" s="182" t="s">
        <v>37</v>
      </c>
      <c r="K26" s="180"/>
      <c r="L26" s="180"/>
      <c r="M26" s="181"/>
    </row>
    <row r="27" customFormat="1" ht="22" customHeight="1" spans="1:13">
      <c r="A27" s="36"/>
      <c r="B27" s="36"/>
      <c r="C27" s="185"/>
      <c r="G27" s="186"/>
      <c r="H27" s="36"/>
      <c r="I27" s="36"/>
      <c r="J27" s="185"/>
      <c r="M27" s="186"/>
    </row>
    <row r="28" customFormat="1" ht="22" customHeight="1" spans="1:13">
      <c r="A28" s="36"/>
      <c r="B28" s="36"/>
      <c r="C28" s="183"/>
      <c r="D28" s="11"/>
      <c r="E28" s="11"/>
      <c r="F28" s="11"/>
      <c r="G28" s="184"/>
      <c r="H28" s="36"/>
      <c r="I28" s="36"/>
      <c r="J28" s="185"/>
      <c r="M28" s="186"/>
    </row>
    <row r="29" customFormat="1" ht="22" customHeight="1" spans="1:13">
      <c r="A29" s="36"/>
      <c r="B29" s="36"/>
      <c r="C29" s="36"/>
      <c r="D29" s="36"/>
      <c r="E29" s="187" t="s">
        <v>26</v>
      </c>
      <c r="F29" s="36"/>
      <c r="G29" s="36"/>
      <c r="H29" s="36"/>
      <c r="I29" s="36"/>
      <c r="J29" s="183"/>
      <c r="K29" s="11"/>
      <c r="L29" s="11"/>
      <c r="M29" s="184"/>
    </row>
    <row r="30" customFormat="1" ht="22" customHeight="1" spans="1:13">
      <c r="A30" s="36"/>
      <c r="B30" s="36"/>
      <c r="C30" s="195" t="s">
        <v>38</v>
      </c>
      <c r="D30" s="180"/>
      <c r="E30" s="180"/>
      <c r="F30" s="180"/>
      <c r="G30" s="181"/>
      <c r="H30" s="36"/>
      <c r="I30" s="36"/>
      <c r="J30" s="36"/>
      <c r="K30" s="36"/>
      <c r="L30" s="36"/>
      <c r="M30" s="36"/>
    </row>
    <row r="31" customFormat="1" ht="22" customHeight="1" spans="1:13">
      <c r="A31" s="36"/>
      <c r="B31" s="36"/>
      <c r="C31" s="185"/>
      <c r="G31" s="186"/>
      <c r="H31" s="36"/>
      <c r="I31" s="36"/>
      <c r="J31" s="196" t="s">
        <v>39</v>
      </c>
      <c r="K31" s="105"/>
      <c r="L31" s="105"/>
      <c r="M31" s="105"/>
    </row>
    <row r="32" customFormat="1" ht="22" customHeight="1" spans="1:13">
      <c r="A32" s="36"/>
      <c r="B32" s="36"/>
      <c r="C32" s="185"/>
      <c r="G32" s="186"/>
      <c r="H32" s="36"/>
      <c r="I32" s="36"/>
      <c r="J32" s="197" t="s">
        <v>40</v>
      </c>
    </row>
    <row r="33" customFormat="1" ht="22" customHeight="1" spans="1:13">
      <c r="A33" s="36"/>
      <c r="B33" s="36"/>
      <c r="C33" s="183"/>
      <c r="D33" s="11"/>
      <c r="E33" s="11"/>
      <c r="F33" s="11"/>
      <c r="G33" s="184"/>
      <c r="H33" s="36"/>
      <c r="I33" s="36"/>
    </row>
    <row r="34" customFormat="1" ht="22" customHeight="1" spans="1:13">
      <c r="A34" s="36"/>
      <c r="B34" s="36"/>
      <c r="C34" s="36"/>
      <c r="D34" s="36"/>
      <c r="E34" s="187" t="s">
        <v>26</v>
      </c>
      <c r="F34" s="36"/>
      <c r="G34" s="36"/>
      <c r="H34" s="36"/>
      <c r="I34" s="36"/>
    </row>
    <row r="35" customFormat="1" ht="22" customHeight="1" spans="1:13">
      <c r="A35" s="36"/>
      <c r="B35" s="36"/>
      <c r="C35" s="189" t="s">
        <v>41</v>
      </c>
      <c r="D35" s="180"/>
      <c r="E35" s="180"/>
      <c r="F35" s="180"/>
      <c r="G35" s="181"/>
      <c r="H35" s="36"/>
      <c r="I35" s="36"/>
    </row>
    <row r="36" customFormat="1" ht="22" customHeight="1" spans="1:13">
      <c r="A36" s="36"/>
      <c r="B36" s="36"/>
      <c r="C36" s="185"/>
      <c r="G36" s="186"/>
      <c r="H36" s="36"/>
      <c r="I36" s="36"/>
    </row>
    <row r="37" customFormat="1" ht="22" customHeight="1" spans="1:13">
      <c r="A37" s="36"/>
      <c r="B37" s="36"/>
      <c r="C37" s="183"/>
      <c r="D37" s="11"/>
      <c r="E37" s="11"/>
      <c r="F37" s="11"/>
      <c r="G37" s="184"/>
      <c r="H37" s="36"/>
      <c r="I37" s="36"/>
    </row>
    <row r="38" customFormat="1" ht="22" customHeight="1" spans="1:13">
      <c r="A38" s="36"/>
      <c r="B38" s="36"/>
      <c r="C38" s="36"/>
      <c r="D38" s="36"/>
      <c r="E38" s="187" t="s">
        <v>26</v>
      </c>
      <c r="F38" s="36"/>
      <c r="G38" s="36"/>
      <c r="H38" s="36"/>
      <c r="I38" s="36"/>
    </row>
    <row r="39" customFormat="1" ht="22" customHeight="1" spans="1:13">
      <c r="A39" s="36"/>
      <c r="B39" s="36"/>
      <c r="C39" s="190" t="s">
        <v>42</v>
      </c>
      <c r="D39" s="180"/>
      <c r="E39" s="180"/>
      <c r="F39" s="180"/>
      <c r="G39" s="181"/>
      <c r="H39" s="36"/>
      <c r="I39" s="36"/>
    </row>
    <row r="40" customFormat="1" ht="22" customHeight="1" spans="1:13">
      <c r="A40" s="36"/>
      <c r="B40" s="36"/>
      <c r="C40" s="185"/>
      <c r="G40" s="186"/>
      <c r="H40" s="36"/>
      <c r="I40" s="36"/>
    </row>
    <row r="41" customFormat="1" ht="22" customHeight="1" spans="1:13">
      <c r="A41" s="36"/>
      <c r="B41" s="36"/>
      <c r="C41" s="183"/>
      <c r="D41" s="11"/>
      <c r="E41" s="11"/>
      <c r="F41" s="11"/>
      <c r="G41" s="184"/>
      <c r="H41" s="36"/>
      <c r="I41" s="36"/>
    </row>
    <row r="42" customFormat="1" ht="22" customHeight="1" spans="1:13">
      <c r="A42" s="36"/>
      <c r="B42" s="36"/>
      <c r="C42" s="36"/>
      <c r="D42" s="36"/>
      <c r="E42" s="187" t="s">
        <v>26</v>
      </c>
      <c r="F42" s="36"/>
      <c r="G42" s="36"/>
      <c r="H42" s="36"/>
      <c r="I42" s="36"/>
      <c r="J42" s="36"/>
      <c r="K42" s="36"/>
      <c r="L42" s="36"/>
      <c r="M42" s="36"/>
    </row>
    <row r="43" customFormat="1" ht="22" customHeight="1" spans="1:13">
      <c r="A43" s="36"/>
      <c r="B43" s="36"/>
      <c r="C43" s="191" t="s">
        <v>43</v>
      </c>
      <c r="D43" s="180"/>
      <c r="E43" s="180"/>
      <c r="F43" s="180"/>
      <c r="G43" s="181"/>
      <c r="H43" s="36"/>
      <c r="I43" s="36"/>
      <c r="J43" s="36"/>
      <c r="K43" s="36"/>
      <c r="L43" s="36"/>
      <c r="M43" s="36"/>
    </row>
    <row r="44" customFormat="1" ht="22" customHeight="1" spans="1:13">
      <c r="A44" s="36"/>
      <c r="B44" s="36"/>
      <c r="C44" s="185"/>
      <c r="G44" s="186"/>
      <c r="H44" s="36"/>
      <c r="I44" s="36"/>
      <c r="J44" s="178" t="s">
        <v>44</v>
      </c>
      <c r="K44" s="105"/>
      <c r="L44" s="105"/>
      <c r="M44" s="105"/>
    </row>
    <row r="45" customFormat="1" ht="22" customHeight="1" spans="1:13">
      <c r="A45" s="36"/>
      <c r="B45" s="36"/>
      <c r="C45" s="183"/>
      <c r="D45" s="11"/>
      <c r="E45" s="11"/>
      <c r="F45" s="11"/>
      <c r="G45" s="184"/>
      <c r="H45" s="36"/>
      <c r="I45" s="36"/>
      <c r="J45" s="198" t="s">
        <v>45</v>
      </c>
      <c r="K45" s="199" t="s">
        <v>46</v>
      </c>
      <c r="L45" s="11"/>
      <c r="M45" s="11"/>
    </row>
    <row r="46" customFormat="1" ht="22" customHeight="1" spans="1:13">
      <c r="A46" s="36"/>
      <c r="B46" s="36"/>
      <c r="C46" s="36"/>
      <c r="D46" s="36"/>
      <c r="E46" s="187" t="s">
        <v>26</v>
      </c>
      <c r="F46" s="36"/>
      <c r="G46" s="36"/>
      <c r="H46" s="36"/>
      <c r="I46" s="36"/>
      <c r="J46" s="200" t="s">
        <v>47</v>
      </c>
      <c r="K46" s="199" t="s">
        <v>48</v>
      </c>
      <c r="L46" s="11"/>
      <c r="M46" s="11"/>
    </row>
    <row r="47" customFormat="1" ht="22" customHeight="1" spans="1:13">
      <c r="A47" s="36"/>
      <c r="B47" s="36"/>
      <c r="C47" s="188" t="s">
        <v>49</v>
      </c>
      <c r="D47" s="180"/>
      <c r="E47" s="180"/>
      <c r="F47" s="180"/>
      <c r="G47" s="181"/>
      <c r="H47" s="36"/>
      <c r="I47" s="36"/>
      <c r="J47" s="201" t="s">
        <v>50</v>
      </c>
      <c r="K47" s="199" t="s">
        <v>51</v>
      </c>
      <c r="L47" s="11"/>
      <c r="M47" s="11"/>
    </row>
    <row r="48" customFormat="1" ht="22" customHeight="1" spans="1:13">
      <c r="A48" s="36"/>
      <c r="B48" s="36"/>
      <c r="C48" s="185"/>
      <c r="G48" s="186"/>
      <c r="H48" s="36"/>
      <c r="I48" s="36"/>
      <c r="J48" s="202" t="s">
        <v>52</v>
      </c>
      <c r="K48" s="199" t="s">
        <v>53</v>
      </c>
      <c r="L48" s="11"/>
      <c r="M48" s="11"/>
    </row>
    <row r="49" customFormat="1" ht="22" customHeight="1" spans="1:13">
      <c r="A49" s="36"/>
      <c r="B49" s="36"/>
      <c r="C49" s="183"/>
      <c r="D49" s="11"/>
      <c r="E49" s="11"/>
      <c r="F49" s="11"/>
      <c r="G49" s="184"/>
      <c r="H49" s="36"/>
      <c r="I49" s="36"/>
      <c r="J49" s="203" t="s">
        <v>54</v>
      </c>
      <c r="K49" s="199" t="s">
        <v>55</v>
      </c>
      <c r="L49" s="11"/>
      <c r="M49" s="11"/>
    </row>
    <row r="50" customFormat="1" ht="22" customHeight="1" spans="1:13">
      <c r="A50" s="36"/>
      <c r="B50" s="36"/>
      <c r="C50" s="36"/>
      <c r="D50" s="36"/>
      <c r="E50" s="187" t="s">
        <v>26</v>
      </c>
      <c r="F50" s="36"/>
      <c r="G50" s="36"/>
      <c r="H50" s="36"/>
      <c r="I50" s="36"/>
      <c r="J50" s="204" t="s">
        <v>56</v>
      </c>
      <c r="K50" s="199" t="s">
        <v>57</v>
      </c>
      <c r="L50" s="11"/>
      <c r="M50" s="11"/>
    </row>
    <row r="51" customFormat="1" ht="22" customHeight="1" spans="1:13">
      <c r="A51" s="36"/>
      <c r="B51" s="36"/>
      <c r="C51" s="179" t="s">
        <v>58</v>
      </c>
      <c r="D51" s="180"/>
      <c r="E51" s="180"/>
      <c r="F51" s="180"/>
      <c r="G51" s="181"/>
      <c r="H51" s="36"/>
      <c r="I51" s="36"/>
      <c r="J51" s="36"/>
      <c r="K51" s="36"/>
      <c r="L51" s="36"/>
      <c r="M51" s="36"/>
    </row>
    <row r="52" customFormat="1" ht="22" customHeight="1" spans="1:13">
      <c r="A52" s="36"/>
      <c r="B52" s="36"/>
      <c r="C52" s="183"/>
      <c r="D52" s="11"/>
      <c r="E52" s="11"/>
      <c r="F52" s="11"/>
      <c r="G52" s="184"/>
      <c r="H52" s="36"/>
      <c r="I52" s="36"/>
      <c r="J52" s="36"/>
      <c r="K52" s="36"/>
      <c r="L52" s="36"/>
      <c r="M52" s="36"/>
    </row>
    <row r="53" customFormat="1" ht="22" customHeight="1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customFormat="1" ht="22" customHeight="1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customFormat="1" ht="22" customHeight="1" spans="1:13">
      <c r="A55" s="36"/>
      <c r="B55" s="178" t="s">
        <v>59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</row>
    <row r="56" customFormat="1" ht="22" customHeight="1" spans="1:13">
      <c r="A56" s="36"/>
      <c r="B56" s="205" t="s">
        <v>60</v>
      </c>
      <c r="D56" s="205" t="s">
        <v>61</v>
      </c>
      <c r="F56" s="205" t="s">
        <v>62</v>
      </c>
      <c r="H56" s="205" t="s">
        <v>63</v>
      </c>
      <c r="J56" s="205" t="s">
        <v>64</v>
      </c>
      <c r="L56" s="206" t="str">
        <f>HYPERLINK("#'18_GB_CODE_MASTER'!A1","GB Code Master")</f>
        <v>GB Code Master</v>
      </c>
      <c r="M56" s="36"/>
    </row>
    <row r="57" customFormat="1" ht="22" customHeight="1"/>
  </sheetData>
  <mergeCells count="38">
    <mergeCell ref="A1:M1"/>
    <mergeCell ref="A2:M2"/>
    <mergeCell ref="B4:H4"/>
    <mergeCell ref="J4:M4"/>
    <mergeCell ref="H23:J23"/>
    <mergeCell ref="H24:J24"/>
    <mergeCell ref="J31:M31"/>
    <mergeCell ref="J44:M44"/>
    <mergeCell ref="K45:M45"/>
    <mergeCell ref="K46:M46"/>
    <mergeCell ref="K47:M47"/>
    <mergeCell ref="K48:M48"/>
    <mergeCell ref="K49:M49"/>
    <mergeCell ref="K50:M50"/>
    <mergeCell ref="B55:M55"/>
    <mergeCell ref="B56:C56"/>
    <mergeCell ref="D56:E56"/>
    <mergeCell ref="F56:G56"/>
    <mergeCell ref="H56:I56"/>
    <mergeCell ref="J56:K56"/>
    <mergeCell ref="C18:G20"/>
    <mergeCell ref="J6:M9"/>
    <mergeCell ref="C51:G52"/>
    <mergeCell ref="C26:G28"/>
    <mergeCell ref="J11:M14"/>
    <mergeCell ref="C35:G37"/>
    <mergeCell ref="C13:G16"/>
    <mergeCell ref="C47:G49"/>
    <mergeCell ref="J26:M29"/>
    <mergeCell ref="C6:G7"/>
    <mergeCell ref="C22:G24"/>
    <mergeCell ref="J16:M19"/>
    <mergeCell ref="C9:G11"/>
    <mergeCell ref="J21:M24"/>
    <mergeCell ref="C43:G45"/>
    <mergeCell ref="C39:G41"/>
    <mergeCell ref="C30:G33"/>
    <mergeCell ref="J32:M4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"/>
  <sheetViews>
    <sheetView showGridLines="0" tabSelected="1" workbookViewId="0">
      <selection activeCell="E6" sqref="E6"/>
    </sheetView>
  </sheetViews>
  <sheetFormatPr defaultColWidth="9" defaultRowHeight="14.5"/>
  <cols>
    <col min="1" max="1" width="3" customWidth="1"/>
    <col min="2" max="2" width="24" customWidth="1"/>
    <col min="3" max="3" width="26" customWidth="1"/>
    <col min="4" max="4" width="3" customWidth="1"/>
    <col min="5" max="5" width="27" customWidth="1"/>
    <col min="6" max="6" width="30" customWidth="1"/>
    <col min="7" max="7" width="19" customWidth="1"/>
    <col min="8" max="8" width="22" customWidth="1"/>
    <col min="9" max="9" width="3" customWidth="1"/>
    <col min="10" max="12" width="18" customWidth="1"/>
    <col min="13" max="16" width="22" customWidth="1"/>
  </cols>
  <sheetData>
    <row r="1" customFormat="1" ht="30" customHeight="1" spans="1:26">
      <c r="A1" s="34" t="s">
        <v>65</v>
      </c>
      <c r="Z1" s="16" t="s">
        <v>66</v>
      </c>
    </row>
    <row r="2" customFormat="1" ht="22" customHeight="1" spans="1:26">
      <c r="A2" s="100" t="s">
        <v>67</v>
      </c>
    </row>
    <row r="3" customFormat="1" ht="22" customHeight="1" spans="1:26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customFormat="1" ht="22" customHeight="1" spans="1:26">
      <c r="A4" s="101"/>
      <c r="B4" s="102" t="s">
        <v>68</v>
      </c>
      <c r="C4" s="103"/>
      <c r="D4" s="101"/>
      <c r="E4" s="104" t="s">
        <v>69</v>
      </c>
      <c r="F4" s="105"/>
      <c r="G4" s="105"/>
      <c r="H4" s="103"/>
      <c r="I4" s="101"/>
      <c r="J4" s="106" t="s">
        <v>70</v>
      </c>
      <c r="K4" s="105"/>
      <c r="L4" s="103"/>
      <c r="M4" s="107" t="s">
        <v>71</v>
      </c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customFormat="1" ht="22" customHeight="1" spans="1:26">
      <c r="A5" s="101"/>
      <c r="B5" s="108" t="s">
        <v>72</v>
      </c>
      <c r="C5" s="109" t="s">
        <v>73</v>
      </c>
      <c r="D5" s="101"/>
      <c r="E5" s="110" t="s">
        <v>74</v>
      </c>
      <c r="F5" s="109" t="str">
        <f>UPPER("CL-"&amp;SUBSTITUTE(C7,"/","")&amp;"-"&amp;C8&amp;"-"&amp;SUBSTITUTE(C9," ","")&amp;"-"&amp;C11&amp;"-"&amp;C10)</f>
        <v>CL-SAGS-LBA-STEAM-CS-LG</v>
      </c>
      <c r="G5" s="101"/>
      <c r="H5" s="101"/>
      <c r="I5" s="101"/>
      <c r="J5" s="111" t="s">
        <v>75</v>
      </c>
      <c r="K5" s="112">
        <f>COUNTA('01_ASSET_INPUT_FULL'!A:A)-1</f>
        <v>414</v>
      </c>
    </row>
    <row r="6" customFormat="1" ht="30" customHeight="1" spans="1:26">
      <c r="A6" s="101"/>
      <c r="B6" s="108" t="s">
        <v>76</v>
      </c>
      <c r="C6" s="109" t="s">
        <v>77</v>
      </c>
      <c r="D6" s="101"/>
      <c r="E6" s="110" t="s">
        <v>78</v>
      </c>
      <c r="F6" s="109" t="str">
        <f>IF(AND(C9="Steam",C10="LG",C11="CS"),"CO2 corrosion; Erosion-corrosion/FAC; CUI",IF(AND(C9="Steam",C10="V"),"CUI; Atmospheric corrosion; localized erosion",IF(C9="NCG","H2S / sour corrosion; CLSCC if chloride; CUI",IF(C9="Cooling Water","MIC; oxygen corrosion; fouling",IF(OR(C9="Condensate",C9="Condensate Steam"),"CO2 condensate corrosion; MIC; oxygen corrosion","General external corrosion / CUI if insulated")))))</f>
        <v>CO2 corrosion; Erosion-corrosion/FAC; CUI</v>
      </c>
      <c r="G6" s="101"/>
      <c r="H6" s="101"/>
      <c r="I6" s="101"/>
      <c r="J6" s="111" t="s">
        <v>79</v>
      </c>
      <c r="K6" s="112">
        <f>COUNTIF('01_ASSET_INPUT_FULL'!B:B,"Piping")</f>
        <v>345</v>
      </c>
      <c r="M6" s="3" t="s">
        <v>80</v>
      </c>
      <c r="N6" s="3" t="s">
        <v>81</v>
      </c>
      <c r="O6" s="3" t="s">
        <v>82</v>
      </c>
      <c r="P6" s="3" t="s">
        <v>83</v>
      </c>
    </row>
    <row r="7" customFormat="1" ht="22" customHeight="1" spans="1:26">
      <c r="A7" s="101"/>
      <c r="B7" s="108" t="s">
        <v>84</v>
      </c>
      <c r="C7" s="109" t="s">
        <v>85</v>
      </c>
      <c r="D7" s="101"/>
      <c r="E7" s="110" t="s">
        <v>86</v>
      </c>
      <c r="F7" s="109">
        <f>IF(AND(C9="Steam",C10="LG",C11="CS"),4,IF(AND(C9="Steam",C10="V",C11="CS"),2,IF(AND(OR(C9="Condensate",C9="Condensate Steam"),C11="CS"),4,IF(AND(C9="NCG",C11="CS"),4,IF(C9="NCG",2,IF(AND(C9="Cooling Water",C11="CS"),3,2))))))</f>
        <v>4</v>
      </c>
      <c r="G7" s="101"/>
      <c r="H7" s="101"/>
      <c r="I7" s="101"/>
      <c r="J7" s="111" t="s">
        <v>87</v>
      </c>
      <c r="K7" s="112">
        <f>COUNTIF('01_ASSET_INPUT_FULL'!B:B,"Equipment")</f>
        <v>68</v>
      </c>
      <c r="M7" s="113" t="s">
        <v>88</v>
      </c>
      <c r="N7" s="114" t="s">
        <v>89</v>
      </c>
      <c r="O7" s="114" t="s">
        <v>90</v>
      </c>
      <c r="P7" s="115" t="s">
        <v>91</v>
      </c>
    </row>
    <row r="8" customFormat="1" ht="22" customHeight="1" spans="1:26">
      <c r="A8" s="101"/>
      <c r="B8" s="108" t="s">
        <v>92</v>
      </c>
      <c r="C8" s="109" t="s">
        <v>93</v>
      </c>
      <c r="D8" s="101"/>
      <c r="E8" s="110" t="s">
        <v>94</v>
      </c>
      <c r="F8" s="109">
        <f>IF(C14="YES",5,IF(OR(C8="LBA",C8="MAC"),5,IF(OR(C8="MAG",C8="MAJ"),4,IF(OR(C8="PAB",C8="PAC",C8="PAD",C8="PAE",C8="PCB"),3,2))))</f>
        <v>5</v>
      </c>
      <c r="G8" s="101"/>
      <c r="H8" s="101"/>
      <c r="I8" s="101"/>
      <c r="J8" s="111" t="s">
        <v>95</v>
      </c>
      <c r="K8" s="112" t="str">
        <f>F9</f>
        <v>Extreme High</v>
      </c>
      <c r="M8" s="116" t="s">
        <v>96</v>
      </c>
      <c r="N8" s="117" t="s">
        <v>97</v>
      </c>
      <c r="O8" s="117" t="s">
        <v>98</v>
      </c>
      <c r="P8" s="118" t="s">
        <v>99</v>
      </c>
    </row>
    <row r="9" customFormat="1" ht="22" customHeight="1" spans="1:26">
      <c r="A9" s="101"/>
      <c r="B9" s="108" t="s">
        <v>100</v>
      </c>
      <c r="C9" s="109" t="s">
        <v>101</v>
      </c>
      <c r="D9" s="101"/>
      <c r="E9" s="110" t="s">
        <v>102</v>
      </c>
      <c r="F9" s="109" t="str">
        <f>IF(OR(AND(F7&gt;=4,F8&gt;=4),AND(F7=5,F8&gt;=3)),"Extreme High",IF(OR(AND(F7&gt;=3,F8&gt;=3),AND(F8=5,F7&gt;=2)),"High",IF(OR(F7&gt;=2,F8&gt;=2),"Medium","Low")))</f>
        <v>Extreme High</v>
      </c>
      <c r="G9" s="119" t="str">
        <f>F9</f>
        <v>Extreme High</v>
      </c>
      <c r="I9" s="101"/>
      <c r="J9" s="111" t="s">
        <v>103</v>
      </c>
      <c r="K9" s="112" t="str">
        <f>F10</f>
        <v>C1</v>
      </c>
      <c r="M9" s="116" t="s">
        <v>104</v>
      </c>
      <c r="N9" s="117" t="s">
        <v>105</v>
      </c>
      <c r="O9" s="117" t="s">
        <v>106</v>
      </c>
      <c r="P9" s="118" t="s">
        <v>107</v>
      </c>
    </row>
    <row r="10" customFormat="1" ht="22" customHeight="1" spans="1:26">
      <c r="A10" s="101"/>
      <c r="B10" s="108" t="s">
        <v>108</v>
      </c>
      <c r="C10" s="109" t="s">
        <v>109</v>
      </c>
      <c r="D10" s="101"/>
      <c r="E10" s="110" t="s">
        <v>110</v>
      </c>
      <c r="F10" s="109" t="str">
        <f>IF(F8&gt;=4,"C1",IF(F8=3,"C2","C3"))</f>
        <v>C1</v>
      </c>
      <c r="I10" s="101"/>
      <c r="J10" s="111" t="s">
        <v>111</v>
      </c>
      <c r="K10" s="112" t="str">
        <f>F13</f>
        <v>IN</v>
      </c>
      <c r="M10" s="116" t="s">
        <v>112</v>
      </c>
      <c r="N10" s="117" t="s">
        <v>113</v>
      </c>
      <c r="O10" s="117" t="s">
        <v>114</v>
      </c>
      <c r="P10" s="118" t="s">
        <v>115</v>
      </c>
    </row>
    <row r="11" customFormat="1" ht="22" customHeight="1" spans="1:26">
      <c r="A11" s="101"/>
      <c r="B11" s="108" t="s">
        <v>116</v>
      </c>
      <c r="C11" s="109" t="s">
        <v>117</v>
      </c>
      <c r="D11" s="101"/>
      <c r="E11" s="110" t="s">
        <v>118</v>
      </c>
      <c r="F11" s="109" t="str">
        <f>IF(F9="Extreme High","UT Scan + VT + TML baseline",IF(F9="High","UT / VT + targeted TML",IF(F9="Medium","VT + sampling UT","Routine VT")))</f>
        <v>UT Scan + VT + TML baseline</v>
      </c>
      <c r="I11" s="101"/>
      <c r="J11" s="101"/>
      <c r="K11" s="101"/>
      <c r="L11" s="101"/>
      <c r="M11" s="120" t="s">
        <v>119</v>
      </c>
      <c r="N11" s="121" t="s">
        <v>120</v>
      </c>
      <c r="O11" s="121" t="s">
        <v>114</v>
      </c>
      <c r="P11" s="122" t="s">
        <v>115</v>
      </c>
    </row>
    <row r="12" customFormat="1" ht="22" customHeight="1" spans="1:26">
      <c r="A12" s="101"/>
      <c r="B12" s="108" t="s">
        <v>121</v>
      </c>
      <c r="C12" s="109">
        <v>12</v>
      </c>
      <c r="D12" s="101"/>
      <c r="E12" s="110" t="s">
        <v>122</v>
      </c>
      <c r="F12" s="109">
        <f>IF(F9="Extreme High",0.5,IF(F9="High",0.5,IF(F9="Medium",1,3)))</f>
        <v>0.5</v>
      </c>
      <c r="I12" s="101"/>
      <c r="J12" s="101"/>
      <c r="K12" s="101"/>
      <c r="L12" s="101"/>
    </row>
    <row r="13" customFormat="1" ht="22" customHeight="1" spans="1:26">
      <c r="A13" s="101"/>
      <c r="B13" s="108" t="s">
        <v>123</v>
      </c>
      <c r="C13" s="109" t="s">
        <v>124</v>
      </c>
      <c r="D13" s="101"/>
      <c r="E13" s="110" t="s">
        <v>125</v>
      </c>
      <c r="F13" s="109" t="str">
        <f>IF(OR(C11="FRP",C11="HDPE"),"LIMITED",IF(OR(F10="C1",F10="C2"),"IN","OUT"))</f>
        <v>IN</v>
      </c>
      <c r="G13" s="101"/>
      <c r="H13" s="101"/>
      <c r="I13" s="101"/>
      <c r="J13" s="101"/>
      <c r="K13" s="101"/>
      <c r="L13" s="101"/>
    </row>
    <row r="14" customFormat="1" ht="22" customHeight="1" spans="1:26">
      <c r="A14" s="101"/>
      <c r="B14" s="108" t="s">
        <v>126</v>
      </c>
      <c r="C14" s="109" t="s">
        <v>124</v>
      </c>
      <c r="D14" s="101"/>
      <c r="E14" s="110" t="s">
        <v>127</v>
      </c>
      <c r="F14" s="123">
        <f>ROUND(COUNTA(C5:C15)/11,2)</f>
        <v>1</v>
      </c>
      <c r="G14" s="101"/>
      <c r="H14" s="101"/>
      <c r="I14" s="101"/>
      <c r="J14" s="101"/>
      <c r="K14" s="101"/>
      <c r="L14" s="101"/>
    </row>
    <row r="15" customFormat="1" ht="22" customHeight="1" spans="1:26">
      <c r="A15" s="101"/>
      <c r="B15" s="108" t="s">
        <v>128</v>
      </c>
      <c r="C15" s="109" t="s">
        <v>129</v>
      </c>
      <c r="D15" s="101"/>
      <c r="E15" s="110" t="s">
        <v>130</v>
      </c>
      <c r="F15" s="109" t="str">
        <f>IF(COUNTIF('01_ASSET_INPUT_FULL'!A:A,C5)&gt;0,"BLOCKED - DUPLICATE TAG",IF(F14&lt;0.8,"CHECK - INCOMPLETE DATA","READY TO SAVE NEW"))</f>
        <v>READY TO SAVE NEW</v>
      </c>
      <c r="G15" s="101"/>
      <c r="H15" s="101"/>
      <c r="I15" s="101"/>
      <c r="J15" s="101"/>
      <c r="K15" s="101"/>
      <c r="L15" s="101"/>
    </row>
    <row r="16" customFormat="1" ht="22" customHeight="1" spans="1:26">
      <c r="A16" s="101"/>
      <c r="B16" s="108" t="s">
        <v>131</v>
      </c>
      <c r="C16" s="109" t="s">
        <v>132</v>
      </c>
      <c r="D16" s="101"/>
      <c r="E16" s="101"/>
      <c r="F16" s="101"/>
      <c r="G16" s="101"/>
      <c r="H16" s="101"/>
      <c r="I16" s="101"/>
      <c r="J16" s="101"/>
      <c r="K16" s="101"/>
      <c r="L16" s="101"/>
    </row>
    <row r="17" customFormat="1" ht="22" customHeight="1" spans="1:12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</row>
    <row r="18" customFormat="1" ht="22" customHeight="1" spans="1:12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</row>
    <row r="19" customFormat="1" ht="22" customHeight="1" spans="1:12">
      <c r="A19" s="101"/>
      <c r="B19" s="124" t="s">
        <v>133</v>
      </c>
      <c r="C19" s="105"/>
      <c r="D19" s="105"/>
      <c r="E19" s="105"/>
      <c r="F19" s="105"/>
      <c r="G19" s="105"/>
      <c r="H19" s="103"/>
      <c r="I19" s="101"/>
      <c r="J19" s="125" t="s">
        <v>134</v>
      </c>
      <c r="K19" s="105"/>
      <c r="L19" s="103"/>
    </row>
    <row r="20" customFormat="1" ht="22" customHeight="1" spans="1:12">
      <c r="A20" s="101"/>
      <c r="B20" s="126" t="s">
        <v>135</v>
      </c>
      <c r="C20" s="127" t="str">
        <f>IF(C5="","❌ Missing","✔ OK")</f>
        <v>✔ OK</v>
      </c>
      <c r="D20" s="11"/>
      <c r="E20" s="11"/>
      <c r="F20" s="128" t="s">
        <v>136</v>
      </c>
      <c r="G20" s="128" t="s">
        <v>137</v>
      </c>
      <c r="H20" s="101" t="s">
        <v>138</v>
      </c>
      <c r="I20" s="101"/>
      <c r="J20" s="129" t="s">
        <v>139</v>
      </c>
      <c r="K20" s="112">
        <f>COUNTA(C5:C11)+COUNTA(C13:C14)</f>
        <v>9</v>
      </c>
    </row>
    <row r="21" customFormat="1" ht="22" customHeight="1" spans="1:12">
      <c r="A21" s="101"/>
      <c r="B21" s="126" t="s">
        <v>140</v>
      </c>
      <c r="C21" s="127" t="str">
        <f>IF(COUNTIF('01_ASSET_INPUT_FULL'!A:A,C5)&gt;0,"⚠ Existing - use UPDATE","✔ New Tag")</f>
        <v>✔ New Tag</v>
      </c>
      <c r="D21" s="11"/>
      <c r="E21" s="11"/>
      <c r="F21" s="128" t="s">
        <v>136</v>
      </c>
      <c r="G21" s="128" t="s">
        <v>137</v>
      </c>
      <c r="H21" s="101" t="s">
        <v>138</v>
      </c>
      <c r="I21" s="101"/>
      <c r="J21" s="129" t="s">
        <v>141</v>
      </c>
      <c r="K21" s="112">
        <v>9</v>
      </c>
    </row>
    <row r="22" customFormat="1" ht="22" customHeight="1" spans="1:12">
      <c r="A22" s="101"/>
      <c r="B22" s="126" t="s">
        <v>142</v>
      </c>
      <c r="C22" s="127" t="str">
        <f>IF(OR(C6="Piping",C6="Equipment",C6="Component"),"✔ OK","❌ Invalid")</f>
        <v>✔ OK</v>
      </c>
      <c r="D22" s="11"/>
      <c r="E22" s="11"/>
      <c r="F22" s="128" t="s">
        <v>136</v>
      </c>
      <c r="G22" s="128" t="s">
        <v>137</v>
      </c>
      <c r="H22" s="101" t="s">
        <v>138</v>
      </c>
      <c r="I22" s="101"/>
      <c r="J22" s="129" t="s">
        <v>143</v>
      </c>
      <c r="K22" s="130">
        <f>ROUND(K20/K21,2)</f>
        <v>1</v>
      </c>
    </row>
    <row r="23" customFormat="1" ht="22" customHeight="1" spans="1:12">
      <c r="A23" s="101"/>
      <c r="B23" s="126" t="s">
        <v>144</v>
      </c>
      <c r="C23" s="127" t="str">
        <f>IF(C9="","❌ Missing","✔ OK")</f>
        <v>✔ OK</v>
      </c>
      <c r="D23" s="11"/>
      <c r="E23" s="11"/>
      <c r="F23" s="128" t="s">
        <v>136</v>
      </c>
      <c r="G23" s="128" t="s">
        <v>137</v>
      </c>
      <c r="H23" s="101" t="s">
        <v>138</v>
      </c>
      <c r="I23" s="101"/>
      <c r="J23" s="129" t="s">
        <v>145</v>
      </c>
      <c r="K23" s="112">
        <f>COUNTIF('01_ASSET_INPUT_FULL'!A:A,C5)</f>
        <v>0</v>
      </c>
    </row>
    <row r="24" customFormat="1" ht="22" customHeight="1" spans="1:12">
      <c r="A24" s="101"/>
      <c r="B24" s="126" t="s">
        <v>146</v>
      </c>
      <c r="C24" s="127" t="str">
        <f>IF(AND(OR(C9="Steam",C9="NCG",C9="Condensate Steam"),C10=""),"⚠ Phase required",IF(AND(C9="Cooling Water",C10="V"),"⚠ Check phase","✔ OK"))</f>
        <v>✔ OK</v>
      </c>
      <c r="D24" s="11"/>
      <c r="E24" s="11"/>
      <c r="F24" s="128" t="s">
        <v>136</v>
      </c>
      <c r="G24" s="128" t="s">
        <v>137</v>
      </c>
      <c r="H24" s="101" t="s">
        <v>138</v>
      </c>
      <c r="I24" s="101"/>
      <c r="J24" s="129" t="s">
        <v>147</v>
      </c>
      <c r="K24" s="112" t="str">
        <f>IF(K22&gt;=0.9,"Strong",IF(K22&gt;=0.7,"Moderate","Weak"))</f>
        <v>Strong</v>
      </c>
    </row>
    <row r="25" customFormat="1" ht="22" customHeight="1" spans="1:12">
      <c r="A25" s="101"/>
      <c r="B25" s="126" t="s">
        <v>148</v>
      </c>
      <c r="C25" s="127" t="str">
        <f>IF(AND(C9="NCG",C11="CS"),"⚠ CS in NCG service",IF(AND(C9="Steam",OR(C11="FRP",C11="HDPE")),"❌ Invalid material for steam","✔ OK"))</f>
        <v>✔ OK</v>
      </c>
      <c r="D25" s="11"/>
      <c r="E25" s="11"/>
      <c r="F25" s="128" t="s">
        <v>136</v>
      </c>
      <c r="G25" s="128" t="s">
        <v>137</v>
      </c>
      <c r="H25" s="101" t="s">
        <v>138</v>
      </c>
      <c r="I25" s="101"/>
      <c r="J25" s="101"/>
      <c r="K25" s="101"/>
      <c r="L25" s="101"/>
    </row>
    <row r="26" customFormat="1" ht="22" customHeight="1" spans="1:12">
      <c r="A26" s="101"/>
      <c r="B26" s="126" t="s">
        <v>149</v>
      </c>
      <c r="C26" s="127" t="str">
        <f>IF(AND(C13="YES",OR(C11="CS",C11="SS316L",C11="SS304L",C11="Carbon Steel",C11="API5L GR.B")),"⚠ CUI screening required","✔ OK")</f>
        <v>⚠ CUI screening required</v>
      </c>
      <c r="D26" s="11"/>
      <c r="E26" s="11"/>
      <c r="F26" s="128" t="s">
        <v>136</v>
      </c>
      <c r="G26" s="128" t="s">
        <v>137</v>
      </c>
      <c r="H26" s="101" t="s">
        <v>138</v>
      </c>
      <c r="I26" s="101"/>
      <c r="J26" s="101"/>
      <c r="K26" s="101"/>
      <c r="L26" s="101"/>
    </row>
    <row r="27" customFormat="1" ht="22" customHeight="1" spans="1:12">
      <c r="A27" s="101"/>
      <c r="B27" s="126" t="s">
        <v>150</v>
      </c>
      <c r="C27" s="127" t="str">
        <f>IF(AND(C5&lt;&gt;"",COUNTIF('01_ASSET_INPUT_FULL'!A:A,C5)=0,F14&gt;=0.8),"✔ READY TO SAVE NEW",IF(COUNTIF('01_ASSET_INPUT_FULL'!A:A,C5)&gt;0,"⚠ EXISTING - LOAD/UPDATE","❌ NOT READY"))</f>
        <v>✔ READY TO SAVE NEW</v>
      </c>
      <c r="D27" s="11"/>
      <c r="E27" s="11"/>
      <c r="F27" s="128" t="s">
        <v>136</v>
      </c>
      <c r="G27" s="128" t="s">
        <v>137</v>
      </c>
      <c r="H27" s="101" t="s">
        <v>138</v>
      </c>
      <c r="I27" s="101"/>
      <c r="J27" s="101"/>
      <c r="K27" s="101"/>
      <c r="L27" s="101"/>
    </row>
    <row r="28" customFormat="1" ht="22" customHeight="1" spans="1:12">
      <c r="A28" s="101"/>
      <c r="B28" s="101"/>
      <c r="C28" s="101"/>
      <c r="D28" s="101"/>
      <c r="E28" s="101"/>
      <c r="F28" s="101"/>
      <c r="G28" s="101"/>
      <c r="H28" s="101"/>
      <c r="I28" s="101"/>
      <c r="J28" s="131" t="s">
        <v>151</v>
      </c>
      <c r="K28" s="132"/>
      <c r="L28" s="133"/>
    </row>
    <row r="29" customFormat="1" ht="22" customHeight="1" spans="1:12">
      <c r="A29" s="101"/>
      <c r="B29" s="101"/>
      <c r="C29" s="101"/>
      <c r="D29" s="101"/>
      <c r="E29" s="101"/>
      <c r="F29" s="101"/>
      <c r="G29" s="101"/>
      <c r="H29" s="101"/>
      <c r="I29" s="101"/>
      <c r="J29" s="134"/>
      <c r="L29" s="135"/>
    </row>
    <row r="30" customFormat="1" ht="22" customHeight="1" spans="1:12">
      <c r="A30" s="101"/>
      <c r="B30" s="101"/>
      <c r="C30" s="101"/>
      <c r="D30" s="101"/>
      <c r="E30" s="101"/>
      <c r="F30" s="101"/>
      <c r="G30" s="101"/>
      <c r="H30" s="101"/>
      <c r="I30" s="101"/>
      <c r="J30" s="134"/>
      <c r="L30" s="135"/>
    </row>
    <row r="31" customFormat="1" ht="22" customHeight="1" spans="1:12">
      <c r="A31" s="101"/>
      <c r="B31" s="136" t="s">
        <v>152</v>
      </c>
      <c r="C31" s="105"/>
      <c r="D31" s="105"/>
      <c r="E31" s="105"/>
      <c r="F31" s="105"/>
      <c r="G31" s="105"/>
      <c r="H31" s="103"/>
      <c r="I31" s="101"/>
      <c r="J31" s="134"/>
      <c r="L31" s="135"/>
    </row>
    <row r="32" customFormat="1" ht="22" customHeight="1" spans="1:12">
      <c r="A32" s="101"/>
      <c r="B32" s="101"/>
      <c r="C32" s="101"/>
      <c r="D32" s="101"/>
      <c r="E32" s="101"/>
      <c r="F32" s="101"/>
      <c r="G32" s="101"/>
      <c r="H32" s="101"/>
      <c r="I32" s="101"/>
      <c r="J32" s="134"/>
      <c r="L32" s="135"/>
    </row>
    <row r="33" customFormat="1" ht="22" customHeight="1" spans="1:12">
      <c r="A33" s="101"/>
      <c r="B33" s="137" t="s">
        <v>88</v>
      </c>
      <c r="C33" s="138"/>
      <c r="D33" s="139" t="s">
        <v>96</v>
      </c>
      <c r="E33" s="140"/>
      <c r="F33" s="141" t="s">
        <v>104</v>
      </c>
      <c r="G33" s="142"/>
      <c r="H33" s="143" t="s">
        <v>112</v>
      </c>
      <c r="I33" s="144"/>
      <c r="J33" s="145" t="s">
        <v>119</v>
      </c>
      <c r="K33" s="146"/>
      <c r="L33" s="135"/>
    </row>
    <row r="34" customFormat="1" ht="22" customHeight="1" spans="1:12">
      <c r="A34" s="101"/>
      <c r="B34" s="147"/>
      <c r="C34" s="148"/>
      <c r="D34" s="139"/>
      <c r="E34" s="149"/>
      <c r="F34" s="150"/>
      <c r="G34" s="151"/>
      <c r="H34" s="152"/>
      <c r="I34" s="153"/>
      <c r="J34" s="145"/>
      <c r="K34" s="146"/>
      <c r="L34" s="135"/>
    </row>
    <row r="35" customFormat="1" ht="22" customHeight="1" spans="1:12">
      <c r="A35" s="101"/>
      <c r="B35" s="154"/>
      <c r="C35" s="155"/>
      <c r="D35" s="139"/>
      <c r="E35" s="156"/>
      <c r="F35" s="157"/>
      <c r="G35" s="158"/>
      <c r="H35" s="159"/>
      <c r="I35" s="153"/>
      <c r="J35" s="145"/>
      <c r="K35" s="146"/>
      <c r="L35" s="135"/>
    </row>
    <row r="36" customFormat="1" ht="22" customHeight="1" spans="1:12">
      <c r="A36" s="101"/>
      <c r="B36" s="101"/>
      <c r="C36" s="101"/>
      <c r="D36" s="101"/>
      <c r="E36" s="101"/>
      <c r="F36" s="101"/>
      <c r="G36" s="101"/>
      <c r="H36" s="101"/>
      <c r="I36" s="101"/>
      <c r="J36" s="134"/>
      <c r="L36" s="135"/>
    </row>
    <row r="37" customFormat="1" ht="22" customHeight="1" spans="1:12">
      <c r="A37" s="101"/>
      <c r="B37" s="160" t="s">
        <v>153</v>
      </c>
      <c r="C37" s="112" t="s">
        <v>154</v>
      </c>
      <c r="D37" s="101"/>
      <c r="E37" s="161" t="s">
        <v>155</v>
      </c>
      <c r="F37" s="162" t="s">
        <v>138</v>
      </c>
      <c r="G37" s="101"/>
      <c r="H37" s="101"/>
      <c r="I37" s="101"/>
      <c r="J37" s="134"/>
      <c r="L37" s="135"/>
    </row>
    <row r="38" customFormat="1" ht="22" customHeight="1" spans="1:12">
      <c r="A38" s="101"/>
      <c r="B38" s="160" t="s">
        <v>156</v>
      </c>
      <c r="C38" s="112" t="s">
        <v>157</v>
      </c>
      <c r="D38" s="101"/>
      <c r="E38" s="161" t="s">
        <v>158</v>
      </c>
      <c r="F38" s="162" t="s">
        <v>138</v>
      </c>
      <c r="G38" s="101"/>
      <c r="H38" s="101"/>
      <c r="I38" s="101"/>
      <c r="J38" s="163"/>
      <c r="K38" s="164"/>
      <c r="L38" s="165"/>
    </row>
    <row r="39" customFormat="1" ht="22" customHeight="1"/>
    <row r="40" customFormat="1" ht="22" customHeight="1" spans="1:12">
      <c r="B40" s="166" t="s">
        <v>159</v>
      </c>
      <c r="C40" s="105"/>
      <c r="D40" s="105"/>
      <c r="E40" s="105"/>
      <c r="F40" s="105"/>
      <c r="G40" s="105"/>
      <c r="H40" s="103"/>
      <c r="J40" s="167" t="s">
        <v>160</v>
      </c>
    </row>
    <row r="41" customFormat="1" ht="22" customHeight="1" spans="1:12">
      <c r="B41" s="168" t="s">
        <v>161</v>
      </c>
      <c r="C41" s="169"/>
      <c r="E41" s="170" t="s">
        <v>162</v>
      </c>
      <c r="F41" s="169">
        <f>IFERROR(($C$42-$C$43)/MAX(1,($C$46-$C$47)/365),"")</f>
        <v>0</v>
      </c>
      <c r="J41" s="171" t="s">
        <v>163</v>
      </c>
      <c r="K41" s="172" t="str">
        <f>IF(COUNTA(C41:C45)&lt;5,"⚠ Incomplete","✔ OK")</f>
        <v>⚠ Incomplete</v>
      </c>
      <c r="L41" s="68"/>
    </row>
    <row r="42" customFormat="1" ht="22" customHeight="1" spans="1:12">
      <c r="B42" s="168" t="s">
        <v>164</v>
      </c>
      <c r="C42" s="169"/>
      <c r="E42" s="170" t="s">
        <v>165</v>
      </c>
      <c r="F42" s="169">
        <f>IFERROR(($C$45-$C$43)/MAX(1,($C$46-$C$47)/365),"")</f>
        <v>0</v>
      </c>
      <c r="J42" s="171" t="s">
        <v>166</v>
      </c>
      <c r="K42" s="172" t="str">
        <f>IF(COUNTA(C46:C47)&lt;2,"⚠ Date incomplete","✔ OK")</f>
        <v>⚠ Date incomplete</v>
      </c>
      <c r="L42" s="68"/>
    </row>
    <row r="43" customFormat="1" ht="22" customHeight="1" spans="1:12">
      <c r="B43" s="168" t="s">
        <v>167</v>
      </c>
      <c r="C43" s="169"/>
      <c r="E43" s="170" t="s">
        <v>168</v>
      </c>
      <c r="F43" s="169">
        <f>IFERROR(MAX(F41,F42),"")</f>
        <v>0</v>
      </c>
      <c r="J43" s="171" t="s">
        <v>169</v>
      </c>
      <c r="K43" s="172" t="str">
        <f>IF(C43="","⚠ No actual",IF(C43&gt;=C44,"✔ OK","❌ Below t_min"))</f>
        <v>⚠ No actual</v>
      </c>
      <c r="L43" s="68"/>
    </row>
    <row r="44" customFormat="1" ht="22" customHeight="1" spans="1:12">
      <c r="B44" s="168" t="s">
        <v>170</v>
      </c>
      <c r="C44" s="169"/>
      <c r="E44" s="170" t="s">
        <v>171</v>
      </c>
      <c r="F44" s="169" t="str">
        <f>IFERROR(($C$43-$C$44)/F43,"")</f>
        <v/>
      </c>
      <c r="J44" s="171" t="s">
        <v>172</v>
      </c>
      <c r="K44" s="172" t="str">
        <f>IF(OR(C46="",C47=""),"⚠ No dates",IF(C46&gt;C47,"✔ OK","❌ Check dates"))</f>
        <v>⚠ No dates</v>
      </c>
      <c r="L44" s="68"/>
    </row>
    <row r="45" customFormat="1" ht="22" customHeight="1" spans="1:12">
      <c r="B45" s="168" t="s">
        <v>173</v>
      </c>
      <c r="C45" s="169"/>
      <c r="E45" s="170" t="s">
        <v>174</v>
      </c>
      <c r="F45" s="173" t="str">
        <f>IF(F44="","",IF(F44&lt;=1,5,IF(F44&lt;=2,4,IF(F44&lt;=5,3,IF(F44&lt;=10,2,1)))))</f>
        <v/>
      </c>
      <c r="J45" s="171" t="s">
        <v>175</v>
      </c>
      <c r="K45" s="172" t="str">
        <f>IF(F43="","⚠ No CR",IF(F43&gt;0,"✔ OK","⚠ Zero/negative CR"))</f>
        <v>⚠ Zero/negative CR</v>
      </c>
      <c r="L45" s="68"/>
    </row>
    <row r="46" customFormat="1" ht="22" customHeight="1" spans="1:12">
      <c r="B46" s="168" t="s">
        <v>176</v>
      </c>
      <c r="C46" s="174"/>
      <c r="E46" s="170" t="s">
        <v>177</v>
      </c>
      <c r="F46" s="175" t="str">
        <f>IF(F45="","",IF(OR(AND(F45&gt;=4,$F$8&gt;=4),AND(F45=5,$F$8&gt;=3)),"Extreme High",IF(OR(AND(F45&gt;=3,$F$8&gt;=3),AND($F$8=5,F45&gt;=2)),"High",IF(OR(F45&gt;=2,$F$8&gt;=2),"Medium","Low"))))</f>
        <v/>
      </c>
    </row>
    <row r="47" customFormat="1" ht="22" customHeight="1" spans="1:12">
      <c r="B47" s="168" t="s">
        <v>178</v>
      </c>
      <c r="C47" s="174"/>
      <c r="E47" s="170" t="s">
        <v>179</v>
      </c>
      <c r="F47" s="175" t="str">
        <f>IF(COUNTA($C$41:$C$47)&lt;7,"L3 DATA INCOMPLETE",IF(F44&lt;0,"CHECK THICKNESS INPUT","L3 PREVIEW READY"))</f>
        <v>L3 DATA INCOMPLETE</v>
      </c>
    </row>
    <row r="48" customFormat="1" ht="22" customHeight="1"/>
    <row r="49" customFormat="1" ht="22" customHeight="1" spans="2:12">
      <c r="B49" s="176" t="s">
        <v>180</v>
      </c>
      <c r="J49" s="64" t="s">
        <v>181</v>
      </c>
    </row>
    <row r="50" customFormat="1" ht="22" customHeight="1" spans="2:12">
      <c r="J50" s="65" t="s">
        <v>182</v>
      </c>
      <c r="K50" s="66">
        <f>'16_RECONCILIATION_CHECK'!C6</f>
        <v>414</v>
      </c>
      <c r="L50" s="68"/>
    </row>
    <row r="51" customFormat="1" ht="22" customHeight="1" spans="2:12">
      <c r="J51" s="65" t="s">
        <v>183</v>
      </c>
      <c r="K51" s="66">
        <f>'16_RECONCILIATION_CHECK'!C8</f>
        <v>413</v>
      </c>
      <c r="L51" s="68"/>
    </row>
    <row r="52" customFormat="1" ht="22" customHeight="1" spans="2:12">
      <c r="J52" s="65" t="s">
        <v>184</v>
      </c>
      <c r="K52" s="69">
        <f>'16_RECONCILIATION_CHECK'!C11</f>
        <v>0.997584541062802</v>
      </c>
      <c r="L52" s="68"/>
    </row>
    <row r="53" customFormat="1" ht="22" customHeight="1" spans="2:12">
      <c r="J53" s="65" t="s">
        <v>185</v>
      </c>
      <c r="K53" s="66" t="str">
        <f>'16_RECONCILIATION_CHECK'!C13</f>
        <v>CHECK REQUIRED</v>
      </c>
      <c r="L53" s="68"/>
    </row>
  </sheetData>
  <mergeCells count="45">
    <mergeCell ref="A1:L1"/>
    <mergeCell ref="A2:L2"/>
    <mergeCell ref="B4:C4"/>
    <mergeCell ref="E4:H4"/>
    <mergeCell ref="J4:L4"/>
    <mergeCell ref="K5:L5"/>
    <mergeCell ref="K6:L6"/>
    <mergeCell ref="K7:L7"/>
    <mergeCell ref="K8:L8"/>
    <mergeCell ref="K9:L9"/>
    <mergeCell ref="K10:L10"/>
    <mergeCell ref="B19:H19"/>
    <mergeCell ref="J19:L19"/>
    <mergeCell ref="C20:E20"/>
    <mergeCell ref="K20:L20"/>
    <mergeCell ref="C21:E21"/>
    <mergeCell ref="K21:L21"/>
    <mergeCell ref="C22:E22"/>
    <mergeCell ref="K22:L22"/>
    <mergeCell ref="C23:E23"/>
    <mergeCell ref="K23:L23"/>
    <mergeCell ref="C24:E24"/>
    <mergeCell ref="K24:L24"/>
    <mergeCell ref="C25:E25"/>
    <mergeCell ref="C26:E26"/>
    <mergeCell ref="C27:E27"/>
    <mergeCell ref="B31:H31"/>
    <mergeCell ref="B40:H40"/>
    <mergeCell ref="J40:L40"/>
    <mergeCell ref="K41:L41"/>
    <mergeCell ref="K42:L42"/>
    <mergeCell ref="K43:L43"/>
    <mergeCell ref="K44:L44"/>
    <mergeCell ref="K45:L45"/>
    <mergeCell ref="J49:L49"/>
    <mergeCell ref="K50:L50"/>
    <mergeCell ref="K51:L51"/>
    <mergeCell ref="K52:L52"/>
    <mergeCell ref="K53:L53"/>
    <mergeCell ref="E33:F35"/>
    <mergeCell ref="G33:H35"/>
    <mergeCell ref="J28:L38"/>
    <mergeCell ref="G9:H12"/>
    <mergeCell ref="B49:H52"/>
    <mergeCell ref="B33:C35"/>
  </mergeCells>
  <conditionalFormatting sqref="F9">
    <cfRule type="expression" dxfId="0" priority="1">
      <formula>$F$9="Extreme High"</formula>
    </cfRule>
    <cfRule type="expression" dxfId="1" priority="2">
      <formula>$F$9="High"</formula>
    </cfRule>
    <cfRule type="expression" dxfId="2" priority="3">
      <formula>$F$9="Medium"</formula>
    </cfRule>
    <cfRule type="expression" dxfId="3" priority="4">
      <formula>$F$9="Low"</formula>
    </cfRule>
  </conditionalFormatting>
  <conditionalFormatting sqref="F46">
    <cfRule type="expression" dxfId="0" priority="15">
      <formula>$F$46="Extreme High"</formula>
    </cfRule>
    <cfRule type="expression" dxfId="1" priority="16">
      <formula>$F$46="High"</formula>
    </cfRule>
    <cfRule type="expression" dxfId="2" priority="17">
      <formula>$F$46="Medium"</formula>
    </cfRule>
    <cfRule type="expression" dxfId="3" priority="18">
      <formula>$F$46="Low"</formula>
    </cfRule>
  </conditionalFormatting>
  <conditionalFormatting sqref="K53:L53">
    <cfRule type="expression" dxfId="4" priority="19">
      <formula>$K$53="PASS"</formula>
    </cfRule>
    <cfRule type="expression" dxfId="5" priority="20">
      <formula>$K$53="CHECK REQUIRED"</formula>
    </cfRule>
  </conditionalFormatting>
  <conditionalFormatting sqref="C20:C27">
    <cfRule type="expression" dxfId="6" priority="9">
      <formula>LEFT($C20,1)="✔"</formula>
    </cfRule>
    <cfRule type="expression" dxfId="7" priority="10">
      <formula>LEFT($C20,1)="❌"</formula>
    </cfRule>
    <cfRule type="expression" dxfId="8" priority="11">
      <formula>LEFT($C20,1)="⚠"</formula>
    </cfRule>
    <cfRule type="expression" dxfId="9" priority="21">
      <formula>LEFT(C20,1)="✔"</formula>
    </cfRule>
    <cfRule type="expression" dxfId="10" priority="22">
      <formula>LEFT(C20,1)="❌"</formula>
    </cfRule>
    <cfRule type="expression" dxfId="11" priority="23">
      <formula>LEFT(C20,1)="⚠"</formula>
    </cfRule>
  </conditionalFormatting>
  <conditionalFormatting sqref="K41:K45">
    <cfRule type="expression" dxfId="6" priority="12">
      <formula>LEFT($K41,1)="✔"</formula>
    </cfRule>
    <cfRule type="expression" dxfId="7" priority="13">
      <formula>LEFT($K41,1)="❌"</formula>
    </cfRule>
    <cfRule type="expression" dxfId="8" priority="14">
      <formula>LEFT($K41,1)="⚠"</formula>
    </cfRule>
  </conditionalFormatting>
  <conditionalFormatting sqref="G9:H12">
    <cfRule type="expression" dxfId="0" priority="5">
      <formula>$F$9="Extreme High"</formula>
    </cfRule>
    <cfRule type="expression" dxfId="1" priority="6">
      <formula>$F$9="High"</formula>
    </cfRule>
    <cfRule type="expression" dxfId="2" priority="7">
      <formula>$F$9="Medium"</formula>
    </cfRule>
    <cfRule type="expression" dxfId="3" priority="8">
      <formula>$F$9="Low"</formula>
    </cfRule>
  </conditionalFormatting>
  <dataValidations count="8">
    <dataValidation type="list" sqref="C6">
      <formula1>'97_CONTROL_LISTS'!$A$2:$A$4</formula1>
    </dataValidation>
    <dataValidation type="list" sqref="C7">
      <formula1>'97_CONTROL_LISTS'!$B$2:$B$9</formula1>
    </dataValidation>
    <dataValidation type="list" sqref="C8">
      <formula1>'97_CONTROL_LISTS'!$C$2:$C$34</formula1>
    </dataValidation>
    <dataValidation type="list" sqref="C9">
      <formula1>'97_CONTROL_LISTS'!$D$2:$D$18</formula1>
    </dataValidation>
    <dataValidation type="list" sqref="C10">
      <formula1>'97_CONTROL_LISTS'!$E$2:$E$4</formula1>
    </dataValidation>
    <dataValidation type="list" sqref="C11">
      <formula1>'97_CONTROL_LISTS'!$F$2:$F$12</formula1>
    </dataValidation>
    <dataValidation type="list" sqref="C13 C14">
      <formula1>'97_CONTROL_LISTS'!$G$1:$G$2</formula1>
    </dataValidation>
    <dataValidation type="decimal" operator="greaterThanOrEqual" sqref="C41 C42 C43 C44 C45">
      <formula1>0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6"/>
  <sheetViews>
    <sheetView showGridLines="0" workbookViewId="0">
      <selection activeCell="A1" sqref="A1:Q2"/>
    </sheetView>
  </sheetViews>
  <sheetFormatPr defaultColWidth="9" defaultRowHeight="14.5"/>
  <cols>
    <col min="1" max="1" width="3" customWidth="1"/>
    <col min="2" max="4" width="14" customWidth="1"/>
    <col min="5" max="10" width="13" customWidth="1"/>
    <col min="11" max="11" width="14" customWidth="1"/>
    <col min="12" max="12" width="13" customWidth="1"/>
    <col min="13" max="13" width="11" customWidth="1"/>
    <col min="14" max="14" width="3" customWidth="1"/>
    <col min="15" max="17" width="14" customWidth="1"/>
  </cols>
  <sheetData>
    <row r="1" ht="21" spans="1:26">
      <c r="A1" s="84" t="s">
        <v>186</v>
      </c>
      <c r="Z1" s="16" t="s">
        <v>66</v>
      </c>
    </row>
    <row r="3" spans="1:26">
      <c r="A3" s="85" t="s">
        <v>187</v>
      </c>
    </row>
    <row r="4" spans="1:26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26">
      <c r="A5" s="86"/>
      <c r="B5" s="87" t="s">
        <v>188</v>
      </c>
      <c r="E5" s="87" t="s">
        <v>189</v>
      </c>
      <c r="H5" s="87" t="s">
        <v>190</v>
      </c>
      <c r="K5" s="87" t="s">
        <v>191</v>
      </c>
      <c r="N5" s="87" t="s">
        <v>181</v>
      </c>
      <c r="Q5" s="86"/>
    </row>
    <row r="6" spans="1:26">
      <c r="A6" s="86"/>
      <c r="B6" s="88">
        <f>COUNTA('01_ASSET_INPUT_FULL'!A:A)-1</f>
        <v>414</v>
      </c>
      <c r="E6" s="88">
        <f>COUNTIF('01_ASSET_INPUT_FULL'!B:B,"Piping")</f>
        <v>345</v>
      </c>
      <c r="H6" s="88">
        <f>COUNTIF('01_ASSET_INPUT_FULL'!B:B,"Equipment")</f>
        <v>68</v>
      </c>
      <c r="K6" s="88">
        <f>COUNTA('04_CORROSION_LOOP_MODEL'!A:A)-1</f>
        <v>99</v>
      </c>
      <c r="N6" s="88" t="str">
        <f>'16_RECONCILIATION_CHECK'!C13</f>
        <v>CHECK REQUIRED</v>
      </c>
      <c r="Q6" s="86"/>
    </row>
    <row r="7" spans="1:26">
      <c r="A7" s="86"/>
      <c r="Q7" s="86"/>
    </row>
    <row r="8" spans="1:26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26">
      <c r="A9" s="86"/>
      <c r="B9" s="89" t="str">
        <f>HYPERLINK("#'00_INPUT_CONTROL_PANEL'!A1","INPUT")</f>
        <v>INPUT</v>
      </c>
      <c r="D9" s="89" t="str">
        <f>HYPERLINK("#'08_GDE_RISK_ENGINE'!A1","RISK ENGINE")</f>
        <v>RISK ENGINE</v>
      </c>
      <c r="F9" s="89" t="str">
        <f>HYPERLINK("#'14_GDE_RISK_MATRIX_DASHBOARD'!A1","RISK MATRIX")</f>
        <v>RISK MATRIX</v>
      </c>
      <c r="H9" s="89" t="str">
        <f>HYPERLINK("#'16_RECONCILIATION_CHECK'!A1","RECONCILIATION")</f>
        <v>RECONCILIATION</v>
      </c>
      <c r="J9" s="89" t="str">
        <f>HYPERLINK("#'00_USER_GUIDE_FLOW'!A1","USER GUIDE")</f>
        <v>USER GUIDE</v>
      </c>
      <c r="L9" s="89" t="str">
        <f>HYPERLINK("#'18_GB_CODE_MASTER'!A1","GB CODE MASTER")</f>
        <v>GB CODE MASTER</v>
      </c>
      <c r="N9" s="86"/>
      <c r="O9" s="86"/>
      <c r="P9" s="86"/>
      <c r="Q9" s="86"/>
    </row>
    <row r="10" spans="1:26">
      <c r="A10" s="86"/>
      <c r="N10" s="86"/>
      <c r="O10" s="86"/>
      <c r="P10" s="86"/>
      <c r="Q10" s="86"/>
    </row>
    <row r="11" spans="1:26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ht="15.5" spans="1:26">
      <c r="A12" s="86"/>
      <c r="B12" s="90" t="s">
        <v>192</v>
      </c>
      <c r="H12" s="86"/>
      <c r="I12" s="90" t="s">
        <v>193</v>
      </c>
      <c r="N12" s="86"/>
      <c r="O12" s="90" t="s">
        <v>194</v>
      </c>
    </row>
    <row r="13" spans="1:26">
      <c r="A13" s="86"/>
      <c r="B13" s="91" t="s">
        <v>102</v>
      </c>
      <c r="C13" s="91" t="s">
        <v>195</v>
      </c>
      <c r="D13" s="91" t="s">
        <v>196</v>
      </c>
      <c r="E13" s="86"/>
      <c r="F13" s="86"/>
      <c r="G13" s="86"/>
      <c r="H13" s="86"/>
      <c r="I13" s="91" t="s">
        <v>84</v>
      </c>
      <c r="J13" s="91" t="s">
        <v>195</v>
      </c>
      <c r="K13" s="86"/>
      <c r="L13" s="86"/>
      <c r="M13" s="86"/>
      <c r="N13" s="86"/>
      <c r="O13" s="91" t="s">
        <v>197</v>
      </c>
      <c r="Q13" s="91" t="s">
        <v>198</v>
      </c>
    </row>
    <row r="14" spans="1:26">
      <c r="A14" s="86"/>
      <c r="B14" s="92" t="s">
        <v>199</v>
      </c>
      <c r="C14" s="93">
        <f>COUNTIF('08_GDE_RISK_ENGINE'!G:G,"Extreme High")</f>
        <v>23</v>
      </c>
      <c r="D14" s="94">
        <f>IFERROR(C14/SUM($C$14:$C$17),0)</f>
        <v>0.0556900726392252</v>
      </c>
      <c r="E14" s="86"/>
      <c r="F14" s="86"/>
      <c r="G14" s="86"/>
      <c r="H14" s="86"/>
      <c r="I14" s="93" t="s">
        <v>85</v>
      </c>
      <c r="J14" s="93">
        <f>COUNTIF('01_ASSET_INPUT_FULL'!D:D,"SAGS")</f>
        <v>105</v>
      </c>
      <c r="K14" s="86"/>
      <c r="L14" s="86"/>
      <c r="M14" s="86"/>
      <c r="N14" s="86"/>
      <c r="O14" s="93" t="s">
        <v>182</v>
      </c>
      <c r="Q14" s="93">
        <f>'16_RECONCILIATION_CHECK'!C6</f>
        <v>414</v>
      </c>
    </row>
    <row r="15" spans="1:26">
      <c r="A15" s="86"/>
      <c r="B15" s="95" t="s">
        <v>200</v>
      </c>
      <c r="C15" s="93">
        <f>COUNTIF('08_GDE_RISK_ENGINE'!G:G,"High")</f>
        <v>261</v>
      </c>
      <c r="D15" s="94">
        <f>IFERROR(C15/SUM($C$14:$C$17),0)</f>
        <v>0.631961259079903</v>
      </c>
      <c r="E15" s="86"/>
      <c r="F15" s="86"/>
      <c r="G15" s="86"/>
      <c r="H15" s="86"/>
      <c r="I15" s="93" t="s">
        <v>201</v>
      </c>
      <c r="J15" s="93">
        <f>COUNTIF('01_ASSET_INPUT_FULL'!D:D,"Power Block")</f>
        <v>65</v>
      </c>
      <c r="K15" s="86"/>
      <c r="L15" s="86"/>
      <c r="M15" s="86"/>
      <c r="N15" s="86"/>
      <c r="O15" s="93" t="s">
        <v>183</v>
      </c>
      <c r="Q15" s="93">
        <f>'16_RECONCILIATION_CHECK'!C8</f>
        <v>413</v>
      </c>
    </row>
    <row r="16" spans="1:26">
      <c r="A16" s="86"/>
      <c r="B16" s="96" t="s">
        <v>202</v>
      </c>
      <c r="C16" s="93">
        <f>COUNTIF('08_GDE_RISK_ENGINE'!G:G,"Medium")</f>
        <v>70</v>
      </c>
      <c r="D16" s="94">
        <f>IFERROR(C16/SUM($C$14:$C$17),0)</f>
        <v>0.169491525423729</v>
      </c>
      <c r="E16" s="86"/>
      <c r="F16" s="86"/>
      <c r="G16" s="86"/>
      <c r="H16" s="86"/>
      <c r="I16" s="93" t="s">
        <v>203</v>
      </c>
      <c r="J16" s="93">
        <f>COUNTIF('01_ASSET_INPUT_FULL'!D:D,"BOP/Utility")</f>
        <v>230</v>
      </c>
      <c r="K16" s="86"/>
      <c r="L16" s="86"/>
      <c r="M16" s="86"/>
      <c r="N16" s="86"/>
      <c r="O16" s="93" t="s">
        <v>184</v>
      </c>
      <c r="Q16" s="94">
        <f>'16_RECONCILIATION_CHECK'!C11</f>
        <v>0.997584541062802</v>
      </c>
    </row>
    <row r="17" ht="29" spans="1:17">
      <c r="A17" s="86"/>
      <c r="B17" s="97" t="s">
        <v>204</v>
      </c>
      <c r="C17" s="93">
        <f>COUNTIF('08_GDE_RISK_ENGINE'!G:G,"Low")</f>
        <v>59</v>
      </c>
      <c r="D17" s="94">
        <f>IFERROR(C17/SUM($C$14:$C$17),0)</f>
        <v>0.142857142857143</v>
      </c>
      <c r="E17" s="86"/>
      <c r="F17" s="86"/>
      <c r="G17" s="86"/>
      <c r="H17" s="86"/>
      <c r="I17" s="93" t="s">
        <v>205</v>
      </c>
      <c r="J17" s="93">
        <f>COUNTIF('01_ASSET_INPUT_FULL'!D:D,"Equipment")</f>
        <v>6</v>
      </c>
      <c r="K17" s="86"/>
      <c r="L17" s="86"/>
      <c r="M17" s="86"/>
      <c r="N17" s="86"/>
      <c r="O17" s="93" t="s">
        <v>185</v>
      </c>
      <c r="Q17" s="93" t="str">
        <f>'16_RECONCILIATION_CHECK'!C13</f>
        <v>CHECK REQUIRED</v>
      </c>
    </row>
    <row r="18" spans="1:17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</row>
    <row r="19" spans="1:17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ht="15.5" spans="1:17">
      <c r="A20" s="86"/>
      <c r="B20" s="90" t="s">
        <v>206</v>
      </c>
    </row>
    <row r="21" spans="1:17">
      <c r="A21" s="86"/>
      <c r="B21" s="98" t="s">
        <v>72</v>
      </c>
      <c r="C21" s="98" t="s">
        <v>207</v>
      </c>
      <c r="D21" s="98" t="s">
        <v>84</v>
      </c>
      <c r="E21" s="98" t="s">
        <v>208</v>
      </c>
      <c r="F21" s="98" t="s">
        <v>209</v>
      </c>
      <c r="G21" s="98" t="s">
        <v>210</v>
      </c>
      <c r="H21" s="98" t="s">
        <v>116</v>
      </c>
      <c r="I21" s="98" t="s">
        <v>211</v>
      </c>
      <c r="J21" s="98" t="s">
        <v>212</v>
      </c>
      <c r="K21" s="98" t="s">
        <v>213</v>
      </c>
      <c r="L21" s="98" t="s">
        <v>214</v>
      </c>
      <c r="M21" s="98" t="s">
        <v>215</v>
      </c>
      <c r="N21" s="86"/>
      <c r="O21" s="86"/>
      <c r="P21" s="86"/>
      <c r="Q21" s="86"/>
    </row>
    <row r="22" ht="36" spans="1:17">
      <c r="A22" s="86"/>
      <c r="B22" s="99" t="str">
        <f>'08_GDE_RISK_ENGINE'!A4</f>
        <v>P2LBA11 BR001</v>
      </c>
      <c r="C22" s="99" t="str">
        <f>'08_GDE_RISK_ENGINE'!B4</f>
        <v>Piping</v>
      </c>
      <c r="D22" s="99" t="str">
        <f>'08_GDE_RISK_ENGINE'!C4</f>
        <v>SAGS</v>
      </c>
      <c r="E22" s="99" t="str">
        <f>IFERROR(VLOOKUP(B22,'01_ASSET_INPUT_FULL'!A:U,5,FALSE),"")</f>
        <v>LBA</v>
      </c>
      <c r="F22" s="99" t="str">
        <f>IFERROR(VLOOKUP(B22,'01_ASSET_INPUT_FULL'!A:U,16,FALSE),"")</f>
        <v>Steam</v>
      </c>
      <c r="G22" s="99" t="str">
        <f>IFERROR(VLOOKUP(B22,'01_ASSET_INPUT_FULL'!A:U,17,FALSE),"")</f>
        <v>LG</v>
      </c>
      <c r="H22" s="99" t="str">
        <f>IFERROR(VLOOKUP(B22,'01_ASSET_INPUT_FULL'!A:U,12,FALSE),"")</f>
        <v>CS</v>
      </c>
      <c r="I22" s="99" t="str">
        <f>'08_GDE_RISK_ENGINE'!D4</f>
        <v>CL-SAGS-LBA-STEAM-CS-LG-T3_150C_PLUS</v>
      </c>
      <c r="J22" s="99">
        <f>'08_GDE_RISK_ENGINE'!E4</f>
        <v>4</v>
      </c>
      <c r="K22" s="99">
        <f>'08_GDE_RISK_ENGINE'!F4</f>
        <v>5</v>
      </c>
      <c r="L22" s="99" t="str">
        <f>'08_GDE_RISK_ENGINE'!G4</f>
        <v>Extreme High</v>
      </c>
      <c r="M22" s="99">
        <f>IFERROR(VLOOKUP(B22,'09_INSPECTION_STRATEGY'!A:G,7,FALSE),"")</f>
        <v>0.5</v>
      </c>
      <c r="N22" s="86"/>
      <c r="O22" s="86"/>
      <c r="P22" s="86"/>
      <c r="Q22" s="86"/>
    </row>
    <row r="23" ht="36" spans="1:17">
      <c r="A23" s="86"/>
      <c r="B23" s="99" t="str">
        <f>'08_GDE_RISK_ENGINE'!A5</f>
        <v>P2LBA11 BR501</v>
      </c>
      <c r="C23" s="99" t="str">
        <f>'08_GDE_RISK_ENGINE'!B5</f>
        <v>Piping</v>
      </c>
      <c r="D23" s="99" t="str">
        <f>'08_GDE_RISK_ENGINE'!C5</f>
        <v>SAGS</v>
      </c>
      <c r="E23" s="99" t="str">
        <f>IFERROR(VLOOKUP(B23,'01_ASSET_INPUT_FULL'!A:U,5,FALSE),"")</f>
        <v>LBA</v>
      </c>
      <c r="F23" s="99" t="str">
        <f>IFERROR(VLOOKUP(B23,'01_ASSET_INPUT_FULL'!A:U,16,FALSE),"")</f>
        <v>Steam</v>
      </c>
      <c r="G23" s="99" t="str">
        <f>IFERROR(VLOOKUP(B23,'01_ASSET_INPUT_FULL'!A:U,17,FALSE),"")</f>
        <v>LG</v>
      </c>
      <c r="H23" s="99" t="str">
        <f>IFERROR(VLOOKUP(B23,'01_ASSET_INPUT_FULL'!A:U,12,FALSE),"")</f>
        <v>CS</v>
      </c>
      <c r="I23" s="99" t="str">
        <f>'08_GDE_RISK_ENGINE'!D5</f>
        <v>CL-SAGS-LBA-STEAM-CS-LG-T3_150C_PLUS</v>
      </c>
      <c r="J23" s="99">
        <f>'08_GDE_RISK_ENGINE'!E5</f>
        <v>4</v>
      </c>
      <c r="K23" s="99">
        <f>'08_GDE_RISK_ENGINE'!F5</f>
        <v>5</v>
      </c>
      <c r="L23" s="99" t="str">
        <f>'08_GDE_RISK_ENGINE'!G5</f>
        <v>Extreme High</v>
      </c>
      <c r="M23" s="99">
        <f>IFERROR(VLOOKUP(B23,'09_INSPECTION_STRATEGY'!A:G,7,FALSE),"")</f>
        <v>0.5</v>
      </c>
      <c r="N23" s="86"/>
      <c r="O23" s="86"/>
      <c r="P23" s="86"/>
      <c r="Q23" s="86"/>
    </row>
    <row r="24" ht="36" spans="1:17">
      <c r="A24" s="86"/>
      <c r="B24" s="99" t="str">
        <f>'08_GDE_RISK_ENGINE'!A6</f>
        <v>P2LBA11 BR011</v>
      </c>
      <c r="C24" s="99" t="str">
        <f>'08_GDE_RISK_ENGINE'!B6</f>
        <v>Piping</v>
      </c>
      <c r="D24" s="99" t="str">
        <f>'08_GDE_RISK_ENGINE'!C6</f>
        <v>SAGS</v>
      </c>
      <c r="E24" s="99" t="str">
        <f>IFERROR(VLOOKUP(B24,'01_ASSET_INPUT_FULL'!A:U,5,FALSE),"")</f>
        <v>LBA</v>
      </c>
      <c r="F24" s="99" t="str">
        <f>IFERROR(VLOOKUP(B24,'01_ASSET_INPUT_FULL'!A:U,16,FALSE),"")</f>
        <v>Steam</v>
      </c>
      <c r="G24" s="99" t="str">
        <f>IFERROR(VLOOKUP(B24,'01_ASSET_INPUT_FULL'!A:U,17,FALSE),"")</f>
        <v>LG</v>
      </c>
      <c r="H24" s="99" t="str">
        <f>IFERROR(VLOOKUP(B24,'01_ASSET_INPUT_FULL'!A:U,12,FALSE),"")</f>
        <v>CS</v>
      </c>
      <c r="I24" s="99" t="str">
        <f>'08_GDE_RISK_ENGINE'!D6</f>
        <v>CL-SAGS-LBA-STEAM-CS-LG-T3_150C_PLUS</v>
      </c>
      <c r="J24" s="99">
        <f>'08_GDE_RISK_ENGINE'!E6</f>
        <v>4</v>
      </c>
      <c r="K24" s="99">
        <f>'08_GDE_RISK_ENGINE'!F6</f>
        <v>5</v>
      </c>
      <c r="L24" s="99" t="str">
        <f>'08_GDE_RISK_ENGINE'!G6</f>
        <v>Extreme High</v>
      </c>
      <c r="M24" s="99">
        <f>IFERROR(VLOOKUP(B24,'09_INSPECTION_STRATEGY'!A:G,7,FALSE),"")</f>
        <v>0.5</v>
      </c>
      <c r="N24" s="86"/>
      <c r="O24" s="86"/>
      <c r="P24" s="86"/>
      <c r="Q24" s="86"/>
    </row>
    <row r="25" ht="36" spans="1:17">
      <c r="A25" s="86"/>
      <c r="B25" s="99" t="str">
        <f>'08_GDE_RISK_ENGINE'!A7</f>
        <v>P2LBA11 BR003</v>
      </c>
      <c r="C25" s="99" t="str">
        <f>'08_GDE_RISK_ENGINE'!B7</f>
        <v>Piping</v>
      </c>
      <c r="D25" s="99" t="str">
        <f>'08_GDE_RISK_ENGINE'!C7</f>
        <v>SAGS</v>
      </c>
      <c r="E25" s="99" t="str">
        <f>IFERROR(VLOOKUP(B25,'01_ASSET_INPUT_FULL'!A:U,5,FALSE),"")</f>
        <v>LBA</v>
      </c>
      <c r="F25" s="99" t="str">
        <f>IFERROR(VLOOKUP(B25,'01_ASSET_INPUT_FULL'!A:U,16,FALSE),"")</f>
        <v>Steam</v>
      </c>
      <c r="G25" s="99" t="str">
        <f>IFERROR(VLOOKUP(B25,'01_ASSET_INPUT_FULL'!A:U,17,FALSE),"")</f>
        <v>LG</v>
      </c>
      <c r="H25" s="99" t="str">
        <f>IFERROR(VLOOKUP(B25,'01_ASSET_INPUT_FULL'!A:U,12,FALSE),"")</f>
        <v>CS</v>
      </c>
      <c r="I25" s="99" t="str">
        <f>'08_GDE_RISK_ENGINE'!D7</f>
        <v>CL-SAGS-LBA-STEAM-CS-LG-T3_150C_PLUS</v>
      </c>
      <c r="J25" s="99">
        <f>'08_GDE_RISK_ENGINE'!E7</f>
        <v>4</v>
      </c>
      <c r="K25" s="99">
        <f>'08_GDE_RISK_ENGINE'!F7</f>
        <v>5</v>
      </c>
      <c r="L25" s="99" t="str">
        <f>'08_GDE_RISK_ENGINE'!G7</f>
        <v>Extreme High</v>
      </c>
      <c r="M25" s="99">
        <f>IFERROR(VLOOKUP(B25,'09_INSPECTION_STRATEGY'!A:G,7,FALSE),"")</f>
        <v>0.5</v>
      </c>
      <c r="N25" s="86"/>
      <c r="O25" s="86"/>
      <c r="P25" s="86"/>
      <c r="Q25" s="86"/>
    </row>
    <row r="26" ht="36" spans="1:17">
      <c r="A26" s="86"/>
      <c r="B26" s="99" t="str">
        <f>'08_GDE_RISK_ENGINE'!A8</f>
        <v>P2LBA11 BR010</v>
      </c>
      <c r="C26" s="99" t="str">
        <f>'08_GDE_RISK_ENGINE'!B8</f>
        <v>Piping</v>
      </c>
      <c r="D26" s="99" t="str">
        <f>'08_GDE_RISK_ENGINE'!C8</f>
        <v>SAGS</v>
      </c>
      <c r="E26" s="99" t="str">
        <f>IFERROR(VLOOKUP(B26,'01_ASSET_INPUT_FULL'!A:U,5,FALSE),"")</f>
        <v>LBA</v>
      </c>
      <c r="F26" s="99" t="str">
        <f>IFERROR(VLOOKUP(B26,'01_ASSET_INPUT_FULL'!A:U,16,FALSE),"")</f>
        <v>Steam</v>
      </c>
      <c r="G26" s="99" t="str">
        <f>IFERROR(VLOOKUP(B26,'01_ASSET_INPUT_FULL'!A:U,17,FALSE),"")</f>
        <v>LG</v>
      </c>
      <c r="H26" s="99" t="str">
        <f>IFERROR(VLOOKUP(B26,'01_ASSET_INPUT_FULL'!A:U,12,FALSE),"")</f>
        <v>CS</v>
      </c>
      <c r="I26" s="99" t="str">
        <f>'08_GDE_RISK_ENGINE'!D8</f>
        <v>CL-SAGS-LBA-STEAM-CS-LG-T3_150C_PLUS</v>
      </c>
      <c r="J26" s="99">
        <f>'08_GDE_RISK_ENGINE'!E8</f>
        <v>4</v>
      </c>
      <c r="K26" s="99">
        <f>'08_GDE_RISK_ENGINE'!F8</f>
        <v>5</v>
      </c>
      <c r="L26" s="99" t="str">
        <f>'08_GDE_RISK_ENGINE'!G8</f>
        <v>Extreme High</v>
      </c>
      <c r="M26" s="99">
        <f>IFERROR(VLOOKUP(B26,'09_INSPECTION_STRATEGY'!A:G,7,FALSE),"")</f>
        <v>0.5</v>
      </c>
      <c r="N26" s="86"/>
      <c r="O26" s="86"/>
      <c r="P26" s="86"/>
      <c r="Q26" s="86"/>
    </row>
    <row r="27" ht="36" spans="1:17">
      <c r="A27" s="86"/>
      <c r="B27" s="99" t="str">
        <f>'08_GDE_RISK_ENGINE'!A9</f>
        <v>P2LBA11 BR301</v>
      </c>
      <c r="C27" s="99" t="str">
        <f>'08_GDE_RISK_ENGINE'!B9</f>
        <v>Piping</v>
      </c>
      <c r="D27" s="99" t="str">
        <f>'08_GDE_RISK_ENGINE'!C9</f>
        <v>SAGS</v>
      </c>
      <c r="E27" s="99" t="str">
        <f>IFERROR(VLOOKUP(B27,'01_ASSET_INPUT_FULL'!A:U,5,FALSE),"")</f>
        <v>LBA</v>
      </c>
      <c r="F27" s="99" t="str">
        <f>IFERROR(VLOOKUP(B27,'01_ASSET_INPUT_FULL'!A:U,16,FALSE),"")</f>
        <v>Steam</v>
      </c>
      <c r="G27" s="99" t="str">
        <f>IFERROR(VLOOKUP(B27,'01_ASSET_INPUT_FULL'!A:U,17,FALSE),"")</f>
        <v>LG</v>
      </c>
      <c r="H27" s="99" t="str">
        <f>IFERROR(VLOOKUP(B27,'01_ASSET_INPUT_FULL'!A:U,12,FALSE),"")</f>
        <v>CS</v>
      </c>
      <c r="I27" s="99" t="str">
        <f>'08_GDE_RISK_ENGINE'!D9</f>
        <v>CL-SAGS-LBA-STEAM-CS-LG-T3_150C_PLUS</v>
      </c>
      <c r="J27" s="99">
        <f>'08_GDE_RISK_ENGINE'!E9</f>
        <v>4</v>
      </c>
      <c r="K27" s="99">
        <f>'08_GDE_RISK_ENGINE'!F9</f>
        <v>5</v>
      </c>
      <c r="L27" s="99" t="str">
        <f>'08_GDE_RISK_ENGINE'!G9</f>
        <v>Extreme High</v>
      </c>
      <c r="M27" s="99">
        <f>IFERROR(VLOOKUP(B27,'09_INSPECTION_STRATEGY'!A:G,7,FALSE),"")</f>
        <v>0.5</v>
      </c>
      <c r="N27" s="86"/>
      <c r="O27" s="86"/>
      <c r="P27" s="86"/>
      <c r="Q27" s="86"/>
    </row>
    <row r="28" ht="36" spans="1:17">
      <c r="A28" s="86"/>
      <c r="B28" s="99" t="str">
        <f>'08_GDE_RISK_ENGINE'!A10</f>
        <v>P2LBA12 BR001</v>
      </c>
      <c r="C28" s="99" t="str">
        <f>'08_GDE_RISK_ENGINE'!B10</f>
        <v>Piping</v>
      </c>
      <c r="D28" s="99" t="str">
        <f>'08_GDE_RISK_ENGINE'!C10</f>
        <v>SAGS</v>
      </c>
      <c r="E28" s="99" t="str">
        <f>IFERROR(VLOOKUP(B28,'01_ASSET_INPUT_FULL'!A:U,5,FALSE),"")</f>
        <v>LBA</v>
      </c>
      <c r="F28" s="99" t="str">
        <f>IFERROR(VLOOKUP(B28,'01_ASSET_INPUT_FULL'!A:U,16,FALSE),"")</f>
        <v>Steam</v>
      </c>
      <c r="G28" s="99" t="str">
        <f>IFERROR(VLOOKUP(B28,'01_ASSET_INPUT_FULL'!A:U,17,FALSE),"")</f>
        <v>V</v>
      </c>
      <c r="H28" s="99" t="str">
        <f>IFERROR(VLOOKUP(B28,'01_ASSET_INPUT_FULL'!A:U,12,FALSE),"")</f>
        <v>CS</v>
      </c>
      <c r="I28" s="99" t="str">
        <f>'08_GDE_RISK_ENGINE'!D10</f>
        <v>CL-SAGS-LBA-STEAM-CS-V-T3_150C_PLUS</v>
      </c>
      <c r="J28" s="99">
        <f>'08_GDE_RISK_ENGINE'!E10</f>
        <v>2</v>
      </c>
      <c r="K28" s="99">
        <f>'08_GDE_RISK_ENGINE'!F10</f>
        <v>5</v>
      </c>
      <c r="L28" s="99" t="str">
        <f>'08_GDE_RISK_ENGINE'!G10</f>
        <v>High</v>
      </c>
      <c r="M28" s="99">
        <f>IFERROR(VLOOKUP(B28,'09_INSPECTION_STRATEGY'!A:G,7,FALSE),"")</f>
        <v>0.5</v>
      </c>
      <c r="N28" s="86"/>
      <c r="O28" s="86"/>
      <c r="P28" s="86"/>
      <c r="Q28" s="86"/>
    </row>
    <row r="29" ht="36" spans="1:17">
      <c r="A29" s="86"/>
      <c r="B29" s="99" t="str">
        <f>'08_GDE_RISK_ENGINE'!A11</f>
        <v>P2LBA12 BR501</v>
      </c>
      <c r="C29" s="99" t="str">
        <f>'08_GDE_RISK_ENGINE'!B11</f>
        <v>Piping</v>
      </c>
      <c r="D29" s="99" t="str">
        <f>'08_GDE_RISK_ENGINE'!C11</f>
        <v>SAGS</v>
      </c>
      <c r="E29" s="99" t="str">
        <f>IFERROR(VLOOKUP(B29,'01_ASSET_INPUT_FULL'!A:U,5,FALSE),"")</f>
        <v>LBA</v>
      </c>
      <c r="F29" s="99" t="str">
        <f>IFERROR(VLOOKUP(B29,'01_ASSET_INPUT_FULL'!A:U,16,FALSE),"")</f>
        <v>Steam</v>
      </c>
      <c r="G29" s="99" t="str">
        <f>IFERROR(VLOOKUP(B29,'01_ASSET_INPUT_FULL'!A:U,17,FALSE),"")</f>
        <v>V</v>
      </c>
      <c r="H29" s="99" t="str">
        <f>IFERROR(VLOOKUP(B29,'01_ASSET_INPUT_FULL'!A:U,12,FALSE),"")</f>
        <v>CS</v>
      </c>
      <c r="I29" s="99" t="str">
        <f>'08_GDE_RISK_ENGINE'!D11</f>
        <v>CL-SAGS-LBA-STEAM-CS-V-T3_150C_PLUS</v>
      </c>
      <c r="J29" s="99">
        <f>'08_GDE_RISK_ENGINE'!E11</f>
        <v>2</v>
      </c>
      <c r="K29" s="99">
        <f>'08_GDE_RISK_ENGINE'!F11</f>
        <v>5</v>
      </c>
      <c r="L29" s="99" t="str">
        <f>'08_GDE_RISK_ENGINE'!G11</f>
        <v>High</v>
      </c>
      <c r="M29" s="99">
        <f>IFERROR(VLOOKUP(B29,'09_INSPECTION_STRATEGY'!A:G,7,FALSE),"")</f>
        <v>0.5</v>
      </c>
      <c r="N29" s="86"/>
      <c r="O29" s="86"/>
      <c r="P29" s="86"/>
      <c r="Q29" s="86"/>
    </row>
    <row r="30" ht="36" spans="1:17">
      <c r="A30" s="86"/>
      <c r="B30" s="99" t="str">
        <f>'08_GDE_RISK_ENGINE'!A12</f>
        <v>P2LBA12 BR011</v>
      </c>
      <c r="C30" s="99" t="str">
        <f>'08_GDE_RISK_ENGINE'!B12</f>
        <v>Piping</v>
      </c>
      <c r="D30" s="99" t="str">
        <f>'08_GDE_RISK_ENGINE'!C12</f>
        <v>SAGS</v>
      </c>
      <c r="E30" s="99" t="str">
        <f>IFERROR(VLOOKUP(B30,'01_ASSET_INPUT_FULL'!A:U,5,FALSE),"")</f>
        <v>LBA</v>
      </c>
      <c r="F30" s="99" t="str">
        <f>IFERROR(VLOOKUP(B30,'01_ASSET_INPUT_FULL'!A:U,16,FALSE),"")</f>
        <v>Steam</v>
      </c>
      <c r="G30" s="99" t="str">
        <f>IFERROR(VLOOKUP(B30,'01_ASSET_INPUT_FULL'!A:U,17,FALSE),"")</f>
        <v>V</v>
      </c>
      <c r="H30" s="99" t="str">
        <f>IFERROR(VLOOKUP(B30,'01_ASSET_INPUT_FULL'!A:U,12,FALSE),"")</f>
        <v>CS</v>
      </c>
      <c r="I30" s="99" t="str">
        <f>'08_GDE_RISK_ENGINE'!D12</f>
        <v>CL-SAGS-LBA-STEAM-CS-V-T3_150C_PLUS</v>
      </c>
      <c r="J30" s="99">
        <f>'08_GDE_RISK_ENGINE'!E12</f>
        <v>2</v>
      </c>
      <c r="K30" s="99">
        <f>'08_GDE_RISK_ENGINE'!F12</f>
        <v>5</v>
      </c>
      <c r="L30" s="99" t="str">
        <f>'08_GDE_RISK_ENGINE'!G12</f>
        <v>High</v>
      </c>
      <c r="M30" s="99">
        <f>IFERROR(VLOOKUP(B30,'09_INSPECTION_STRATEGY'!A:G,7,FALSE),"")</f>
        <v>0.5</v>
      </c>
      <c r="N30" s="86"/>
      <c r="O30" s="86"/>
      <c r="P30" s="86"/>
      <c r="Q30" s="86"/>
    </row>
    <row r="31" ht="36" spans="1:17">
      <c r="A31" s="86"/>
      <c r="B31" s="99" t="str">
        <f>'08_GDE_RISK_ENGINE'!A13</f>
        <v>P2LBA12 BR003</v>
      </c>
      <c r="C31" s="99" t="str">
        <f>'08_GDE_RISK_ENGINE'!B13</f>
        <v>Piping</v>
      </c>
      <c r="D31" s="99" t="str">
        <f>'08_GDE_RISK_ENGINE'!C13</f>
        <v>SAGS</v>
      </c>
      <c r="E31" s="99" t="str">
        <f>IFERROR(VLOOKUP(B31,'01_ASSET_INPUT_FULL'!A:U,5,FALSE),"")</f>
        <v>LBA</v>
      </c>
      <c r="F31" s="99" t="str">
        <f>IFERROR(VLOOKUP(B31,'01_ASSET_INPUT_FULL'!A:U,16,FALSE),"")</f>
        <v>Steam</v>
      </c>
      <c r="G31" s="99" t="str">
        <f>IFERROR(VLOOKUP(B31,'01_ASSET_INPUT_FULL'!A:U,17,FALSE),"")</f>
        <v>V</v>
      </c>
      <c r="H31" s="99" t="str">
        <f>IFERROR(VLOOKUP(B31,'01_ASSET_INPUT_FULL'!A:U,12,FALSE),"")</f>
        <v>CS</v>
      </c>
      <c r="I31" s="99" t="str">
        <f>'08_GDE_RISK_ENGINE'!D13</f>
        <v>CL-SAGS-LBA-STEAM-CS-V-T3_150C_PLUS</v>
      </c>
      <c r="J31" s="99">
        <f>'08_GDE_RISK_ENGINE'!E13</f>
        <v>2</v>
      </c>
      <c r="K31" s="99">
        <f>'08_GDE_RISK_ENGINE'!F13</f>
        <v>5</v>
      </c>
      <c r="L31" s="99" t="str">
        <f>'08_GDE_RISK_ENGINE'!G13</f>
        <v>High</v>
      </c>
      <c r="M31" s="99">
        <f>IFERROR(VLOOKUP(B31,'09_INSPECTION_STRATEGY'!A:G,7,FALSE),"")</f>
        <v>0.5</v>
      </c>
      <c r="N31" s="86"/>
      <c r="O31" s="86"/>
      <c r="P31" s="86"/>
      <c r="Q31" s="86"/>
    </row>
    <row r="32" spans="1:17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</row>
    <row r="33" spans="1:17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</row>
    <row r="34" ht="15.5" spans="1:17">
      <c r="A34" s="86"/>
      <c r="B34" s="90" t="s">
        <v>216</v>
      </c>
    </row>
    <row r="35" spans="1:17">
      <c r="A35" s="86"/>
      <c r="B35" s="91" t="s">
        <v>217</v>
      </c>
      <c r="F35" s="91"/>
      <c r="I35" s="91"/>
    </row>
    <row r="36" spans="1:17">
      <c r="A36" s="86"/>
      <c r="B36" s="93" t="s">
        <v>218</v>
      </c>
      <c r="F36" s="93"/>
      <c r="I36" s="93"/>
    </row>
    <row r="37" spans="1:17">
      <c r="A37" s="86"/>
      <c r="B37" s="93" t="s">
        <v>219</v>
      </c>
      <c r="F37" s="93"/>
      <c r="I37" s="93"/>
    </row>
    <row r="38" spans="1:17">
      <c r="A38" s="86"/>
      <c r="B38" s="93" t="s">
        <v>220</v>
      </c>
      <c r="F38" s="93"/>
      <c r="I38" s="93"/>
    </row>
    <row r="39" spans="1:17">
      <c r="A39" s="86"/>
      <c r="I39" s="93"/>
    </row>
    <row r="40" spans="1:17">
      <c r="A40" s="86"/>
      <c r="B40" s="86"/>
      <c r="C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</row>
    <row r="41" spans="1:17">
      <c r="A41" s="86"/>
      <c r="B41" s="86"/>
      <c r="C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</row>
    <row r="42" spans="1:17">
      <c r="A42" s="86"/>
      <c r="B42" s="86"/>
      <c r="C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1:17">
      <c r="A43" s="86"/>
      <c r="B43" s="86"/>
      <c r="C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</row>
    <row r="44" spans="1:17">
      <c r="A44" s="86"/>
      <c r="B44" s="86"/>
      <c r="C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</row>
    <row r="45" spans="1:17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</row>
    <row r="46" spans="1:17">
      <c r="A46" t="str">
        <f>HYPERLINK("#'18_GB_CODE_MASTER'!A1","GB/KKS Code Master")</f>
        <v>GB/KKS Code Master</v>
      </c>
    </row>
  </sheetData>
  <mergeCells count="50">
    <mergeCell ref="A1:H1"/>
    <mergeCell ref="A3:Q3"/>
    <mergeCell ref="B5:D5"/>
    <mergeCell ref="E5:G5"/>
    <mergeCell ref="H5:J5"/>
    <mergeCell ref="K5:M5"/>
    <mergeCell ref="N5:P5"/>
    <mergeCell ref="B12:G12"/>
    <mergeCell ref="I12:M12"/>
    <mergeCell ref="O12:Q12"/>
    <mergeCell ref="O13:P13"/>
    <mergeCell ref="O14:P14"/>
    <mergeCell ref="O15:P15"/>
    <mergeCell ref="O16:P16"/>
    <mergeCell ref="O17:P17"/>
    <mergeCell ref="B20:Q20"/>
    <mergeCell ref="B34:Q34"/>
    <mergeCell ref="B35:E35"/>
    <mergeCell ref="F35:H35"/>
    <mergeCell ref="I35:Q35"/>
    <mergeCell ref="B36:E36"/>
    <mergeCell ref="F36:H36"/>
    <mergeCell ref="I36:Q36"/>
    <mergeCell ref="B37:E37"/>
    <mergeCell ref="F37:H37"/>
    <mergeCell ref="I37:Q37"/>
    <mergeCell ref="B38:E38"/>
    <mergeCell ref="F38:H38"/>
    <mergeCell ref="I38:Q38"/>
    <mergeCell ref="A39:F39"/>
    <mergeCell ref="B39:E39"/>
    <mergeCell ref="F39:H39"/>
    <mergeCell ref="I39:Q39"/>
    <mergeCell ref="C40:F40"/>
    <mergeCell ref="C41:F41"/>
    <mergeCell ref="C42:F42"/>
    <mergeCell ref="C43:F43"/>
    <mergeCell ref="C44:F44"/>
    <mergeCell ref="B6:D7"/>
    <mergeCell ref="E6:G7"/>
    <mergeCell ref="H6:J7"/>
    <mergeCell ref="K6:M7"/>
    <mergeCell ref="N6:P7"/>
    <mergeCell ref="B9:C10"/>
    <mergeCell ref="D9:E10"/>
    <mergeCell ref="F9:G10"/>
    <mergeCell ref="H9:I10"/>
    <mergeCell ref="J9:K10"/>
    <mergeCell ref="L9:M10"/>
    <mergeCell ref="A1:Q2"/>
  </mergeCells>
  <conditionalFormatting sqref="C44:F44">
    <cfRule type="expression" dxfId="4" priority="5">
      <formula>$C$44="PASS"</formula>
    </cfRule>
    <cfRule type="expression" dxfId="5" priority="6">
      <formula>$C$44="CHECK REQUIRED"</formula>
    </cfRule>
  </conditionalFormatting>
  <conditionalFormatting sqref="K18:K32">
    <cfRule type="expression" dxfId="12" priority="1">
      <formula>$K18="Extreme High"</formula>
    </cfRule>
    <cfRule type="expression" dxfId="13" priority="2">
      <formula>$K18="High"</formula>
    </cfRule>
    <cfRule type="expression" dxfId="8" priority="3">
      <formula>$K18="Medium"</formula>
    </cfRule>
    <cfRule type="expression" dxfId="6" priority="4">
      <formula>$K18="Low"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6"/>
  <sheetViews>
    <sheetView showGridLines="0" workbookViewId="0">
      <selection activeCell="A1" sqref="A1:R1"/>
    </sheetView>
  </sheetViews>
  <sheetFormatPr defaultColWidth="9" defaultRowHeight="14.5"/>
  <cols>
    <col min="1" max="1" width="43" customWidth="1"/>
    <col min="2" max="2" width="12" customWidth="1"/>
    <col min="3" max="3" width="16" customWidth="1"/>
    <col min="4" max="4" width="13" customWidth="1"/>
    <col min="5" max="5" width="14" customWidth="1"/>
    <col min="6" max="6" width="44" customWidth="1"/>
    <col min="7" max="7" width="13" customWidth="1"/>
    <col min="8" max="8" width="41" customWidth="1"/>
    <col min="9" max="10" width="18" customWidth="1"/>
    <col min="11" max="11" width="10" customWidth="1"/>
    <col min="12" max="12" width="17" customWidth="1"/>
    <col min="13" max="14" width="10" customWidth="1"/>
    <col min="15" max="15" width="13" customWidth="1"/>
    <col min="16" max="16" width="18" customWidth="1"/>
    <col min="17" max="17" width="13" customWidth="1"/>
    <col min="18" max="19" width="27" customWidth="1"/>
    <col min="20" max="20" width="30" customWidth="1"/>
    <col min="21" max="21" width="11" customWidth="1"/>
  </cols>
  <sheetData>
    <row r="1" ht="21" spans="1:21">
      <c r="A1" s="78" t="s">
        <v>221</v>
      </c>
      <c r="S1" s="79"/>
      <c r="T1" s="79"/>
      <c r="U1" s="79"/>
    </row>
    <row r="2" spans="1:2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>
      <c r="A3" s="80" t="s">
        <v>72</v>
      </c>
      <c r="B3" s="80" t="s">
        <v>76</v>
      </c>
      <c r="C3" s="80" t="s">
        <v>222</v>
      </c>
      <c r="D3" s="80" t="s">
        <v>84</v>
      </c>
      <c r="E3" s="80" t="s">
        <v>92</v>
      </c>
      <c r="F3" s="80" t="s">
        <v>223</v>
      </c>
      <c r="G3" s="80" t="s">
        <v>224</v>
      </c>
      <c r="H3" s="80" t="s">
        <v>225</v>
      </c>
      <c r="I3" s="80" t="s">
        <v>226</v>
      </c>
      <c r="J3" s="80" t="s">
        <v>227</v>
      </c>
      <c r="K3" s="80" t="s">
        <v>116</v>
      </c>
      <c r="L3" s="80" t="s">
        <v>228</v>
      </c>
      <c r="M3" s="80" t="s">
        <v>229</v>
      </c>
      <c r="N3" s="80" t="s">
        <v>230</v>
      </c>
      <c r="O3" s="80" t="s">
        <v>231</v>
      </c>
      <c r="P3" s="80" t="s">
        <v>209</v>
      </c>
      <c r="Q3" s="80" t="s">
        <v>232</v>
      </c>
      <c r="R3" s="80" t="s">
        <v>233</v>
      </c>
      <c r="S3" s="80" t="s">
        <v>234</v>
      </c>
      <c r="T3" s="80" t="s">
        <v>235</v>
      </c>
      <c r="U3" s="80" t="s">
        <v>125</v>
      </c>
    </row>
    <row r="4" spans="1:21">
      <c r="A4" s="81" t="s">
        <v>236</v>
      </c>
      <c r="B4" s="81" t="s">
        <v>77</v>
      </c>
      <c r="C4" s="81" t="s">
        <v>85</v>
      </c>
      <c r="D4" s="81" t="s">
        <v>85</v>
      </c>
      <c r="E4" s="81" t="s">
        <v>93</v>
      </c>
      <c r="F4" s="81" t="s">
        <v>237</v>
      </c>
      <c r="G4" s="81" t="s">
        <v>238</v>
      </c>
      <c r="H4" s="81" t="s">
        <v>138</v>
      </c>
      <c r="I4" s="81" t="s">
        <v>138</v>
      </c>
      <c r="J4" s="81" t="s">
        <v>239</v>
      </c>
      <c r="K4" s="81" t="s">
        <v>117</v>
      </c>
      <c r="L4" s="81" t="s">
        <v>117</v>
      </c>
      <c r="M4" s="81" t="s">
        <v>240</v>
      </c>
      <c r="N4" s="81" t="s">
        <v>241</v>
      </c>
      <c r="O4" s="81" t="s">
        <v>242</v>
      </c>
      <c r="P4" s="81" t="s">
        <v>101</v>
      </c>
      <c r="Q4" s="81" t="s">
        <v>109</v>
      </c>
      <c r="R4" s="81" t="s">
        <v>129</v>
      </c>
      <c r="S4" s="81"/>
      <c r="T4" s="81"/>
      <c r="U4" s="81" t="s">
        <v>243</v>
      </c>
    </row>
    <row r="5" spans="1:21">
      <c r="A5" s="81" t="s">
        <v>244</v>
      </c>
      <c r="B5" s="81" t="s">
        <v>77</v>
      </c>
      <c r="C5" s="81" t="s">
        <v>85</v>
      </c>
      <c r="D5" s="81" t="s">
        <v>85</v>
      </c>
      <c r="E5" s="81" t="s">
        <v>93</v>
      </c>
      <c r="F5" s="81" t="s">
        <v>237</v>
      </c>
      <c r="G5" s="81" t="s">
        <v>238</v>
      </c>
      <c r="H5" s="81" t="s">
        <v>138</v>
      </c>
      <c r="I5" s="81" t="s">
        <v>138</v>
      </c>
      <c r="J5" s="81" t="s">
        <v>239</v>
      </c>
      <c r="K5" s="81" t="s">
        <v>117</v>
      </c>
      <c r="L5" s="81" t="s">
        <v>117</v>
      </c>
      <c r="M5" s="81" t="s">
        <v>245</v>
      </c>
      <c r="N5" s="81" t="s">
        <v>241</v>
      </c>
      <c r="O5" s="81" t="s">
        <v>242</v>
      </c>
      <c r="P5" s="81" t="s">
        <v>101</v>
      </c>
      <c r="Q5" s="81" t="s">
        <v>109</v>
      </c>
      <c r="R5" s="81" t="s">
        <v>246</v>
      </c>
      <c r="S5" s="81"/>
      <c r="T5" s="81"/>
      <c r="U5" s="81" t="s">
        <v>243</v>
      </c>
    </row>
    <row r="6" spans="1:21">
      <c r="A6" s="81" t="s">
        <v>247</v>
      </c>
      <c r="B6" s="81" t="s">
        <v>77</v>
      </c>
      <c r="C6" s="81" t="s">
        <v>85</v>
      </c>
      <c r="D6" s="81" t="s">
        <v>85</v>
      </c>
      <c r="E6" s="81" t="s">
        <v>93</v>
      </c>
      <c r="F6" s="81" t="s">
        <v>237</v>
      </c>
      <c r="G6" s="81" t="s">
        <v>238</v>
      </c>
      <c r="H6" s="81" t="s">
        <v>138</v>
      </c>
      <c r="I6" s="81" t="s">
        <v>138</v>
      </c>
      <c r="J6" s="81" t="s">
        <v>248</v>
      </c>
      <c r="K6" s="81" t="s">
        <v>117</v>
      </c>
      <c r="L6" s="81" t="s">
        <v>117</v>
      </c>
      <c r="M6" s="81" t="s">
        <v>249</v>
      </c>
      <c r="N6" s="81" t="s">
        <v>241</v>
      </c>
      <c r="O6" s="81" t="s">
        <v>242</v>
      </c>
      <c r="P6" s="81" t="s">
        <v>101</v>
      </c>
      <c r="Q6" s="81" t="s">
        <v>109</v>
      </c>
      <c r="R6" s="81" t="s">
        <v>246</v>
      </c>
      <c r="S6" s="81"/>
      <c r="T6" s="81"/>
      <c r="U6" s="81" t="s">
        <v>243</v>
      </c>
    </row>
    <row r="7" spans="1:21">
      <c r="A7" s="81" t="s">
        <v>250</v>
      </c>
      <c r="B7" s="81" t="s">
        <v>77</v>
      </c>
      <c r="C7" s="81" t="s">
        <v>85</v>
      </c>
      <c r="D7" s="81" t="s">
        <v>85</v>
      </c>
      <c r="E7" s="81" t="s">
        <v>93</v>
      </c>
      <c r="F7" s="81" t="s">
        <v>237</v>
      </c>
      <c r="G7" s="81" t="s">
        <v>238</v>
      </c>
      <c r="H7" s="81" t="s">
        <v>138</v>
      </c>
      <c r="I7" s="81" t="s">
        <v>138</v>
      </c>
      <c r="J7" s="81" t="s">
        <v>251</v>
      </c>
      <c r="K7" s="81" t="s">
        <v>117</v>
      </c>
      <c r="L7" s="81" t="s">
        <v>117</v>
      </c>
      <c r="M7" s="81" t="s">
        <v>252</v>
      </c>
      <c r="N7" s="81" t="s">
        <v>253</v>
      </c>
      <c r="O7" s="81" t="s">
        <v>254</v>
      </c>
      <c r="P7" s="81" t="s">
        <v>101</v>
      </c>
      <c r="Q7" s="81" t="s">
        <v>109</v>
      </c>
      <c r="R7" s="81" t="s">
        <v>246</v>
      </c>
      <c r="S7" s="81"/>
      <c r="T7" s="81"/>
      <c r="U7" s="81" t="s">
        <v>243</v>
      </c>
    </row>
    <row r="8" spans="1:21">
      <c r="A8" s="81" t="s">
        <v>255</v>
      </c>
      <c r="B8" s="81" t="s">
        <v>77</v>
      </c>
      <c r="C8" s="81" t="s">
        <v>85</v>
      </c>
      <c r="D8" s="81" t="s">
        <v>85</v>
      </c>
      <c r="E8" s="81" t="s">
        <v>93</v>
      </c>
      <c r="F8" s="81" t="s">
        <v>237</v>
      </c>
      <c r="G8" s="81" t="s">
        <v>238</v>
      </c>
      <c r="H8" s="81" t="s">
        <v>138</v>
      </c>
      <c r="I8" s="81" t="s">
        <v>138</v>
      </c>
      <c r="J8" s="81" t="s">
        <v>256</v>
      </c>
      <c r="K8" s="81" t="s">
        <v>117</v>
      </c>
      <c r="L8" s="81" t="s">
        <v>117</v>
      </c>
      <c r="M8" s="81" t="s">
        <v>257</v>
      </c>
      <c r="N8" s="81" t="s">
        <v>241</v>
      </c>
      <c r="O8" s="81" t="s">
        <v>242</v>
      </c>
      <c r="P8" s="81" t="s">
        <v>101</v>
      </c>
      <c r="Q8" s="81" t="s">
        <v>109</v>
      </c>
      <c r="R8" s="81" t="s">
        <v>246</v>
      </c>
      <c r="S8" s="81"/>
      <c r="T8" s="81"/>
      <c r="U8" s="81" t="s">
        <v>243</v>
      </c>
    </row>
    <row r="9" spans="1:21">
      <c r="A9" s="81" t="s">
        <v>258</v>
      </c>
      <c r="B9" s="81" t="s">
        <v>77</v>
      </c>
      <c r="C9" s="81" t="s">
        <v>85</v>
      </c>
      <c r="D9" s="81" t="s">
        <v>85</v>
      </c>
      <c r="E9" s="81" t="s">
        <v>93</v>
      </c>
      <c r="F9" s="81" t="s">
        <v>237</v>
      </c>
      <c r="G9" s="81" t="s">
        <v>238</v>
      </c>
      <c r="H9" s="81" t="s">
        <v>138</v>
      </c>
      <c r="I9" s="81" t="s">
        <v>138</v>
      </c>
      <c r="J9" s="81" t="s">
        <v>256</v>
      </c>
      <c r="K9" s="81" t="s">
        <v>117</v>
      </c>
      <c r="L9" s="81" t="s">
        <v>117</v>
      </c>
      <c r="M9" s="81" t="s">
        <v>257</v>
      </c>
      <c r="N9" s="81" t="s">
        <v>241</v>
      </c>
      <c r="O9" s="81" t="s">
        <v>242</v>
      </c>
      <c r="P9" s="81" t="s">
        <v>101</v>
      </c>
      <c r="Q9" s="81" t="s">
        <v>109</v>
      </c>
      <c r="R9" s="81" t="s">
        <v>246</v>
      </c>
      <c r="S9" s="81">
        <v>14.5</v>
      </c>
      <c r="T9" s="81">
        <v>199.3</v>
      </c>
      <c r="U9" s="81" t="s">
        <v>243</v>
      </c>
    </row>
    <row r="10" spans="1:21">
      <c r="A10" s="81" t="s">
        <v>259</v>
      </c>
      <c r="B10" s="81" t="s">
        <v>77</v>
      </c>
      <c r="C10" s="81" t="s">
        <v>85</v>
      </c>
      <c r="D10" s="81" t="s">
        <v>85</v>
      </c>
      <c r="E10" s="81" t="s">
        <v>93</v>
      </c>
      <c r="F10" s="81" t="s">
        <v>237</v>
      </c>
      <c r="G10" s="81" t="s">
        <v>239</v>
      </c>
      <c r="H10" s="81" t="s">
        <v>138</v>
      </c>
      <c r="I10" s="81" t="s">
        <v>138</v>
      </c>
      <c r="J10" s="81" t="s">
        <v>239</v>
      </c>
      <c r="K10" s="81" t="s">
        <v>117</v>
      </c>
      <c r="L10" s="81" t="s">
        <v>117</v>
      </c>
      <c r="M10" s="81" t="s">
        <v>240</v>
      </c>
      <c r="N10" s="81" t="s">
        <v>241</v>
      </c>
      <c r="O10" s="81" t="s">
        <v>242</v>
      </c>
      <c r="P10" s="81" t="s">
        <v>101</v>
      </c>
      <c r="Q10" s="81" t="s">
        <v>260</v>
      </c>
      <c r="R10" s="81" t="s">
        <v>129</v>
      </c>
      <c r="S10" s="81"/>
      <c r="T10" s="81"/>
      <c r="U10" s="81" t="s">
        <v>243</v>
      </c>
    </row>
    <row r="11" spans="1:21">
      <c r="A11" s="81" t="s">
        <v>261</v>
      </c>
      <c r="B11" s="81" t="s">
        <v>77</v>
      </c>
      <c r="C11" s="81" t="s">
        <v>85</v>
      </c>
      <c r="D11" s="81" t="s">
        <v>85</v>
      </c>
      <c r="E11" s="81" t="s">
        <v>93</v>
      </c>
      <c r="F11" s="81" t="s">
        <v>237</v>
      </c>
      <c r="G11" s="81" t="s">
        <v>239</v>
      </c>
      <c r="H11" s="81" t="s">
        <v>138</v>
      </c>
      <c r="I11" s="81" t="s">
        <v>138</v>
      </c>
      <c r="J11" s="81" t="s">
        <v>239</v>
      </c>
      <c r="K11" s="81" t="s">
        <v>117</v>
      </c>
      <c r="L11" s="81" t="s">
        <v>117</v>
      </c>
      <c r="M11" s="81" t="s">
        <v>240</v>
      </c>
      <c r="N11" s="81" t="s">
        <v>241</v>
      </c>
      <c r="O11" s="81" t="s">
        <v>242</v>
      </c>
      <c r="P11" s="81" t="s">
        <v>101</v>
      </c>
      <c r="Q11" s="81" t="s">
        <v>260</v>
      </c>
      <c r="R11" s="81" t="s">
        <v>129</v>
      </c>
      <c r="S11" s="81"/>
      <c r="T11" s="81"/>
      <c r="U11" s="81" t="s">
        <v>243</v>
      </c>
    </row>
    <row r="12" spans="1:21">
      <c r="A12" s="81" t="s">
        <v>262</v>
      </c>
      <c r="B12" s="81" t="s">
        <v>77</v>
      </c>
      <c r="C12" s="81" t="s">
        <v>85</v>
      </c>
      <c r="D12" s="81" t="s">
        <v>85</v>
      </c>
      <c r="E12" s="81" t="s">
        <v>93</v>
      </c>
      <c r="F12" s="81" t="s">
        <v>237</v>
      </c>
      <c r="G12" s="81" t="s">
        <v>239</v>
      </c>
      <c r="H12" s="81" t="s">
        <v>138</v>
      </c>
      <c r="I12" s="81" t="s">
        <v>138</v>
      </c>
      <c r="J12" s="81" t="s">
        <v>248</v>
      </c>
      <c r="K12" s="81" t="s">
        <v>117</v>
      </c>
      <c r="L12" s="81" t="s">
        <v>117</v>
      </c>
      <c r="M12" s="81" t="s">
        <v>249</v>
      </c>
      <c r="N12" s="81" t="s">
        <v>241</v>
      </c>
      <c r="O12" s="81" t="s">
        <v>242</v>
      </c>
      <c r="P12" s="81" t="s">
        <v>101</v>
      </c>
      <c r="Q12" s="81" t="s">
        <v>260</v>
      </c>
      <c r="R12" s="81" t="s">
        <v>129</v>
      </c>
      <c r="S12" s="81"/>
      <c r="T12" s="81"/>
      <c r="U12" s="81" t="s">
        <v>243</v>
      </c>
    </row>
    <row r="13" spans="1:21">
      <c r="A13" s="81" t="s">
        <v>263</v>
      </c>
      <c r="B13" s="81" t="s">
        <v>77</v>
      </c>
      <c r="C13" s="81" t="s">
        <v>85</v>
      </c>
      <c r="D13" s="81" t="s">
        <v>85</v>
      </c>
      <c r="E13" s="81" t="s">
        <v>93</v>
      </c>
      <c r="F13" s="81" t="s">
        <v>237</v>
      </c>
      <c r="G13" s="81" t="s">
        <v>239</v>
      </c>
      <c r="H13" s="81" t="s">
        <v>138</v>
      </c>
      <c r="I13" s="81" t="s">
        <v>138</v>
      </c>
      <c r="J13" s="81" t="s">
        <v>251</v>
      </c>
      <c r="K13" s="81" t="s">
        <v>117</v>
      </c>
      <c r="L13" s="81" t="s">
        <v>117</v>
      </c>
      <c r="M13" s="81" t="s">
        <v>252</v>
      </c>
      <c r="N13" s="81" t="s">
        <v>253</v>
      </c>
      <c r="O13" s="81" t="s">
        <v>254</v>
      </c>
      <c r="P13" s="81" t="s">
        <v>101</v>
      </c>
      <c r="Q13" s="81" t="s">
        <v>260</v>
      </c>
      <c r="R13" s="81" t="s">
        <v>129</v>
      </c>
      <c r="S13" s="81"/>
      <c r="T13" s="81"/>
      <c r="U13" s="81" t="s">
        <v>243</v>
      </c>
    </row>
    <row r="14" spans="1:21">
      <c r="A14" s="81" t="s">
        <v>264</v>
      </c>
      <c r="B14" s="81" t="s">
        <v>77</v>
      </c>
      <c r="C14" s="81" t="s">
        <v>85</v>
      </c>
      <c r="D14" s="81" t="s">
        <v>85</v>
      </c>
      <c r="E14" s="81" t="s">
        <v>93</v>
      </c>
      <c r="F14" s="81" t="s">
        <v>237</v>
      </c>
      <c r="G14" s="81" t="s">
        <v>239</v>
      </c>
      <c r="H14" s="81" t="s">
        <v>138</v>
      </c>
      <c r="I14" s="81" t="s">
        <v>138</v>
      </c>
      <c r="J14" s="81" t="s">
        <v>256</v>
      </c>
      <c r="K14" s="81" t="s">
        <v>117</v>
      </c>
      <c r="L14" s="81" t="s">
        <v>117</v>
      </c>
      <c r="M14" s="81" t="s">
        <v>257</v>
      </c>
      <c r="N14" s="81" t="s">
        <v>241</v>
      </c>
      <c r="O14" s="81" t="s">
        <v>242</v>
      </c>
      <c r="P14" s="81" t="s">
        <v>101</v>
      </c>
      <c r="Q14" s="81" t="s">
        <v>260</v>
      </c>
      <c r="R14" s="81" t="s">
        <v>129</v>
      </c>
      <c r="S14" s="81"/>
      <c r="T14" s="81"/>
      <c r="U14" s="81" t="s">
        <v>243</v>
      </c>
    </row>
    <row r="15" spans="1:21">
      <c r="A15" s="81" t="s">
        <v>265</v>
      </c>
      <c r="B15" s="81" t="s">
        <v>77</v>
      </c>
      <c r="C15" s="81" t="s">
        <v>85</v>
      </c>
      <c r="D15" s="81" t="s">
        <v>85</v>
      </c>
      <c r="E15" s="81" t="s">
        <v>93</v>
      </c>
      <c r="F15" s="81" t="s">
        <v>237</v>
      </c>
      <c r="G15" s="81" t="s">
        <v>239</v>
      </c>
      <c r="H15" s="81" t="s">
        <v>138</v>
      </c>
      <c r="I15" s="81" t="s">
        <v>138</v>
      </c>
      <c r="J15" s="81" t="s">
        <v>256</v>
      </c>
      <c r="K15" s="81" t="s">
        <v>117</v>
      </c>
      <c r="L15" s="81" t="s">
        <v>117</v>
      </c>
      <c r="M15" s="81" t="s">
        <v>257</v>
      </c>
      <c r="N15" s="81" t="s">
        <v>241</v>
      </c>
      <c r="O15" s="81" t="s">
        <v>242</v>
      </c>
      <c r="P15" s="81" t="s">
        <v>101</v>
      </c>
      <c r="Q15" s="81" t="s">
        <v>260</v>
      </c>
      <c r="R15" s="81" t="s">
        <v>129</v>
      </c>
      <c r="S15" s="81">
        <v>10.4</v>
      </c>
      <c r="T15" s="81">
        <v>185.1</v>
      </c>
      <c r="U15" s="81" t="s">
        <v>243</v>
      </c>
    </row>
    <row r="16" spans="1:21">
      <c r="A16" s="81" t="s">
        <v>266</v>
      </c>
      <c r="B16" s="81" t="s">
        <v>77</v>
      </c>
      <c r="C16" s="81" t="s">
        <v>85</v>
      </c>
      <c r="D16" s="81" t="s">
        <v>85</v>
      </c>
      <c r="E16" s="81" t="s">
        <v>93</v>
      </c>
      <c r="F16" s="81" t="s">
        <v>237</v>
      </c>
      <c r="G16" s="81" t="s">
        <v>267</v>
      </c>
      <c r="H16" s="81" t="s">
        <v>138</v>
      </c>
      <c r="I16" s="81" t="s">
        <v>138</v>
      </c>
      <c r="J16" s="81" t="s">
        <v>239</v>
      </c>
      <c r="K16" s="81" t="s">
        <v>117</v>
      </c>
      <c r="L16" s="81" t="s">
        <v>117</v>
      </c>
      <c r="M16" s="81" t="s">
        <v>240</v>
      </c>
      <c r="N16" s="81" t="s">
        <v>241</v>
      </c>
      <c r="O16" s="81" t="s">
        <v>242</v>
      </c>
      <c r="P16" s="81" t="s">
        <v>101</v>
      </c>
      <c r="Q16" s="81" t="s">
        <v>260</v>
      </c>
      <c r="R16" s="81" t="s">
        <v>129</v>
      </c>
      <c r="S16" s="81"/>
      <c r="T16" s="81"/>
      <c r="U16" s="81" t="s">
        <v>243</v>
      </c>
    </row>
    <row r="17" spans="1:21">
      <c r="A17" s="81" t="s">
        <v>268</v>
      </c>
      <c r="B17" s="81" t="s">
        <v>77</v>
      </c>
      <c r="C17" s="81" t="s">
        <v>85</v>
      </c>
      <c r="D17" s="81" t="s">
        <v>85</v>
      </c>
      <c r="E17" s="81" t="s">
        <v>93</v>
      </c>
      <c r="F17" s="81" t="s">
        <v>237</v>
      </c>
      <c r="G17" s="81" t="s">
        <v>267</v>
      </c>
      <c r="H17" s="81" t="s">
        <v>138</v>
      </c>
      <c r="I17" s="81" t="s">
        <v>138</v>
      </c>
      <c r="J17" s="81" t="s">
        <v>239</v>
      </c>
      <c r="K17" s="81" t="s">
        <v>117</v>
      </c>
      <c r="L17" s="81" t="s">
        <v>117</v>
      </c>
      <c r="M17" s="81" t="s">
        <v>240</v>
      </c>
      <c r="N17" s="81" t="s">
        <v>241</v>
      </c>
      <c r="O17" s="81" t="s">
        <v>242</v>
      </c>
      <c r="P17" s="81" t="s">
        <v>101</v>
      </c>
      <c r="Q17" s="81" t="s">
        <v>260</v>
      </c>
      <c r="R17" s="81" t="s">
        <v>129</v>
      </c>
      <c r="S17" s="81"/>
      <c r="T17" s="81"/>
      <c r="U17" s="81" t="s">
        <v>243</v>
      </c>
    </row>
    <row r="18" spans="1:21">
      <c r="A18" s="81" t="s">
        <v>269</v>
      </c>
      <c r="B18" s="81" t="s">
        <v>77</v>
      </c>
      <c r="C18" s="81" t="s">
        <v>85</v>
      </c>
      <c r="D18" s="81" t="s">
        <v>85</v>
      </c>
      <c r="E18" s="81" t="s">
        <v>93</v>
      </c>
      <c r="F18" s="81" t="s">
        <v>237</v>
      </c>
      <c r="G18" s="81" t="s">
        <v>267</v>
      </c>
      <c r="H18" s="81" t="s">
        <v>138</v>
      </c>
      <c r="I18" s="81" t="s">
        <v>138</v>
      </c>
      <c r="J18" s="81" t="s">
        <v>248</v>
      </c>
      <c r="K18" s="81" t="s">
        <v>117</v>
      </c>
      <c r="L18" s="81" t="s">
        <v>117</v>
      </c>
      <c r="M18" s="81" t="s">
        <v>249</v>
      </c>
      <c r="N18" s="81" t="s">
        <v>241</v>
      </c>
      <c r="O18" s="81" t="s">
        <v>242</v>
      </c>
      <c r="P18" s="81" t="s">
        <v>101</v>
      </c>
      <c r="Q18" s="81" t="s">
        <v>260</v>
      </c>
      <c r="R18" s="81" t="s">
        <v>129</v>
      </c>
      <c r="S18" s="81"/>
      <c r="T18" s="81"/>
      <c r="U18" s="81" t="s">
        <v>243</v>
      </c>
    </row>
    <row r="19" spans="1:21">
      <c r="A19" s="81" t="s">
        <v>270</v>
      </c>
      <c r="B19" s="81" t="s">
        <v>77</v>
      </c>
      <c r="C19" s="81" t="s">
        <v>85</v>
      </c>
      <c r="D19" s="81" t="s">
        <v>85</v>
      </c>
      <c r="E19" s="81" t="s">
        <v>93</v>
      </c>
      <c r="F19" s="81" t="s">
        <v>237</v>
      </c>
      <c r="G19" s="81" t="s">
        <v>267</v>
      </c>
      <c r="H19" s="81" t="s">
        <v>138</v>
      </c>
      <c r="I19" s="81" t="s">
        <v>138</v>
      </c>
      <c r="J19" s="81" t="s">
        <v>251</v>
      </c>
      <c r="K19" s="81" t="s">
        <v>117</v>
      </c>
      <c r="L19" s="81" t="s">
        <v>117</v>
      </c>
      <c r="M19" s="81" t="s">
        <v>252</v>
      </c>
      <c r="N19" s="81" t="s">
        <v>253</v>
      </c>
      <c r="O19" s="81" t="s">
        <v>254</v>
      </c>
      <c r="P19" s="81" t="s">
        <v>101</v>
      </c>
      <c r="Q19" s="81" t="s">
        <v>260</v>
      </c>
      <c r="R19" s="81" t="s">
        <v>129</v>
      </c>
      <c r="S19" s="81"/>
      <c r="T19" s="81"/>
      <c r="U19" s="81" t="s">
        <v>243</v>
      </c>
    </row>
    <row r="20" spans="1:21">
      <c r="A20" s="81" t="s">
        <v>271</v>
      </c>
      <c r="B20" s="81" t="s">
        <v>77</v>
      </c>
      <c r="C20" s="81" t="s">
        <v>85</v>
      </c>
      <c r="D20" s="81" t="s">
        <v>85</v>
      </c>
      <c r="E20" s="81" t="s">
        <v>93</v>
      </c>
      <c r="F20" s="81" t="s">
        <v>237</v>
      </c>
      <c r="G20" s="81" t="s">
        <v>267</v>
      </c>
      <c r="H20" s="81" t="s">
        <v>138</v>
      </c>
      <c r="I20" s="81" t="s">
        <v>138</v>
      </c>
      <c r="J20" s="81" t="s">
        <v>256</v>
      </c>
      <c r="K20" s="81" t="s">
        <v>117</v>
      </c>
      <c r="L20" s="81" t="s">
        <v>117</v>
      </c>
      <c r="M20" s="81" t="s">
        <v>257</v>
      </c>
      <c r="N20" s="81" t="s">
        <v>241</v>
      </c>
      <c r="O20" s="81" t="s">
        <v>242</v>
      </c>
      <c r="P20" s="81" t="s">
        <v>101</v>
      </c>
      <c r="Q20" s="81" t="s">
        <v>260</v>
      </c>
      <c r="R20" s="81" t="s">
        <v>129</v>
      </c>
      <c r="S20" s="81"/>
      <c r="T20" s="81"/>
      <c r="U20" s="81" t="s">
        <v>243</v>
      </c>
    </row>
    <row r="21" spans="1:21">
      <c r="A21" s="81" t="s">
        <v>272</v>
      </c>
      <c r="B21" s="81" t="s">
        <v>77</v>
      </c>
      <c r="C21" s="81" t="s">
        <v>85</v>
      </c>
      <c r="D21" s="81" t="s">
        <v>85</v>
      </c>
      <c r="E21" s="81" t="s">
        <v>93</v>
      </c>
      <c r="F21" s="81" t="s">
        <v>237</v>
      </c>
      <c r="G21" s="81" t="s">
        <v>267</v>
      </c>
      <c r="H21" s="81" t="s">
        <v>138</v>
      </c>
      <c r="I21" s="81" t="s">
        <v>138</v>
      </c>
      <c r="J21" s="81" t="s">
        <v>256</v>
      </c>
      <c r="K21" s="81" t="s">
        <v>117</v>
      </c>
      <c r="L21" s="81" t="s">
        <v>117</v>
      </c>
      <c r="M21" s="81" t="s">
        <v>257</v>
      </c>
      <c r="N21" s="81" t="s">
        <v>241</v>
      </c>
      <c r="O21" s="81" t="s">
        <v>242</v>
      </c>
      <c r="P21" s="81" t="s">
        <v>101</v>
      </c>
      <c r="Q21" s="81" t="s">
        <v>260</v>
      </c>
      <c r="R21" s="81" t="s">
        <v>129</v>
      </c>
      <c r="S21" s="81">
        <v>9.6</v>
      </c>
      <c r="T21" s="81">
        <v>181.8</v>
      </c>
      <c r="U21" s="81" t="s">
        <v>243</v>
      </c>
    </row>
    <row r="22" spans="1:21">
      <c r="A22" s="81" t="s">
        <v>273</v>
      </c>
      <c r="B22" s="81" t="s">
        <v>77</v>
      </c>
      <c r="C22" s="81" t="s">
        <v>85</v>
      </c>
      <c r="D22" s="81" t="s">
        <v>85</v>
      </c>
      <c r="E22" s="81" t="s">
        <v>93</v>
      </c>
      <c r="F22" s="81" t="s">
        <v>237</v>
      </c>
      <c r="G22" s="81" t="s">
        <v>274</v>
      </c>
      <c r="H22" s="81" t="s">
        <v>138</v>
      </c>
      <c r="I22" s="81" t="s">
        <v>138</v>
      </c>
      <c r="J22" s="81" t="s">
        <v>275</v>
      </c>
      <c r="K22" s="81" t="s">
        <v>117</v>
      </c>
      <c r="L22" s="81" t="s">
        <v>117</v>
      </c>
      <c r="M22" s="81" t="s">
        <v>276</v>
      </c>
      <c r="N22" s="81" t="s">
        <v>253</v>
      </c>
      <c r="O22" s="81" t="s">
        <v>254</v>
      </c>
      <c r="P22" s="81" t="s">
        <v>101</v>
      </c>
      <c r="Q22" s="81" t="s">
        <v>260</v>
      </c>
      <c r="R22" s="81" t="s">
        <v>129</v>
      </c>
      <c r="S22" s="81"/>
      <c r="T22" s="81"/>
      <c r="U22" s="81" t="s">
        <v>243</v>
      </c>
    </row>
    <row r="23" spans="1:21">
      <c r="A23" s="81" t="s">
        <v>277</v>
      </c>
      <c r="B23" s="81" t="s">
        <v>77</v>
      </c>
      <c r="C23" s="81" t="s">
        <v>85</v>
      </c>
      <c r="D23" s="81" t="s">
        <v>85</v>
      </c>
      <c r="E23" s="81" t="s">
        <v>93</v>
      </c>
      <c r="F23" s="81" t="s">
        <v>237</v>
      </c>
      <c r="G23" s="81" t="s">
        <v>251</v>
      </c>
      <c r="H23" s="81" t="s">
        <v>138</v>
      </c>
      <c r="I23" s="81" t="s">
        <v>138</v>
      </c>
      <c r="J23" s="81" t="s">
        <v>239</v>
      </c>
      <c r="K23" s="81" t="s">
        <v>117</v>
      </c>
      <c r="L23" s="81" t="s">
        <v>117</v>
      </c>
      <c r="M23" s="81" t="s">
        <v>240</v>
      </c>
      <c r="N23" s="81" t="s">
        <v>241</v>
      </c>
      <c r="O23" s="81" t="s">
        <v>242</v>
      </c>
      <c r="P23" s="81" t="s">
        <v>101</v>
      </c>
      <c r="Q23" s="81" t="s">
        <v>260</v>
      </c>
      <c r="R23" s="81" t="s">
        <v>278</v>
      </c>
      <c r="S23" s="81"/>
      <c r="T23" s="81"/>
      <c r="U23" s="81" t="s">
        <v>243</v>
      </c>
    </row>
    <row r="24" spans="1:21">
      <c r="A24" s="81" t="s">
        <v>279</v>
      </c>
      <c r="B24" s="81" t="s">
        <v>77</v>
      </c>
      <c r="C24" s="81" t="s">
        <v>85</v>
      </c>
      <c r="D24" s="81" t="s">
        <v>85</v>
      </c>
      <c r="E24" s="81" t="s">
        <v>93</v>
      </c>
      <c r="F24" s="81" t="s">
        <v>237</v>
      </c>
      <c r="G24" s="81" t="s">
        <v>251</v>
      </c>
      <c r="H24" s="81" t="s">
        <v>138</v>
      </c>
      <c r="I24" s="81" t="s">
        <v>138</v>
      </c>
      <c r="J24" s="81" t="s">
        <v>239</v>
      </c>
      <c r="K24" s="81" t="s">
        <v>117</v>
      </c>
      <c r="L24" s="81" t="s">
        <v>117</v>
      </c>
      <c r="M24" s="81" t="s">
        <v>240</v>
      </c>
      <c r="N24" s="81" t="s">
        <v>241</v>
      </c>
      <c r="O24" s="81" t="s">
        <v>242</v>
      </c>
      <c r="P24" s="81" t="s">
        <v>101</v>
      </c>
      <c r="Q24" s="81" t="s">
        <v>260</v>
      </c>
      <c r="R24" s="81" t="s">
        <v>278</v>
      </c>
      <c r="S24" s="81"/>
      <c r="T24" s="81"/>
      <c r="U24" s="81" t="s">
        <v>243</v>
      </c>
    </row>
    <row r="25" spans="1:21">
      <c r="A25" s="81" t="s">
        <v>280</v>
      </c>
      <c r="B25" s="81" t="s">
        <v>77</v>
      </c>
      <c r="C25" s="81" t="s">
        <v>85</v>
      </c>
      <c r="D25" s="81" t="s">
        <v>85</v>
      </c>
      <c r="E25" s="81" t="s">
        <v>93</v>
      </c>
      <c r="F25" s="81" t="s">
        <v>237</v>
      </c>
      <c r="G25" s="81" t="s">
        <v>251</v>
      </c>
      <c r="H25" s="81" t="s">
        <v>138</v>
      </c>
      <c r="I25" s="81" t="s">
        <v>138</v>
      </c>
      <c r="J25" s="81" t="s">
        <v>251</v>
      </c>
      <c r="K25" s="81" t="s">
        <v>117</v>
      </c>
      <c r="L25" s="81" t="s">
        <v>117</v>
      </c>
      <c r="M25" s="81" t="s">
        <v>252</v>
      </c>
      <c r="N25" s="81" t="s">
        <v>253</v>
      </c>
      <c r="O25" s="81" t="s">
        <v>254</v>
      </c>
      <c r="P25" s="81" t="s">
        <v>101</v>
      </c>
      <c r="Q25" s="81" t="s">
        <v>260</v>
      </c>
      <c r="R25" s="81" t="s">
        <v>278</v>
      </c>
      <c r="S25" s="81"/>
      <c r="T25" s="81"/>
      <c r="U25" s="81" t="s">
        <v>243</v>
      </c>
    </row>
    <row r="26" spans="1:21">
      <c r="A26" s="81" t="s">
        <v>281</v>
      </c>
      <c r="B26" s="81" t="s">
        <v>77</v>
      </c>
      <c r="C26" s="81" t="s">
        <v>85</v>
      </c>
      <c r="D26" s="81" t="s">
        <v>85</v>
      </c>
      <c r="E26" s="81" t="s">
        <v>93</v>
      </c>
      <c r="F26" s="81" t="s">
        <v>237</v>
      </c>
      <c r="G26" s="81" t="s">
        <v>251</v>
      </c>
      <c r="H26" s="81" t="s">
        <v>138</v>
      </c>
      <c r="I26" s="81" t="s">
        <v>138</v>
      </c>
      <c r="J26" s="81" t="s">
        <v>248</v>
      </c>
      <c r="K26" s="81" t="s">
        <v>117</v>
      </c>
      <c r="L26" s="81" t="s">
        <v>117</v>
      </c>
      <c r="M26" s="81" t="s">
        <v>249</v>
      </c>
      <c r="N26" s="81" t="s">
        <v>241</v>
      </c>
      <c r="O26" s="81" t="s">
        <v>242</v>
      </c>
      <c r="P26" s="81" t="s">
        <v>101</v>
      </c>
      <c r="Q26" s="81" t="s">
        <v>260</v>
      </c>
      <c r="R26" s="81" t="s">
        <v>278</v>
      </c>
      <c r="S26" s="81"/>
      <c r="T26" s="81"/>
      <c r="U26" s="81" t="s">
        <v>243</v>
      </c>
    </row>
    <row r="27" spans="1:21">
      <c r="A27" s="81" t="s">
        <v>282</v>
      </c>
      <c r="B27" s="81" t="s">
        <v>77</v>
      </c>
      <c r="C27" s="81" t="s">
        <v>85</v>
      </c>
      <c r="D27" s="81" t="s">
        <v>85</v>
      </c>
      <c r="E27" s="81" t="s">
        <v>93</v>
      </c>
      <c r="F27" s="81" t="s">
        <v>237</v>
      </c>
      <c r="G27" s="81" t="s">
        <v>251</v>
      </c>
      <c r="H27" s="81" t="s">
        <v>138</v>
      </c>
      <c r="I27" s="81" t="s">
        <v>138</v>
      </c>
      <c r="J27" s="81" t="s">
        <v>256</v>
      </c>
      <c r="K27" s="81" t="s">
        <v>117</v>
      </c>
      <c r="L27" s="81" t="s">
        <v>117</v>
      </c>
      <c r="M27" s="81" t="s">
        <v>257</v>
      </c>
      <c r="N27" s="81" t="s">
        <v>241</v>
      </c>
      <c r="O27" s="81" t="s">
        <v>242</v>
      </c>
      <c r="P27" s="81" t="s">
        <v>101</v>
      </c>
      <c r="Q27" s="81" t="s">
        <v>260</v>
      </c>
      <c r="R27" s="81" t="s">
        <v>278</v>
      </c>
      <c r="S27" s="81"/>
      <c r="T27" s="81"/>
      <c r="U27" s="81" t="s">
        <v>243</v>
      </c>
    </row>
    <row r="28" spans="1:21">
      <c r="A28" s="81" t="s">
        <v>283</v>
      </c>
      <c r="B28" s="81" t="s">
        <v>77</v>
      </c>
      <c r="C28" s="81" t="s">
        <v>85</v>
      </c>
      <c r="D28" s="81" t="s">
        <v>85</v>
      </c>
      <c r="E28" s="81" t="s">
        <v>93</v>
      </c>
      <c r="F28" s="81" t="s">
        <v>237</v>
      </c>
      <c r="G28" s="81" t="s">
        <v>251</v>
      </c>
      <c r="H28" s="81" t="s">
        <v>138</v>
      </c>
      <c r="I28" s="81" t="s">
        <v>138</v>
      </c>
      <c r="J28" s="81" t="s">
        <v>256</v>
      </c>
      <c r="K28" s="81" t="s">
        <v>117</v>
      </c>
      <c r="L28" s="81" t="s">
        <v>117</v>
      </c>
      <c r="M28" s="81" t="s">
        <v>257</v>
      </c>
      <c r="N28" s="81" t="s">
        <v>241</v>
      </c>
      <c r="O28" s="81" t="s">
        <v>242</v>
      </c>
      <c r="P28" s="81" t="s">
        <v>101</v>
      </c>
      <c r="Q28" s="81" t="s">
        <v>260</v>
      </c>
      <c r="R28" s="81" t="s">
        <v>278</v>
      </c>
      <c r="S28" s="81">
        <v>8.5</v>
      </c>
      <c r="T28" s="81">
        <v>176.9</v>
      </c>
      <c r="U28" s="81" t="s">
        <v>243</v>
      </c>
    </row>
    <row r="29" spans="1:21">
      <c r="A29" s="81" t="s">
        <v>284</v>
      </c>
      <c r="B29" s="81" t="s">
        <v>77</v>
      </c>
      <c r="C29" s="81" t="s">
        <v>85</v>
      </c>
      <c r="D29" s="81" t="s">
        <v>85</v>
      </c>
      <c r="E29" s="81" t="s">
        <v>93</v>
      </c>
      <c r="F29" s="81" t="s">
        <v>237</v>
      </c>
      <c r="G29" s="81" t="s">
        <v>285</v>
      </c>
      <c r="H29" s="81" t="s">
        <v>138</v>
      </c>
      <c r="I29" s="81" t="s">
        <v>138</v>
      </c>
      <c r="J29" s="81" t="s">
        <v>239</v>
      </c>
      <c r="K29" s="81" t="s">
        <v>117</v>
      </c>
      <c r="L29" s="81" t="s">
        <v>117</v>
      </c>
      <c r="M29" s="81" t="s">
        <v>240</v>
      </c>
      <c r="N29" s="81" t="s">
        <v>241</v>
      </c>
      <c r="O29" s="81" t="s">
        <v>242</v>
      </c>
      <c r="P29" s="81" t="s">
        <v>101</v>
      </c>
      <c r="Q29" s="81" t="s">
        <v>260</v>
      </c>
      <c r="R29" s="81" t="s">
        <v>286</v>
      </c>
      <c r="S29" s="81"/>
      <c r="T29" s="81"/>
      <c r="U29" s="81" t="s">
        <v>243</v>
      </c>
    </row>
    <row r="30" spans="1:21">
      <c r="A30" s="81" t="s">
        <v>287</v>
      </c>
      <c r="B30" s="81" t="s">
        <v>77</v>
      </c>
      <c r="C30" s="81" t="s">
        <v>85</v>
      </c>
      <c r="D30" s="81" t="s">
        <v>85</v>
      </c>
      <c r="E30" s="81" t="s">
        <v>93</v>
      </c>
      <c r="F30" s="81" t="s">
        <v>237</v>
      </c>
      <c r="G30" s="81" t="s">
        <v>285</v>
      </c>
      <c r="H30" s="81" t="s">
        <v>138</v>
      </c>
      <c r="I30" s="81" t="s">
        <v>138</v>
      </c>
      <c r="J30" s="81" t="s">
        <v>239</v>
      </c>
      <c r="K30" s="81" t="s">
        <v>117</v>
      </c>
      <c r="L30" s="81" t="s">
        <v>117</v>
      </c>
      <c r="M30" s="81" t="s">
        <v>240</v>
      </c>
      <c r="N30" s="81" t="s">
        <v>241</v>
      </c>
      <c r="O30" s="81" t="s">
        <v>242</v>
      </c>
      <c r="P30" s="81" t="s">
        <v>101</v>
      </c>
      <c r="Q30" s="81" t="s">
        <v>260</v>
      </c>
      <c r="R30" s="81" t="s">
        <v>286</v>
      </c>
      <c r="S30" s="81"/>
      <c r="T30" s="81"/>
      <c r="U30" s="81" t="s">
        <v>243</v>
      </c>
    </row>
    <row r="31" spans="1:21">
      <c r="A31" s="81" t="s">
        <v>288</v>
      </c>
      <c r="B31" s="81" t="s">
        <v>77</v>
      </c>
      <c r="C31" s="81" t="s">
        <v>85</v>
      </c>
      <c r="D31" s="81" t="s">
        <v>85</v>
      </c>
      <c r="E31" s="81" t="s">
        <v>93</v>
      </c>
      <c r="F31" s="81" t="s">
        <v>237</v>
      </c>
      <c r="G31" s="81" t="s">
        <v>285</v>
      </c>
      <c r="H31" s="81" t="s">
        <v>138</v>
      </c>
      <c r="I31" s="81" t="s">
        <v>138</v>
      </c>
      <c r="J31" s="81" t="s">
        <v>256</v>
      </c>
      <c r="K31" s="81" t="s">
        <v>117</v>
      </c>
      <c r="L31" s="81" t="s">
        <v>117</v>
      </c>
      <c r="M31" s="81" t="s">
        <v>257</v>
      </c>
      <c r="N31" s="81" t="s">
        <v>241</v>
      </c>
      <c r="O31" s="81" t="s">
        <v>242</v>
      </c>
      <c r="P31" s="81" t="s">
        <v>101</v>
      </c>
      <c r="Q31" s="81" t="s">
        <v>260</v>
      </c>
      <c r="R31" s="81" t="s">
        <v>286</v>
      </c>
      <c r="S31" s="81"/>
      <c r="T31" s="81"/>
      <c r="U31" s="81" t="s">
        <v>243</v>
      </c>
    </row>
    <row r="32" spans="1:21">
      <c r="A32" s="81" t="s">
        <v>289</v>
      </c>
      <c r="B32" s="81" t="s">
        <v>77</v>
      </c>
      <c r="C32" s="81" t="s">
        <v>85</v>
      </c>
      <c r="D32" s="81" t="s">
        <v>85</v>
      </c>
      <c r="E32" s="81" t="s">
        <v>93</v>
      </c>
      <c r="F32" s="81" t="s">
        <v>237</v>
      </c>
      <c r="G32" s="81" t="s">
        <v>285</v>
      </c>
      <c r="H32" s="81" t="s">
        <v>138</v>
      </c>
      <c r="I32" s="81" t="s">
        <v>138</v>
      </c>
      <c r="J32" s="81" t="s">
        <v>256</v>
      </c>
      <c r="K32" s="81" t="s">
        <v>117</v>
      </c>
      <c r="L32" s="81" t="s">
        <v>117</v>
      </c>
      <c r="M32" s="81" t="s">
        <v>257</v>
      </c>
      <c r="N32" s="81" t="s">
        <v>241</v>
      </c>
      <c r="O32" s="81" t="s">
        <v>242</v>
      </c>
      <c r="P32" s="81" t="s">
        <v>101</v>
      </c>
      <c r="Q32" s="81" t="s">
        <v>260</v>
      </c>
      <c r="R32" s="81" t="s">
        <v>286</v>
      </c>
      <c r="S32" s="81">
        <v>15.4</v>
      </c>
      <c r="T32" s="81">
        <v>201.9</v>
      </c>
      <c r="U32" s="81" t="s">
        <v>243</v>
      </c>
    </row>
    <row r="33" spans="1:21">
      <c r="A33" s="81" t="s">
        <v>290</v>
      </c>
      <c r="B33" s="81" t="s">
        <v>77</v>
      </c>
      <c r="C33" s="81" t="s">
        <v>85</v>
      </c>
      <c r="D33" s="81" t="s">
        <v>85</v>
      </c>
      <c r="E33" s="81" t="s">
        <v>93</v>
      </c>
      <c r="F33" s="81" t="s">
        <v>237</v>
      </c>
      <c r="G33" s="81" t="s">
        <v>291</v>
      </c>
      <c r="H33" s="81" t="s">
        <v>138</v>
      </c>
      <c r="I33" s="81" t="s">
        <v>138</v>
      </c>
      <c r="J33" s="81" t="s">
        <v>239</v>
      </c>
      <c r="K33" s="81" t="s">
        <v>117</v>
      </c>
      <c r="L33" s="81" t="s">
        <v>117</v>
      </c>
      <c r="M33" s="81" t="s">
        <v>240</v>
      </c>
      <c r="N33" s="81" t="s">
        <v>241</v>
      </c>
      <c r="O33" s="81" t="s">
        <v>242</v>
      </c>
      <c r="P33" s="81" t="s">
        <v>101</v>
      </c>
      <c r="Q33" s="81" t="s">
        <v>260</v>
      </c>
      <c r="R33" s="81" t="s">
        <v>286</v>
      </c>
      <c r="S33" s="81"/>
      <c r="T33" s="81"/>
      <c r="U33" s="81" t="s">
        <v>243</v>
      </c>
    </row>
    <row r="34" spans="1:21">
      <c r="A34" s="81" t="s">
        <v>292</v>
      </c>
      <c r="B34" s="81" t="s">
        <v>77</v>
      </c>
      <c r="C34" s="81" t="s">
        <v>85</v>
      </c>
      <c r="D34" s="81" t="s">
        <v>85</v>
      </c>
      <c r="E34" s="81" t="s">
        <v>93</v>
      </c>
      <c r="F34" s="81" t="s">
        <v>237</v>
      </c>
      <c r="G34" s="81" t="s">
        <v>291</v>
      </c>
      <c r="H34" s="81" t="s">
        <v>138</v>
      </c>
      <c r="I34" s="81" t="s">
        <v>138</v>
      </c>
      <c r="J34" s="81" t="s">
        <v>239</v>
      </c>
      <c r="K34" s="81" t="s">
        <v>117</v>
      </c>
      <c r="L34" s="81" t="s">
        <v>117</v>
      </c>
      <c r="M34" s="81" t="s">
        <v>240</v>
      </c>
      <c r="N34" s="81" t="s">
        <v>241</v>
      </c>
      <c r="O34" s="81" t="s">
        <v>242</v>
      </c>
      <c r="P34" s="81" t="s">
        <v>101</v>
      </c>
      <c r="Q34" s="81" t="s">
        <v>260</v>
      </c>
      <c r="R34" s="81" t="s">
        <v>286</v>
      </c>
      <c r="S34" s="81"/>
      <c r="T34" s="81"/>
      <c r="U34" s="81" t="s">
        <v>243</v>
      </c>
    </row>
    <row r="35" spans="1:21">
      <c r="A35" s="81" t="s">
        <v>293</v>
      </c>
      <c r="B35" s="81" t="s">
        <v>77</v>
      </c>
      <c r="C35" s="81" t="s">
        <v>85</v>
      </c>
      <c r="D35" s="81" t="s">
        <v>85</v>
      </c>
      <c r="E35" s="81" t="s">
        <v>93</v>
      </c>
      <c r="F35" s="81" t="s">
        <v>237</v>
      </c>
      <c r="G35" s="81" t="s">
        <v>291</v>
      </c>
      <c r="H35" s="81" t="s">
        <v>138</v>
      </c>
      <c r="I35" s="81" t="s">
        <v>138</v>
      </c>
      <c r="J35" s="81" t="s">
        <v>248</v>
      </c>
      <c r="K35" s="81" t="s">
        <v>117</v>
      </c>
      <c r="L35" s="81" t="s">
        <v>117</v>
      </c>
      <c r="M35" s="81" t="s">
        <v>249</v>
      </c>
      <c r="N35" s="81" t="s">
        <v>241</v>
      </c>
      <c r="O35" s="81" t="s">
        <v>242</v>
      </c>
      <c r="P35" s="81" t="s">
        <v>101</v>
      </c>
      <c r="Q35" s="81" t="s">
        <v>260</v>
      </c>
      <c r="R35" s="81" t="s">
        <v>286</v>
      </c>
      <c r="S35" s="81"/>
      <c r="T35" s="81"/>
      <c r="U35" s="81" t="s">
        <v>243</v>
      </c>
    </row>
    <row r="36" spans="1:21">
      <c r="A36" s="81" t="s">
        <v>294</v>
      </c>
      <c r="B36" s="81" t="s">
        <v>77</v>
      </c>
      <c r="C36" s="81" t="s">
        <v>85</v>
      </c>
      <c r="D36" s="81" t="s">
        <v>85</v>
      </c>
      <c r="E36" s="81" t="s">
        <v>93</v>
      </c>
      <c r="F36" s="81" t="s">
        <v>237</v>
      </c>
      <c r="G36" s="81" t="s">
        <v>291</v>
      </c>
      <c r="H36" s="81" t="s">
        <v>138</v>
      </c>
      <c r="I36" s="81" t="s">
        <v>138</v>
      </c>
      <c r="J36" s="81" t="s">
        <v>256</v>
      </c>
      <c r="K36" s="81" t="s">
        <v>117</v>
      </c>
      <c r="L36" s="81" t="s">
        <v>117</v>
      </c>
      <c r="M36" s="81" t="s">
        <v>257</v>
      </c>
      <c r="N36" s="81" t="s">
        <v>241</v>
      </c>
      <c r="O36" s="81" t="s">
        <v>242</v>
      </c>
      <c r="P36" s="81" t="s">
        <v>101</v>
      </c>
      <c r="Q36" s="81" t="s">
        <v>260</v>
      </c>
      <c r="R36" s="81" t="s">
        <v>286</v>
      </c>
      <c r="S36" s="81"/>
      <c r="T36" s="81"/>
      <c r="U36" s="81" t="s">
        <v>243</v>
      </c>
    </row>
    <row r="37" spans="1:21">
      <c r="A37" s="81" t="s">
        <v>295</v>
      </c>
      <c r="B37" s="81" t="s">
        <v>77</v>
      </c>
      <c r="C37" s="81" t="s">
        <v>85</v>
      </c>
      <c r="D37" s="81" t="s">
        <v>85</v>
      </c>
      <c r="E37" s="81" t="s">
        <v>93</v>
      </c>
      <c r="F37" s="81" t="s">
        <v>237</v>
      </c>
      <c r="G37" s="81" t="s">
        <v>291</v>
      </c>
      <c r="H37" s="81" t="s">
        <v>138</v>
      </c>
      <c r="I37" s="81" t="s">
        <v>138</v>
      </c>
      <c r="J37" s="81" t="s">
        <v>256</v>
      </c>
      <c r="K37" s="81" t="s">
        <v>117</v>
      </c>
      <c r="L37" s="81" t="s">
        <v>117</v>
      </c>
      <c r="M37" s="81" t="s">
        <v>257</v>
      </c>
      <c r="N37" s="81" t="s">
        <v>241</v>
      </c>
      <c r="O37" s="81" t="s">
        <v>242</v>
      </c>
      <c r="P37" s="81" t="s">
        <v>101</v>
      </c>
      <c r="Q37" s="81" t="s">
        <v>260</v>
      </c>
      <c r="R37" s="81" t="s">
        <v>286</v>
      </c>
      <c r="S37" s="81">
        <v>18.2</v>
      </c>
      <c r="T37" s="81">
        <v>209.9</v>
      </c>
      <c r="U37" s="81" t="s">
        <v>243</v>
      </c>
    </row>
    <row r="38" spans="1:21">
      <c r="A38" s="81" t="s">
        <v>296</v>
      </c>
      <c r="B38" s="81" t="s">
        <v>77</v>
      </c>
      <c r="C38" s="81" t="s">
        <v>85</v>
      </c>
      <c r="D38" s="81" t="s">
        <v>85</v>
      </c>
      <c r="E38" s="81" t="s">
        <v>93</v>
      </c>
      <c r="F38" s="81" t="s">
        <v>237</v>
      </c>
      <c r="G38" s="81" t="s">
        <v>297</v>
      </c>
      <c r="H38" s="81" t="s">
        <v>138</v>
      </c>
      <c r="I38" s="81" t="s">
        <v>138</v>
      </c>
      <c r="J38" s="81" t="s">
        <v>239</v>
      </c>
      <c r="K38" s="81" t="s">
        <v>117</v>
      </c>
      <c r="L38" s="81" t="s">
        <v>117</v>
      </c>
      <c r="M38" s="81" t="s">
        <v>240</v>
      </c>
      <c r="N38" s="81" t="s">
        <v>241</v>
      </c>
      <c r="O38" s="81" t="s">
        <v>242</v>
      </c>
      <c r="P38" s="81" t="s">
        <v>101</v>
      </c>
      <c r="Q38" s="81" t="s">
        <v>260</v>
      </c>
      <c r="R38" s="81" t="s">
        <v>298</v>
      </c>
      <c r="S38" s="81"/>
      <c r="T38" s="81"/>
      <c r="U38" s="81" t="s">
        <v>243</v>
      </c>
    </row>
    <row r="39" spans="1:21">
      <c r="A39" s="81" t="s">
        <v>299</v>
      </c>
      <c r="B39" s="81" t="s">
        <v>77</v>
      </c>
      <c r="C39" s="81" t="s">
        <v>85</v>
      </c>
      <c r="D39" s="81" t="s">
        <v>85</v>
      </c>
      <c r="E39" s="81" t="s">
        <v>93</v>
      </c>
      <c r="F39" s="81" t="s">
        <v>237</v>
      </c>
      <c r="G39" s="81" t="s">
        <v>297</v>
      </c>
      <c r="H39" s="81" t="s">
        <v>138</v>
      </c>
      <c r="I39" s="81" t="s">
        <v>138</v>
      </c>
      <c r="J39" s="81" t="s">
        <v>239</v>
      </c>
      <c r="K39" s="81" t="s">
        <v>117</v>
      </c>
      <c r="L39" s="81" t="s">
        <v>117</v>
      </c>
      <c r="M39" s="81" t="s">
        <v>240</v>
      </c>
      <c r="N39" s="81" t="s">
        <v>241</v>
      </c>
      <c r="O39" s="81" t="s">
        <v>242</v>
      </c>
      <c r="P39" s="81" t="s">
        <v>101</v>
      </c>
      <c r="Q39" s="81" t="s">
        <v>260</v>
      </c>
      <c r="R39" s="81" t="s">
        <v>298</v>
      </c>
      <c r="S39" s="81"/>
      <c r="T39" s="81"/>
      <c r="U39" s="81" t="s">
        <v>243</v>
      </c>
    </row>
    <row r="40" spans="1:21">
      <c r="A40" s="81" t="s">
        <v>300</v>
      </c>
      <c r="B40" s="81" t="s">
        <v>77</v>
      </c>
      <c r="C40" s="81" t="s">
        <v>85</v>
      </c>
      <c r="D40" s="81" t="s">
        <v>85</v>
      </c>
      <c r="E40" s="81" t="s">
        <v>93</v>
      </c>
      <c r="F40" s="81" t="s">
        <v>237</v>
      </c>
      <c r="G40" s="81" t="s">
        <v>297</v>
      </c>
      <c r="H40" s="81" t="s">
        <v>138</v>
      </c>
      <c r="I40" s="81" t="s">
        <v>138</v>
      </c>
      <c r="J40" s="81" t="s">
        <v>251</v>
      </c>
      <c r="K40" s="81" t="s">
        <v>117</v>
      </c>
      <c r="L40" s="81" t="s">
        <v>117</v>
      </c>
      <c r="M40" s="81" t="s">
        <v>252</v>
      </c>
      <c r="N40" s="81" t="s">
        <v>253</v>
      </c>
      <c r="O40" s="81" t="s">
        <v>254</v>
      </c>
      <c r="P40" s="81" t="s">
        <v>101</v>
      </c>
      <c r="Q40" s="81" t="s">
        <v>260</v>
      </c>
      <c r="R40" s="81" t="s">
        <v>298</v>
      </c>
      <c r="S40" s="81"/>
      <c r="T40" s="81"/>
      <c r="U40" s="81" t="s">
        <v>243</v>
      </c>
    </row>
    <row r="41" spans="1:21">
      <c r="A41" s="81" t="s">
        <v>301</v>
      </c>
      <c r="B41" s="81" t="s">
        <v>77</v>
      </c>
      <c r="C41" s="81" t="s">
        <v>85</v>
      </c>
      <c r="D41" s="81" t="s">
        <v>85</v>
      </c>
      <c r="E41" s="81" t="s">
        <v>93</v>
      </c>
      <c r="F41" s="81" t="s">
        <v>237</v>
      </c>
      <c r="G41" s="81" t="s">
        <v>297</v>
      </c>
      <c r="H41" s="81" t="s">
        <v>138</v>
      </c>
      <c r="I41" s="81" t="s">
        <v>138</v>
      </c>
      <c r="J41" s="81" t="s">
        <v>248</v>
      </c>
      <c r="K41" s="81" t="s">
        <v>117</v>
      </c>
      <c r="L41" s="81" t="s">
        <v>117</v>
      </c>
      <c r="M41" s="81" t="s">
        <v>249</v>
      </c>
      <c r="N41" s="81" t="s">
        <v>241</v>
      </c>
      <c r="O41" s="81" t="s">
        <v>242</v>
      </c>
      <c r="P41" s="81" t="s">
        <v>101</v>
      </c>
      <c r="Q41" s="81" t="s">
        <v>260</v>
      </c>
      <c r="R41" s="81" t="s">
        <v>298</v>
      </c>
      <c r="S41" s="81"/>
      <c r="T41" s="81"/>
      <c r="U41" s="81" t="s">
        <v>243</v>
      </c>
    </row>
    <row r="42" spans="1:21">
      <c r="A42" s="81" t="s">
        <v>302</v>
      </c>
      <c r="B42" s="81" t="s">
        <v>77</v>
      </c>
      <c r="C42" s="81" t="s">
        <v>85</v>
      </c>
      <c r="D42" s="81" t="s">
        <v>85</v>
      </c>
      <c r="E42" s="81" t="s">
        <v>93</v>
      </c>
      <c r="F42" s="81" t="s">
        <v>237</v>
      </c>
      <c r="G42" s="81" t="s">
        <v>297</v>
      </c>
      <c r="H42" s="81" t="s">
        <v>138</v>
      </c>
      <c r="I42" s="81" t="s">
        <v>138</v>
      </c>
      <c r="J42" s="81" t="s">
        <v>256</v>
      </c>
      <c r="K42" s="81" t="s">
        <v>117</v>
      </c>
      <c r="L42" s="81" t="s">
        <v>117</v>
      </c>
      <c r="M42" s="81" t="s">
        <v>257</v>
      </c>
      <c r="N42" s="81" t="s">
        <v>241</v>
      </c>
      <c r="O42" s="81" t="s">
        <v>242</v>
      </c>
      <c r="P42" s="81" t="s">
        <v>101</v>
      </c>
      <c r="Q42" s="81" t="s">
        <v>260</v>
      </c>
      <c r="R42" s="81" t="s">
        <v>298</v>
      </c>
      <c r="S42" s="81"/>
      <c r="T42" s="81"/>
      <c r="U42" s="81" t="s">
        <v>243</v>
      </c>
    </row>
    <row r="43" spans="1:21">
      <c r="A43" s="81" t="s">
        <v>303</v>
      </c>
      <c r="B43" s="81" t="s">
        <v>77</v>
      </c>
      <c r="C43" s="81" t="s">
        <v>85</v>
      </c>
      <c r="D43" s="81" t="s">
        <v>85</v>
      </c>
      <c r="E43" s="81" t="s">
        <v>93</v>
      </c>
      <c r="F43" s="81" t="s">
        <v>237</v>
      </c>
      <c r="G43" s="81" t="s">
        <v>297</v>
      </c>
      <c r="H43" s="81" t="s">
        <v>138</v>
      </c>
      <c r="I43" s="81" t="s">
        <v>138</v>
      </c>
      <c r="J43" s="81" t="s">
        <v>256</v>
      </c>
      <c r="K43" s="81" t="s">
        <v>117</v>
      </c>
      <c r="L43" s="81" t="s">
        <v>117</v>
      </c>
      <c r="M43" s="81" t="s">
        <v>257</v>
      </c>
      <c r="N43" s="81" t="s">
        <v>241</v>
      </c>
      <c r="O43" s="81" t="s">
        <v>242</v>
      </c>
      <c r="P43" s="81" t="s">
        <v>101</v>
      </c>
      <c r="Q43" s="81" t="s">
        <v>260</v>
      </c>
      <c r="R43" s="81" t="s">
        <v>298</v>
      </c>
      <c r="S43" s="81">
        <v>9.3</v>
      </c>
      <c r="T43" s="81">
        <v>180.2</v>
      </c>
      <c r="U43" s="81" t="s">
        <v>243</v>
      </c>
    </row>
    <row r="44" spans="1:21">
      <c r="A44" s="81" t="s">
        <v>304</v>
      </c>
      <c r="B44" s="81" t="s">
        <v>77</v>
      </c>
      <c r="C44" s="81" t="s">
        <v>85</v>
      </c>
      <c r="D44" s="81" t="s">
        <v>85</v>
      </c>
      <c r="E44" s="81" t="s">
        <v>93</v>
      </c>
      <c r="F44" s="81" t="s">
        <v>237</v>
      </c>
      <c r="G44" s="81" t="s">
        <v>305</v>
      </c>
      <c r="H44" s="81" t="s">
        <v>138</v>
      </c>
      <c r="I44" s="81" t="s">
        <v>138</v>
      </c>
      <c r="J44" s="81" t="s">
        <v>239</v>
      </c>
      <c r="K44" s="81" t="s">
        <v>117</v>
      </c>
      <c r="L44" s="81" t="s">
        <v>117</v>
      </c>
      <c r="M44" s="81" t="s">
        <v>240</v>
      </c>
      <c r="N44" s="81" t="s">
        <v>241</v>
      </c>
      <c r="O44" s="81" t="s">
        <v>242</v>
      </c>
      <c r="P44" s="81" t="s">
        <v>101</v>
      </c>
      <c r="Q44" s="81" t="s">
        <v>109</v>
      </c>
      <c r="R44" s="81" t="s">
        <v>298</v>
      </c>
      <c r="S44" s="81"/>
      <c r="T44" s="81"/>
      <c r="U44" s="81" t="s">
        <v>243</v>
      </c>
    </row>
    <row r="45" spans="1:21">
      <c r="A45" s="81" t="s">
        <v>306</v>
      </c>
      <c r="B45" s="81" t="s">
        <v>77</v>
      </c>
      <c r="C45" s="81" t="s">
        <v>85</v>
      </c>
      <c r="D45" s="81" t="s">
        <v>85</v>
      </c>
      <c r="E45" s="81" t="s">
        <v>93</v>
      </c>
      <c r="F45" s="81" t="s">
        <v>237</v>
      </c>
      <c r="G45" s="81" t="s">
        <v>305</v>
      </c>
      <c r="H45" s="81" t="s">
        <v>138</v>
      </c>
      <c r="I45" s="81" t="s">
        <v>138</v>
      </c>
      <c r="J45" s="81" t="s">
        <v>239</v>
      </c>
      <c r="K45" s="81" t="s">
        <v>117</v>
      </c>
      <c r="L45" s="81" t="s">
        <v>117</v>
      </c>
      <c r="M45" s="81" t="s">
        <v>240</v>
      </c>
      <c r="N45" s="81" t="s">
        <v>241</v>
      </c>
      <c r="O45" s="81" t="s">
        <v>242</v>
      </c>
      <c r="P45" s="81" t="s">
        <v>101</v>
      </c>
      <c r="Q45" s="81" t="s">
        <v>109</v>
      </c>
      <c r="R45" s="81" t="s">
        <v>298</v>
      </c>
      <c r="S45" s="81"/>
      <c r="T45" s="81"/>
      <c r="U45" s="81" t="s">
        <v>243</v>
      </c>
    </row>
    <row r="46" spans="1:21">
      <c r="A46" s="81" t="s">
        <v>307</v>
      </c>
      <c r="B46" s="81" t="s">
        <v>77</v>
      </c>
      <c r="C46" s="81" t="s">
        <v>85</v>
      </c>
      <c r="D46" s="81" t="s">
        <v>85</v>
      </c>
      <c r="E46" s="81" t="s">
        <v>93</v>
      </c>
      <c r="F46" s="81" t="s">
        <v>237</v>
      </c>
      <c r="G46" s="81" t="s">
        <v>305</v>
      </c>
      <c r="H46" s="81" t="s">
        <v>138</v>
      </c>
      <c r="I46" s="81" t="s">
        <v>138</v>
      </c>
      <c r="J46" s="81" t="s">
        <v>251</v>
      </c>
      <c r="K46" s="81" t="s">
        <v>117</v>
      </c>
      <c r="L46" s="81" t="s">
        <v>117</v>
      </c>
      <c r="M46" s="81" t="s">
        <v>252</v>
      </c>
      <c r="N46" s="81" t="s">
        <v>253</v>
      </c>
      <c r="O46" s="81" t="s">
        <v>254</v>
      </c>
      <c r="P46" s="81" t="s">
        <v>101</v>
      </c>
      <c r="Q46" s="81" t="s">
        <v>109</v>
      </c>
      <c r="R46" s="81" t="s">
        <v>298</v>
      </c>
      <c r="S46" s="81"/>
      <c r="T46" s="81"/>
      <c r="U46" s="81" t="s">
        <v>243</v>
      </c>
    </row>
    <row r="47" spans="1:21">
      <c r="A47" s="81" t="s">
        <v>308</v>
      </c>
      <c r="B47" s="81" t="s">
        <v>77</v>
      </c>
      <c r="C47" s="81" t="s">
        <v>85</v>
      </c>
      <c r="D47" s="81" t="s">
        <v>85</v>
      </c>
      <c r="E47" s="81" t="s">
        <v>93</v>
      </c>
      <c r="F47" s="81" t="s">
        <v>237</v>
      </c>
      <c r="G47" s="81" t="s">
        <v>305</v>
      </c>
      <c r="H47" s="81" t="s">
        <v>138</v>
      </c>
      <c r="I47" s="81" t="s">
        <v>138</v>
      </c>
      <c r="J47" s="81" t="s">
        <v>248</v>
      </c>
      <c r="K47" s="81" t="s">
        <v>117</v>
      </c>
      <c r="L47" s="81" t="s">
        <v>117</v>
      </c>
      <c r="M47" s="81" t="s">
        <v>249</v>
      </c>
      <c r="N47" s="81" t="s">
        <v>241</v>
      </c>
      <c r="O47" s="81" t="s">
        <v>242</v>
      </c>
      <c r="P47" s="81" t="s">
        <v>101</v>
      </c>
      <c r="Q47" s="81" t="s">
        <v>109</v>
      </c>
      <c r="R47" s="81" t="s">
        <v>298</v>
      </c>
      <c r="S47" s="81"/>
      <c r="T47" s="81"/>
      <c r="U47" s="81" t="s">
        <v>243</v>
      </c>
    </row>
    <row r="48" spans="1:21">
      <c r="A48" s="81" t="s">
        <v>309</v>
      </c>
      <c r="B48" s="81" t="s">
        <v>77</v>
      </c>
      <c r="C48" s="81" t="s">
        <v>85</v>
      </c>
      <c r="D48" s="81" t="s">
        <v>85</v>
      </c>
      <c r="E48" s="81" t="s">
        <v>93</v>
      </c>
      <c r="F48" s="81" t="s">
        <v>237</v>
      </c>
      <c r="G48" s="81" t="s">
        <v>305</v>
      </c>
      <c r="H48" s="81" t="s">
        <v>138</v>
      </c>
      <c r="I48" s="81" t="s">
        <v>138</v>
      </c>
      <c r="J48" s="81" t="s">
        <v>256</v>
      </c>
      <c r="K48" s="81" t="s">
        <v>117</v>
      </c>
      <c r="L48" s="81" t="s">
        <v>117</v>
      </c>
      <c r="M48" s="81" t="s">
        <v>257</v>
      </c>
      <c r="N48" s="81" t="s">
        <v>241</v>
      </c>
      <c r="O48" s="81" t="s">
        <v>242</v>
      </c>
      <c r="P48" s="81" t="s">
        <v>101</v>
      </c>
      <c r="Q48" s="81" t="s">
        <v>109</v>
      </c>
      <c r="R48" s="81" t="s">
        <v>298</v>
      </c>
      <c r="S48" s="81"/>
      <c r="T48" s="81"/>
      <c r="U48" s="81" t="s">
        <v>243</v>
      </c>
    </row>
    <row r="49" spans="1:21">
      <c r="A49" s="81" t="s">
        <v>310</v>
      </c>
      <c r="B49" s="81" t="s">
        <v>77</v>
      </c>
      <c r="C49" s="81" t="s">
        <v>85</v>
      </c>
      <c r="D49" s="81" t="s">
        <v>85</v>
      </c>
      <c r="E49" s="81" t="s">
        <v>93</v>
      </c>
      <c r="F49" s="81" t="s">
        <v>237</v>
      </c>
      <c r="G49" s="81" t="s">
        <v>305</v>
      </c>
      <c r="H49" s="81" t="s">
        <v>138</v>
      </c>
      <c r="I49" s="81" t="s">
        <v>138</v>
      </c>
      <c r="J49" s="81" t="s">
        <v>256</v>
      </c>
      <c r="K49" s="81" t="s">
        <v>117</v>
      </c>
      <c r="L49" s="81" t="s">
        <v>117</v>
      </c>
      <c r="M49" s="81" t="s">
        <v>257</v>
      </c>
      <c r="N49" s="81" t="s">
        <v>241</v>
      </c>
      <c r="O49" s="81" t="s">
        <v>242</v>
      </c>
      <c r="P49" s="81" t="s">
        <v>101</v>
      </c>
      <c r="Q49" s="81" t="s">
        <v>109</v>
      </c>
      <c r="R49" s="81" t="s">
        <v>298</v>
      </c>
      <c r="S49" s="81">
        <v>9</v>
      </c>
      <c r="T49" s="81">
        <v>179.1</v>
      </c>
      <c r="U49" s="81" t="s">
        <v>243</v>
      </c>
    </row>
    <row r="50" spans="1:21">
      <c r="A50" s="81" t="s">
        <v>311</v>
      </c>
      <c r="B50" s="81" t="s">
        <v>77</v>
      </c>
      <c r="C50" s="81" t="s">
        <v>85</v>
      </c>
      <c r="D50" s="81" t="s">
        <v>85</v>
      </c>
      <c r="E50" s="81" t="s">
        <v>93</v>
      </c>
      <c r="F50" s="81" t="s">
        <v>237</v>
      </c>
      <c r="G50" s="81" t="s">
        <v>312</v>
      </c>
      <c r="H50" s="81" t="s">
        <v>138</v>
      </c>
      <c r="I50" s="81" t="s">
        <v>138</v>
      </c>
      <c r="J50" s="81" t="s">
        <v>239</v>
      </c>
      <c r="K50" s="81" t="s">
        <v>117</v>
      </c>
      <c r="L50" s="81" t="s">
        <v>117</v>
      </c>
      <c r="M50" s="81" t="s">
        <v>240</v>
      </c>
      <c r="N50" s="81" t="s">
        <v>241</v>
      </c>
      <c r="O50" s="81" t="s">
        <v>242</v>
      </c>
      <c r="P50" s="81" t="s">
        <v>101</v>
      </c>
      <c r="Q50" s="81" t="s">
        <v>109</v>
      </c>
      <c r="R50" s="81" t="s">
        <v>298</v>
      </c>
      <c r="S50" s="81"/>
      <c r="T50" s="81"/>
      <c r="U50" s="81" t="s">
        <v>243</v>
      </c>
    </row>
    <row r="51" spans="1:21">
      <c r="A51" s="81" t="s">
        <v>313</v>
      </c>
      <c r="B51" s="81" t="s">
        <v>77</v>
      </c>
      <c r="C51" s="81" t="s">
        <v>85</v>
      </c>
      <c r="D51" s="81" t="s">
        <v>85</v>
      </c>
      <c r="E51" s="81" t="s">
        <v>93</v>
      </c>
      <c r="F51" s="81" t="s">
        <v>237</v>
      </c>
      <c r="G51" s="81" t="s">
        <v>312</v>
      </c>
      <c r="H51" s="81" t="s">
        <v>138</v>
      </c>
      <c r="I51" s="81" t="s">
        <v>138</v>
      </c>
      <c r="J51" s="81" t="s">
        <v>239</v>
      </c>
      <c r="K51" s="81" t="s">
        <v>117</v>
      </c>
      <c r="L51" s="81" t="s">
        <v>117</v>
      </c>
      <c r="M51" s="81" t="s">
        <v>240</v>
      </c>
      <c r="N51" s="81" t="s">
        <v>241</v>
      </c>
      <c r="O51" s="81" t="s">
        <v>242</v>
      </c>
      <c r="P51" s="81" t="s">
        <v>101</v>
      </c>
      <c r="Q51" s="81" t="s">
        <v>109</v>
      </c>
      <c r="R51" s="81" t="s">
        <v>298</v>
      </c>
      <c r="S51" s="81"/>
      <c r="T51" s="81"/>
      <c r="U51" s="81" t="s">
        <v>243</v>
      </c>
    </row>
    <row r="52" spans="1:21">
      <c r="A52" s="81" t="s">
        <v>314</v>
      </c>
      <c r="B52" s="81" t="s">
        <v>77</v>
      </c>
      <c r="C52" s="81" t="s">
        <v>85</v>
      </c>
      <c r="D52" s="81" t="s">
        <v>85</v>
      </c>
      <c r="E52" s="81" t="s">
        <v>93</v>
      </c>
      <c r="F52" s="81" t="s">
        <v>237</v>
      </c>
      <c r="G52" s="81" t="s">
        <v>312</v>
      </c>
      <c r="H52" s="81" t="s">
        <v>138</v>
      </c>
      <c r="I52" s="81" t="s">
        <v>138</v>
      </c>
      <c r="J52" s="81" t="s">
        <v>248</v>
      </c>
      <c r="K52" s="81" t="s">
        <v>117</v>
      </c>
      <c r="L52" s="81" t="s">
        <v>117</v>
      </c>
      <c r="M52" s="81" t="s">
        <v>249</v>
      </c>
      <c r="N52" s="81" t="s">
        <v>241</v>
      </c>
      <c r="O52" s="81" t="s">
        <v>242</v>
      </c>
      <c r="P52" s="81" t="s">
        <v>101</v>
      </c>
      <c r="Q52" s="81" t="s">
        <v>109</v>
      </c>
      <c r="R52" s="81" t="s">
        <v>298</v>
      </c>
      <c r="S52" s="81"/>
      <c r="T52" s="81"/>
      <c r="U52" s="81" t="s">
        <v>243</v>
      </c>
    </row>
    <row r="53" spans="1:21">
      <c r="A53" s="81" t="s">
        <v>315</v>
      </c>
      <c r="B53" s="81" t="s">
        <v>77</v>
      </c>
      <c r="C53" s="81" t="s">
        <v>85</v>
      </c>
      <c r="D53" s="81" t="s">
        <v>85</v>
      </c>
      <c r="E53" s="81" t="s">
        <v>93</v>
      </c>
      <c r="F53" s="81" t="s">
        <v>237</v>
      </c>
      <c r="G53" s="81" t="s">
        <v>312</v>
      </c>
      <c r="H53" s="81" t="s">
        <v>138</v>
      </c>
      <c r="I53" s="81" t="s">
        <v>138</v>
      </c>
      <c r="J53" s="81" t="s">
        <v>256</v>
      </c>
      <c r="K53" s="81" t="s">
        <v>117</v>
      </c>
      <c r="L53" s="81" t="s">
        <v>117</v>
      </c>
      <c r="M53" s="81" t="s">
        <v>257</v>
      </c>
      <c r="N53" s="81" t="s">
        <v>241</v>
      </c>
      <c r="O53" s="81" t="s">
        <v>242</v>
      </c>
      <c r="P53" s="81" t="s">
        <v>101</v>
      </c>
      <c r="Q53" s="81" t="s">
        <v>109</v>
      </c>
      <c r="R53" s="81" t="s">
        <v>298</v>
      </c>
      <c r="S53" s="81"/>
      <c r="T53" s="81"/>
      <c r="U53" s="81" t="s">
        <v>243</v>
      </c>
    </row>
    <row r="54" spans="1:21">
      <c r="A54" s="81" t="s">
        <v>316</v>
      </c>
      <c r="B54" s="81" t="s">
        <v>77</v>
      </c>
      <c r="C54" s="81" t="s">
        <v>85</v>
      </c>
      <c r="D54" s="81" t="s">
        <v>85</v>
      </c>
      <c r="E54" s="81" t="s">
        <v>93</v>
      </c>
      <c r="F54" s="81" t="s">
        <v>237</v>
      </c>
      <c r="G54" s="81" t="s">
        <v>312</v>
      </c>
      <c r="H54" s="81" t="s">
        <v>138</v>
      </c>
      <c r="I54" s="81" t="s">
        <v>138</v>
      </c>
      <c r="J54" s="81" t="s">
        <v>256</v>
      </c>
      <c r="K54" s="81" t="s">
        <v>117</v>
      </c>
      <c r="L54" s="81" t="s">
        <v>117</v>
      </c>
      <c r="M54" s="81" t="s">
        <v>257</v>
      </c>
      <c r="N54" s="81" t="s">
        <v>241</v>
      </c>
      <c r="O54" s="81" t="s">
        <v>242</v>
      </c>
      <c r="P54" s="81" t="s">
        <v>101</v>
      </c>
      <c r="Q54" s="81" t="s">
        <v>109</v>
      </c>
      <c r="R54" s="81" t="s">
        <v>298</v>
      </c>
      <c r="S54" s="81">
        <v>12.7</v>
      </c>
      <c r="T54" s="81">
        <v>193.2</v>
      </c>
      <c r="U54" s="81" t="s">
        <v>243</v>
      </c>
    </row>
    <row r="55" spans="1:21">
      <c r="A55" s="81" t="s">
        <v>317</v>
      </c>
      <c r="B55" s="81" t="s">
        <v>77</v>
      </c>
      <c r="C55" s="81" t="s">
        <v>85</v>
      </c>
      <c r="D55" s="81" t="s">
        <v>85</v>
      </c>
      <c r="E55" s="81" t="s">
        <v>93</v>
      </c>
      <c r="F55" s="81" t="s">
        <v>237</v>
      </c>
      <c r="G55" s="81" t="s">
        <v>318</v>
      </c>
      <c r="H55" s="81" t="s">
        <v>138</v>
      </c>
      <c r="I55" s="81" t="s">
        <v>138</v>
      </c>
      <c r="J55" s="81" t="s">
        <v>239</v>
      </c>
      <c r="K55" s="81" t="s">
        <v>117</v>
      </c>
      <c r="L55" s="81" t="s">
        <v>117</v>
      </c>
      <c r="M55" s="81" t="s">
        <v>240</v>
      </c>
      <c r="N55" s="81" t="s">
        <v>241</v>
      </c>
      <c r="O55" s="81" t="s">
        <v>242</v>
      </c>
      <c r="P55" s="81" t="s">
        <v>101</v>
      </c>
      <c r="Q55" s="81" t="s">
        <v>260</v>
      </c>
      <c r="R55" s="81" t="s">
        <v>319</v>
      </c>
      <c r="S55" s="81"/>
      <c r="T55" s="81"/>
      <c r="U55" s="81" t="s">
        <v>243</v>
      </c>
    </row>
    <row r="56" spans="1:21">
      <c r="A56" s="81" t="s">
        <v>320</v>
      </c>
      <c r="B56" s="81" t="s">
        <v>77</v>
      </c>
      <c r="C56" s="81" t="s">
        <v>85</v>
      </c>
      <c r="D56" s="81" t="s">
        <v>85</v>
      </c>
      <c r="E56" s="81" t="s">
        <v>93</v>
      </c>
      <c r="F56" s="81" t="s">
        <v>237</v>
      </c>
      <c r="G56" s="81" t="s">
        <v>318</v>
      </c>
      <c r="H56" s="81" t="s">
        <v>138</v>
      </c>
      <c r="I56" s="81" t="s">
        <v>138</v>
      </c>
      <c r="J56" s="81" t="s">
        <v>251</v>
      </c>
      <c r="K56" s="81" t="s">
        <v>117</v>
      </c>
      <c r="L56" s="81" t="s">
        <v>117</v>
      </c>
      <c r="M56" s="81" t="s">
        <v>240</v>
      </c>
      <c r="N56" s="81" t="s">
        <v>241</v>
      </c>
      <c r="O56" s="81" t="s">
        <v>242</v>
      </c>
      <c r="P56" s="81" t="s">
        <v>101</v>
      </c>
      <c r="Q56" s="81" t="s">
        <v>260</v>
      </c>
      <c r="R56" s="81" t="s">
        <v>319</v>
      </c>
      <c r="S56" s="81"/>
      <c r="T56" s="81"/>
      <c r="U56" s="81" t="s">
        <v>243</v>
      </c>
    </row>
    <row r="57" spans="1:21">
      <c r="A57" s="81" t="s">
        <v>321</v>
      </c>
      <c r="B57" s="81" t="s">
        <v>77</v>
      </c>
      <c r="C57" s="81" t="s">
        <v>85</v>
      </c>
      <c r="D57" s="81" t="s">
        <v>85</v>
      </c>
      <c r="E57" s="81" t="s">
        <v>93</v>
      </c>
      <c r="F57" s="81" t="s">
        <v>237</v>
      </c>
      <c r="G57" s="81" t="s">
        <v>318</v>
      </c>
      <c r="H57" s="81" t="s">
        <v>138</v>
      </c>
      <c r="I57" s="81" t="s">
        <v>138</v>
      </c>
      <c r="J57" s="81" t="s">
        <v>248</v>
      </c>
      <c r="K57" s="81" t="s">
        <v>117</v>
      </c>
      <c r="L57" s="81" t="s">
        <v>117</v>
      </c>
      <c r="M57" s="81" t="s">
        <v>249</v>
      </c>
      <c r="N57" s="81" t="s">
        <v>241</v>
      </c>
      <c r="O57" s="81" t="s">
        <v>242</v>
      </c>
      <c r="P57" s="81" t="s">
        <v>101</v>
      </c>
      <c r="Q57" s="81" t="s">
        <v>260</v>
      </c>
      <c r="R57" s="81" t="s">
        <v>319</v>
      </c>
      <c r="S57" s="81"/>
      <c r="T57" s="81"/>
      <c r="U57" s="81" t="s">
        <v>243</v>
      </c>
    </row>
    <row r="58" spans="1:21">
      <c r="A58" s="81" t="s">
        <v>322</v>
      </c>
      <c r="B58" s="81" t="s">
        <v>77</v>
      </c>
      <c r="C58" s="81" t="s">
        <v>85</v>
      </c>
      <c r="D58" s="81" t="s">
        <v>85</v>
      </c>
      <c r="E58" s="81" t="s">
        <v>93</v>
      </c>
      <c r="F58" s="81" t="s">
        <v>237</v>
      </c>
      <c r="G58" s="81" t="s">
        <v>318</v>
      </c>
      <c r="H58" s="81" t="s">
        <v>138</v>
      </c>
      <c r="I58" s="81" t="s">
        <v>138</v>
      </c>
      <c r="J58" s="81" t="s">
        <v>256</v>
      </c>
      <c r="K58" s="81" t="s">
        <v>117</v>
      </c>
      <c r="L58" s="81" t="s">
        <v>117</v>
      </c>
      <c r="M58" s="81" t="s">
        <v>257</v>
      </c>
      <c r="N58" s="81" t="s">
        <v>241</v>
      </c>
      <c r="O58" s="81" t="s">
        <v>242</v>
      </c>
      <c r="P58" s="81" t="s">
        <v>101</v>
      </c>
      <c r="Q58" s="81" t="s">
        <v>260</v>
      </c>
      <c r="R58" s="81" t="s">
        <v>319</v>
      </c>
      <c r="S58" s="81"/>
      <c r="T58" s="81"/>
      <c r="U58" s="81" t="s">
        <v>243</v>
      </c>
    </row>
    <row r="59" spans="1:21">
      <c r="A59" s="81" t="s">
        <v>323</v>
      </c>
      <c r="B59" s="81" t="s">
        <v>77</v>
      </c>
      <c r="C59" s="81" t="s">
        <v>85</v>
      </c>
      <c r="D59" s="81" t="s">
        <v>85</v>
      </c>
      <c r="E59" s="81" t="s">
        <v>93</v>
      </c>
      <c r="F59" s="81" t="s">
        <v>237</v>
      </c>
      <c r="G59" s="81" t="s">
        <v>318</v>
      </c>
      <c r="H59" s="81" t="s">
        <v>138</v>
      </c>
      <c r="I59" s="81" t="s">
        <v>138</v>
      </c>
      <c r="J59" s="81" t="s">
        <v>256</v>
      </c>
      <c r="K59" s="81" t="s">
        <v>117</v>
      </c>
      <c r="L59" s="81" t="s">
        <v>117</v>
      </c>
      <c r="M59" s="81" t="s">
        <v>257</v>
      </c>
      <c r="N59" s="81" t="s">
        <v>241</v>
      </c>
      <c r="O59" s="81" t="s">
        <v>242</v>
      </c>
      <c r="P59" s="81" t="s">
        <v>101</v>
      </c>
      <c r="Q59" s="81" t="s">
        <v>260</v>
      </c>
      <c r="R59" s="81" t="s">
        <v>319</v>
      </c>
      <c r="S59" s="81">
        <v>18.8</v>
      </c>
      <c r="T59" s="81">
        <v>211.3</v>
      </c>
      <c r="U59" s="81" t="s">
        <v>243</v>
      </c>
    </row>
    <row r="60" spans="1:21">
      <c r="A60" s="81" t="s">
        <v>324</v>
      </c>
      <c r="B60" s="81" t="s">
        <v>77</v>
      </c>
      <c r="C60" s="81" t="s">
        <v>85</v>
      </c>
      <c r="D60" s="81" t="s">
        <v>85</v>
      </c>
      <c r="E60" s="81" t="s">
        <v>93</v>
      </c>
      <c r="F60" s="81" t="s">
        <v>237</v>
      </c>
      <c r="G60" s="81" t="s">
        <v>325</v>
      </c>
      <c r="H60" s="81" t="s">
        <v>138</v>
      </c>
      <c r="I60" s="81" t="s">
        <v>138</v>
      </c>
      <c r="J60" s="81" t="s">
        <v>239</v>
      </c>
      <c r="K60" s="81" t="s">
        <v>117</v>
      </c>
      <c r="L60" s="81" t="s">
        <v>117</v>
      </c>
      <c r="M60" s="81" t="s">
        <v>240</v>
      </c>
      <c r="N60" s="81" t="s">
        <v>241</v>
      </c>
      <c r="O60" s="81" t="s">
        <v>242</v>
      </c>
      <c r="P60" s="81" t="s">
        <v>101</v>
      </c>
      <c r="Q60" s="81" t="s">
        <v>260</v>
      </c>
      <c r="R60" s="81" t="s">
        <v>319</v>
      </c>
      <c r="S60" s="81"/>
      <c r="T60" s="81"/>
      <c r="U60" s="81" t="s">
        <v>243</v>
      </c>
    </row>
    <row r="61" spans="1:21">
      <c r="A61" s="81" t="s">
        <v>326</v>
      </c>
      <c r="B61" s="81" t="s">
        <v>77</v>
      </c>
      <c r="C61" s="81" t="s">
        <v>85</v>
      </c>
      <c r="D61" s="81" t="s">
        <v>85</v>
      </c>
      <c r="E61" s="81" t="s">
        <v>93</v>
      </c>
      <c r="F61" s="81" t="s">
        <v>237</v>
      </c>
      <c r="G61" s="81" t="s">
        <v>325</v>
      </c>
      <c r="H61" s="81" t="s">
        <v>138</v>
      </c>
      <c r="I61" s="81" t="s">
        <v>138</v>
      </c>
      <c r="J61" s="81" t="s">
        <v>239</v>
      </c>
      <c r="K61" s="81" t="s">
        <v>117</v>
      </c>
      <c r="L61" s="81" t="s">
        <v>117</v>
      </c>
      <c r="M61" s="81" t="s">
        <v>240</v>
      </c>
      <c r="N61" s="81" t="s">
        <v>241</v>
      </c>
      <c r="O61" s="81" t="s">
        <v>242</v>
      </c>
      <c r="P61" s="81" t="s">
        <v>101</v>
      </c>
      <c r="Q61" s="81" t="s">
        <v>260</v>
      </c>
      <c r="R61" s="81" t="s">
        <v>319</v>
      </c>
      <c r="S61" s="81"/>
      <c r="T61" s="81"/>
      <c r="U61" s="81" t="s">
        <v>243</v>
      </c>
    </row>
    <row r="62" spans="1:21">
      <c r="A62" s="81" t="s">
        <v>327</v>
      </c>
      <c r="B62" s="81" t="s">
        <v>77</v>
      </c>
      <c r="C62" s="81" t="s">
        <v>85</v>
      </c>
      <c r="D62" s="81" t="s">
        <v>85</v>
      </c>
      <c r="E62" s="81" t="s">
        <v>93</v>
      </c>
      <c r="F62" s="81" t="s">
        <v>237</v>
      </c>
      <c r="G62" s="81" t="s">
        <v>325</v>
      </c>
      <c r="H62" s="81" t="s">
        <v>138</v>
      </c>
      <c r="I62" s="81" t="s">
        <v>138</v>
      </c>
      <c r="J62" s="81" t="s">
        <v>248</v>
      </c>
      <c r="K62" s="81" t="s">
        <v>117</v>
      </c>
      <c r="L62" s="81" t="s">
        <v>117</v>
      </c>
      <c r="M62" s="81" t="s">
        <v>249</v>
      </c>
      <c r="N62" s="81" t="s">
        <v>241</v>
      </c>
      <c r="O62" s="81" t="s">
        <v>242</v>
      </c>
      <c r="P62" s="81" t="s">
        <v>101</v>
      </c>
      <c r="Q62" s="81" t="s">
        <v>260</v>
      </c>
      <c r="R62" s="81" t="s">
        <v>319</v>
      </c>
      <c r="S62" s="81"/>
      <c r="T62" s="81"/>
      <c r="U62" s="81" t="s">
        <v>243</v>
      </c>
    </row>
    <row r="63" spans="1:21">
      <c r="A63" s="81" t="s">
        <v>328</v>
      </c>
      <c r="B63" s="81" t="s">
        <v>77</v>
      </c>
      <c r="C63" s="81" t="s">
        <v>85</v>
      </c>
      <c r="D63" s="81" t="s">
        <v>85</v>
      </c>
      <c r="E63" s="81" t="s">
        <v>93</v>
      </c>
      <c r="F63" s="81" t="s">
        <v>237</v>
      </c>
      <c r="G63" s="81" t="s">
        <v>325</v>
      </c>
      <c r="H63" s="81" t="s">
        <v>138</v>
      </c>
      <c r="I63" s="81" t="s">
        <v>138</v>
      </c>
      <c r="J63" s="81" t="s">
        <v>256</v>
      </c>
      <c r="K63" s="81" t="s">
        <v>117</v>
      </c>
      <c r="L63" s="81" t="s">
        <v>117</v>
      </c>
      <c r="M63" s="81" t="s">
        <v>257</v>
      </c>
      <c r="N63" s="81" t="s">
        <v>241</v>
      </c>
      <c r="O63" s="81" t="s">
        <v>242</v>
      </c>
      <c r="P63" s="81" t="s">
        <v>101</v>
      </c>
      <c r="Q63" s="81" t="s">
        <v>260</v>
      </c>
      <c r="R63" s="81" t="s">
        <v>319</v>
      </c>
      <c r="S63" s="81"/>
      <c r="T63" s="81"/>
      <c r="U63" s="81" t="s">
        <v>243</v>
      </c>
    </row>
    <row r="64" spans="1:21">
      <c r="A64" s="81" t="s">
        <v>329</v>
      </c>
      <c r="B64" s="81" t="s">
        <v>77</v>
      </c>
      <c r="C64" s="81" t="s">
        <v>85</v>
      </c>
      <c r="D64" s="81" t="s">
        <v>85</v>
      </c>
      <c r="E64" s="81" t="s">
        <v>93</v>
      </c>
      <c r="F64" s="81" t="s">
        <v>237</v>
      </c>
      <c r="G64" s="81" t="s">
        <v>325</v>
      </c>
      <c r="H64" s="81" t="s">
        <v>138</v>
      </c>
      <c r="I64" s="81" t="s">
        <v>138</v>
      </c>
      <c r="J64" s="81" t="s">
        <v>256</v>
      </c>
      <c r="K64" s="81" t="s">
        <v>117</v>
      </c>
      <c r="L64" s="81" t="s">
        <v>117</v>
      </c>
      <c r="M64" s="81" t="s">
        <v>257</v>
      </c>
      <c r="N64" s="81" t="s">
        <v>241</v>
      </c>
      <c r="O64" s="81" t="s">
        <v>242</v>
      </c>
      <c r="P64" s="81" t="s">
        <v>101</v>
      </c>
      <c r="Q64" s="81" t="s">
        <v>260</v>
      </c>
      <c r="R64" s="81" t="s">
        <v>319</v>
      </c>
      <c r="S64" s="81">
        <v>13.5</v>
      </c>
      <c r="T64" s="81">
        <v>196</v>
      </c>
      <c r="U64" s="81" t="s">
        <v>243</v>
      </c>
    </row>
    <row r="65" spans="1:21">
      <c r="A65" s="81" t="s">
        <v>330</v>
      </c>
      <c r="B65" s="81" t="s">
        <v>77</v>
      </c>
      <c r="C65" s="81" t="s">
        <v>85</v>
      </c>
      <c r="D65" s="81" t="s">
        <v>85</v>
      </c>
      <c r="E65" s="81" t="s">
        <v>93</v>
      </c>
      <c r="F65" s="81" t="s">
        <v>237</v>
      </c>
      <c r="G65" s="81" t="s">
        <v>275</v>
      </c>
      <c r="H65" s="81" t="s">
        <v>138</v>
      </c>
      <c r="I65" s="81" t="s">
        <v>138</v>
      </c>
      <c r="J65" s="81" t="s">
        <v>331</v>
      </c>
      <c r="K65" s="81" t="s">
        <v>117</v>
      </c>
      <c r="L65" s="81" t="s">
        <v>117</v>
      </c>
      <c r="M65" s="81" t="s">
        <v>332</v>
      </c>
      <c r="N65" s="81" t="s">
        <v>253</v>
      </c>
      <c r="O65" s="81" t="s">
        <v>254</v>
      </c>
      <c r="P65" s="81" t="s">
        <v>101</v>
      </c>
      <c r="Q65" s="81" t="s">
        <v>260</v>
      </c>
      <c r="R65" s="81" t="s">
        <v>333</v>
      </c>
      <c r="S65" s="81"/>
      <c r="T65" s="81"/>
      <c r="U65" s="81" t="s">
        <v>243</v>
      </c>
    </row>
    <row r="66" spans="1:21">
      <c r="A66" s="81" t="s">
        <v>334</v>
      </c>
      <c r="B66" s="81" t="s">
        <v>77</v>
      </c>
      <c r="C66" s="81" t="s">
        <v>85</v>
      </c>
      <c r="D66" s="81" t="s">
        <v>85</v>
      </c>
      <c r="E66" s="81" t="s">
        <v>335</v>
      </c>
      <c r="F66" s="81" t="s">
        <v>138</v>
      </c>
      <c r="G66" s="81" t="s">
        <v>336</v>
      </c>
      <c r="H66" s="81" t="s">
        <v>138</v>
      </c>
      <c r="I66" s="81" t="s">
        <v>138</v>
      </c>
      <c r="J66" s="81" t="s">
        <v>248</v>
      </c>
      <c r="K66" s="81" t="s">
        <v>117</v>
      </c>
      <c r="L66" s="81" t="s">
        <v>117</v>
      </c>
      <c r="M66" s="81" t="s">
        <v>337</v>
      </c>
      <c r="N66" s="81" t="s">
        <v>253</v>
      </c>
      <c r="O66" s="81" t="s">
        <v>338</v>
      </c>
      <c r="P66" s="81" t="s">
        <v>339</v>
      </c>
      <c r="Q66" s="81" t="s">
        <v>340</v>
      </c>
      <c r="R66" s="81" t="s">
        <v>333</v>
      </c>
      <c r="S66" s="81"/>
      <c r="T66" s="81"/>
      <c r="U66" s="81" t="s">
        <v>341</v>
      </c>
    </row>
    <row r="67" spans="1:21">
      <c r="A67" s="81" t="s">
        <v>342</v>
      </c>
      <c r="B67" s="81" t="s">
        <v>77</v>
      </c>
      <c r="C67" s="81" t="s">
        <v>85</v>
      </c>
      <c r="D67" s="81" t="s">
        <v>85</v>
      </c>
      <c r="E67" s="81" t="s">
        <v>335</v>
      </c>
      <c r="F67" s="81" t="s">
        <v>138</v>
      </c>
      <c r="G67" s="81" t="s">
        <v>336</v>
      </c>
      <c r="H67" s="81" t="s">
        <v>138</v>
      </c>
      <c r="I67" s="81" t="s">
        <v>138</v>
      </c>
      <c r="J67" s="81" t="s">
        <v>248</v>
      </c>
      <c r="K67" s="81" t="s">
        <v>117</v>
      </c>
      <c r="L67" s="81" t="s">
        <v>117</v>
      </c>
      <c r="M67" s="81" t="s">
        <v>337</v>
      </c>
      <c r="N67" s="81" t="s">
        <v>253</v>
      </c>
      <c r="O67" s="81" t="s">
        <v>338</v>
      </c>
      <c r="P67" s="81" t="s">
        <v>339</v>
      </c>
      <c r="Q67" s="81" t="s">
        <v>340</v>
      </c>
      <c r="R67" s="81" t="s">
        <v>333</v>
      </c>
      <c r="S67" s="81"/>
      <c r="T67" s="81"/>
      <c r="U67" s="81" t="s">
        <v>341</v>
      </c>
    </row>
    <row r="68" spans="1:21">
      <c r="A68" s="81" t="s">
        <v>343</v>
      </c>
      <c r="B68" s="81" t="s">
        <v>77</v>
      </c>
      <c r="C68" s="81" t="s">
        <v>85</v>
      </c>
      <c r="D68" s="81" t="s">
        <v>85</v>
      </c>
      <c r="E68" s="81" t="s">
        <v>93</v>
      </c>
      <c r="F68" s="81" t="s">
        <v>237</v>
      </c>
      <c r="G68" s="81" t="s">
        <v>274</v>
      </c>
      <c r="H68" s="81" t="s">
        <v>138</v>
      </c>
      <c r="I68" s="81" t="s">
        <v>138</v>
      </c>
      <c r="J68" s="81" t="s">
        <v>344</v>
      </c>
      <c r="K68" s="81" t="s">
        <v>117</v>
      </c>
      <c r="L68" s="81" t="s">
        <v>117</v>
      </c>
      <c r="M68" s="81" t="s">
        <v>345</v>
      </c>
      <c r="N68" s="81" t="s">
        <v>253</v>
      </c>
      <c r="O68" s="81" t="s">
        <v>254</v>
      </c>
      <c r="P68" s="81" t="s">
        <v>101</v>
      </c>
      <c r="Q68" s="81" t="s">
        <v>260</v>
      </c>
      <c r="R68" s="81" t="s">
        <v>346</v>
      </c>
      <c r="S68" s="81">
        <v>0</v>
      </c>
      <c r="T68" s="81">
        <v>7.5</v>
      </c>
      <c r="U68" s="81" t="s">
        <v>243</v>
      </c>
    </row>
    <row r="69" spans="1:21">
      <c r="A69" s="81" t="s">
        <v>347</v>
      </c>
      <c r="B69" s="81" t="s">
        <v>77</v>
      </c>
      <c r="C69" s="81" t="s">
        <v>85</v>
      </c>
      <c r="D69" s="81" t="s">
        <v>85</v>
      </c>
      <c r="E69" s="81" t="s">
        <v>93</v>
      </c>
      <c r="F69" s="81" t="s">
        <v>237</v>
      </c>
      <c r="G69" s="81" t="s">
        <v>274</v>
      </c>
      <c r="H69" s="81" t="s">
        <v>138</v>
      </c>
      <c r="I69" s="81" t="s">
        <v>138</v>
      </c>
      <c r="J69" s="81" t="s">
        <v>344</v>
      </c>
      <c r="K69" s="81" t="s">
        <v>117</v>
      </c>
      <c r="L69" s="81" t="s">
        <v>117</v>
      </c>
      <c r="M69" s="81" t="s">
        <v>345</v>
      </c>
      <c r="N69" s="81" t="s">
        <v>253</v>
      </c>
      <c r="O69" s="81" t="s">
        <v>254</v>
      </c>
      <c r="P69" s="81" t="s">
        <v>101</v>
      </c>
      <c r="Q69" s="81" t="s">
        <v>260</v>
      </c>
      <c r="R69" s="81" t="s">
        <v>346</v>
      </c>
      <c r="S69" s="81">
        <v>0</v>
      </c>
      <c r="T69" s="81">
        <v>7.5</v>
      </c>
      <c r="U69" s="81" t="s">
        <v>243</v>
      </c>
    </row>
    <row r="70" spans="1:21">
      <c r="A70" s="81" t="s">
        <v>348</v>
      </c>
      <c r="B70" s="81" t="s">
        <v>77</v>
      </c>
      <c r="C70" s="81" t="s">
        <v>85</v>
      </c>
      <c r="D70" s="81" t="s">
        <v>85</v>
      </c>
      <c r="E70" s="81" t="s">
        <v>93</v>
      </c>
      <c r="F70" s="81" t="s">
        <v>237</v>
      </c>
      <c r="G70" s="81" t="s">
        <v>274</v>
      </c>
      <c r="H70" s="81" t="s">
        <v>138</v>
      </c>
      <c r="I70" s="81" t="s">
        <v>138</v>
      </c>
      <c r="J70" s="81" t="s">
        <v>344</v>
      </c>
      <c r="K70" s="81" t="s">
        <v>117</v>
      </c>
      <c r="L70" s="81" t="s">
        <v>117</v>
      </c>
      <c r="M70" s="81" t="s">
        <v>345</v>
      </c>
      <c r="N70" s="81" t="s">
        <v>253</v>
      </c>
      <c r="O70" s="81" t="s">
        <v>254</v>
      </c>
      <c r="P70" s="81" t="s">
        <v>101</v>
      </c>
      <c r="Q70" s="81" t="s">
        <v>260</v>
      </c>
      <c r="R70" s="81" t="s">
        <v>346</v>
      </c>
      <c r="S70" s="81">
        <v>0</v>
      </c>
      <c r="T70" s="81">
        <v>7.5</v>
      </c>
      <c r="U70" s="81" t="s">
        <v>243</v>
      </c>
    </row>
    <row r="71" spans="1:21">
      <c r="A71" s="81" t="s">
        <v>349</v>
      </c>
      <c r="B71" s="81" t="s">
        <v>77</v>
      </c>
      <c r="C71" s="81" t="s">
        <v>85</v>
      </c>
      <c r="D71" s="81" t="s">
        <v>85</v>
      </c>
      <c r="E71" s="81" t="s">
        <v>93</v>
      </c>
      <c r="F71" s="81" t="s">
        <v>237</v>
      </c>
      <c r="G71" s="81" t="s">
        <v>274</v>
      </c>
      <c r="H71" s="81" t="s">
        <v>138</v>
      </c>
      <c r="I71" s="81" t="s">
        <v>138</v>
      </c>
      <c r="J71" s="81" t="s">
        <v>344</v>
      </c>
      <c r="K71" s="81" t="s">
        <v>117</v>
      </c>
      <c r="L71" s="81" t="s">
        <v>117</v>
      </c>
      <c r="M71" s="81" t="s">
        <v>345</v>
      </c>
      <c r="N71" s="81" t="s">
        <v>253</v>
      </c>
      <c r="O71" s="81" t="s">
        <v>254</v>
      </c>
      <c r="P71" s="81" t="s">
        <v>101</v>
      </c>
      <c r="Q71" s="81" t="s">
        <v>260</v>
      </c>
      <c r="R71" s="81" t="s">
        <v>346</v>
      </c>
      <c r="S71" s="81">
        <v>0</v>
      </c>
      <c r="T71" s="81">
        <v>7.5</v>
      </c>
      <c r="U71" s="81" t="s">
        <v>243</v>
      </c>
    </row>
    <row r="72" spans="1:21">
      <c r="A72" s="81" t="s">
        <v>350</v>
      </c>
      <c r="B72" s="81" t="s">
        <v>77</v>
      </c>
      <c r="C72" s="81" t="s">
        <v>85</v>
      </c>
      <c r="D72" s="81" t="s">
        <v>85</v>
      </c>
      <c r="E72" s="81" t="s">
        <v>93</v>
      </c>
      <c r="F72" s="81" t="s">
        <v>237</v>
      </c>
      <c r="G72" s="81" t="s">
        <v>274</v>
      </c>
      <c r="H72" s="81" t="s">
        <v>138</v>
      </c>
      <c r="I72" s="81" t="s">
        <v>138</v>
      </c>
      <c r="J72" s="81" t="s">
        <v>344</v>
      </c>
      <c r="K72" s="81" t="s">
        <v>117</v>
      </c>
      <c r="L72" s="81" t="s">
        <v>117</v>
      </c>
      <c r="M72" s="81" t="s">
        <v>345</v>
      </c>
      <c r="N72" s="81" t="s">
        <v>253</v>
      </c>
      <c r="O72" s="81" t="s">
        <v>254</v>
      </c>
      <c r="P72" s="81" t="s">
        <v>101</v>
      </c>
      <c r="Q72" s="81" t="s">
        <v>260</v>
      </c>
      <c r="R72" s="81" t="s">
        <v>346</v>
      </c>
      <c r="S72" s="81">
        <v>0</v>
      </c>
      <c r="T72" s="81">
        <v>7.5</v>
      </c>
      <c r="U72" s="81" t="s">
        <v>243</v>
      </c>
    </row>
    <row r="73" spans="1:21">
      <c r="A73" s="81" t="s">
        <v>351</v>
      </c>
      <c r="B73" s="81" t="s">
        <v>77</v>
      </c>
      <c r="C73" s="81" t="s">
        <v>85</v>
      </c>
      <c r="D73" s="81" t="s">
        <v>85</v>
      </c>
      <c r="E73" s="81" t="s">
        <v>352</v>
      </c>
      <c r="F73" s="81" t="s">
        <v>138</v>
      </c>
      <c r="G73" s="81" t="s">
        <v>274</v>
      </c>
      <c r="H73" s="81" t="s">
        <v>138</v>
      </c>
      <c r="I73" s="81" t="s">
        <v>138</v>
      </c>
      <c r="J73" s="81" t="s">
        <v>239</v>
      </c>
      <c r="K73" s="81" t="s">
        <v>117</v>
      </c>
      <c r="L73" s="81" t="s">
        <v>117</v>
      </c>
      <c r="M73" s="81" t="s">
        <v>245</v>
      </c>
      <c r="N73" s="81" t="s">
        <v>253</v>
      </c>
      <c r="O73" s="81" t="s">
        <v>254</v>
      </c>
      <c r="P73" s="81" t="s">
        <v>101</v>
      </c>
      <c r="Q73" s="81" t="s">
        <v>260</v>
      </c>
      <c r="R73" s="81" t="s">
        <v>346</v>
      </c>
      <c r="S73" s="81">
        <v>0</v>
      </c>
      <c r="T73" s="81">
        <v>7.5</v>
      </c>
      <c r="U73" s="81" t="s">
        <v>341</v>
      </c>
    </row>
    <row r="74" spans="1:21">
      <c r="A74" s="81" t="s">
        <v>353</v>
      </c>
      <c r="B74" s="81" t="s">
        <v>77</v>
      </c>
      <c r="C74" s="81" t="s">
        <v>85</v>
      </c>
      <c r="D74" s="81" t="s">
        <v>85</v>
      </c>
      <c r="E74" s="81" t="s">
        <v>352</v>
      </c>
      <c r="F74" s="81" t="s">
        <v>138</v>
      </c>
      <c r="G74" s="81" t="s">
        <v>274</v>
      </c>
      <c r="H74" s="81" t="s">
        <v>138</v>
      </c>
      <c r="I74" s="81" t="s">
        <v>138</v>
      </c>
      <c r="J74" s="81" t="s">
        <v>239</v>
      </c>
      <c r="K74" s="81" t="s">
        <v>117</v>
      </c>
      <c r="L74" s="81" t="s">
        <v>117</v>
      </c>
      <c r="M74" s="81" t="s">
        <v>245</v>
      </c>
      <c r="N74" s="81" t="s">
        <v>253</v>
      </c>
      <c r="O74" s="81" t="s">
        <v>254</v>
      </c>
      <c r="P74" s="81" t="s">
        <v>101</v>
      </c>
      <c r="Q74" s="81" t="s">
        <v>260</v>
      </c>
      <c r="R74" s="81" t="s">
        <v>346</v>
      </c>
      <c r="S74" s="81">
        <v>0</v>
      </c>
      <c r="T74" s="81">
        <v>7.5</v>
      </c>
      <c r="U74" s="81" t="s">
        <v>341</v>
      </c>
    </row>
    <row r="75" spans="1:21">
      <c r="A75" s="81" t="s">
        <v>354</v>
      </c>
      <c r="B75" s="81" t="s">
        <v>77</v>
      </c>
      <c r="C75" s="81" t="s">
        <v>85</v>
      </c>
      <c r="D75" s="81" t="s">
        <v>85</v>
      </c>
      <c r="E75" s="81" t="s">
        <v>352</v>
      </c>
      <c r="F75" s="81" t="s">
        <v>138</v>
      </c>
      <c r="G75" s="81" t="s">
        <v>274</v>
      </c>
      <c r="H75" s="81" t="s">
        <v>138</v>
      </c>
      <c r="I75" s="81" t="s">
        <v>138</v>
      </c>
      <c r="J75" s="81" t="s">
        <v>239</v>
      </c>
      <c r="K75" s="81" t="s">
        <v>117</v>
      </c>
      <c r="L75" s="81" t="s">
        <v>117</v>
      </c>
      <c r="M75" s="81" t="s">
        <v>245</v>
      </c>
      <c r="N75" s="81" t="s">
        <v>253</v>
      </c>
      <c r="O75" s="81" t="s">
        <v>254</v>
      </c>
      <c r="P75" s="81" t="s">
        <v>101</v>
      </c>
      <c r="Q75" s="81" t="s">
        <v>260</v>
      </c>
      <c r="R75" s="81" t="s">
        <v>346</v>
      </c>
      <c r="S75" s="81">
        <v>0</v>
      </c>
      <c r="T75" s="81">
        <v>7.5</v>
      </c>
      <c r="U75" s="81" t="s">
        <v>341</v>
      </c>
    </row>
    <row r="76" spans="1:21">
      <c r="A76" s="81" t="s">
        <v>355</v>
      </c>
      <c r="B76" s="81" t="s">
        <v>77</v>
      </c>
      <c r="C76" s="81" t="s">
        <v>85</v>
      </c>
      <c r="D76" s="81" t="s">
        <v>85</v>
      </c>
      <c r="E76" s="81" t="s">
        <v>352</v>
      </c>
      <c r="F76" s="81" t="s">
        <v>138</v>
      </c>
      <c r="G76" s="81" t="s">
        <v>274</v>
      </c>
      <c r="H76" s="81" t="s">
        <v>138</v>
      </c>
      <c r="I76" s="81" t="s">
        <v>138</v>
      </c>
      <c r="J76" s="81" t="s">
        <v>239</v>
      </c>
      <c r="K76" s="81" t="s">
        <v>117</v>
      </c>
      <c r="L76" s="81" t="s">
        <v>117</v>
      </c>
      <c r="M76" s="81" t="s">
        <v>245</v>
      </c>
      <c r="N76" s="81" t="s">
        <v>253</v>
      </c>
      <c r="O76" s="81" t="s">
        <v>254</v>
      </c>
      <c r="P76" s="81" t="s">
        <v>101</v>
      </c>
      <c r="Q76" s="81" t="s">
        <v>260</v>
      </c>
      <c r="R76" s="81" t="s">
        <v>346</v>
      </c>
      <c r="S76" s="81">
        <v>0</v>
      </c>
      <c r="T76" s="81">
        <v>7.5</v>
      </c>
      <c r="U76" s="81" t="s">
        <v>341</v>
      </c>
    </row>
    <row r="77" spans="1:21">
      <c r="A77" s="81" t="s">
        <v>356</v>
      </c>
      <c r="B77" s="81" t="s">
        <v>77</v>
      </c>
      <c r="C77" s="81" t="s">
        <v>85</v>
      </c>
      <c r="D77" s="81" t="s">
        <v>85</v>
      </c>
      <c r="E77" s="81" t="s">
        <v>352</v>
      </c>
      <c r="F77" s="81" t="s">
        <v>138</v>
      </c>
      <c r="G77" s="81" t="s">
        <v>274</v>
      </c>
      <c r="H77" s="81" t="s">
        <v>138</v>
      </c>
      <c r="I77" s="81" t="s">
        <v>138</v>
      </c>
      <c r="J77" s="81" t="s">
        <v>239</v>
      </c>
      <c r="K77" s="81" t="s">
        <v>117</v>
      </c>
      <c r="L77" s="81" t="s">
        <v>117</v>
      </c>
      <c r="M77" s="81" t="s">
        <v>245</v>
      </c>
      <c r="N77" s="81" t="s">
        <v>253</v>
      </c>
      <c r="O77" s="81" t="s">
        <v>254</v>
      </c>
      <c r="P77" s="81" t="s">
        <v>101</v>
      </c>
      <c r="Q77" s="81" t="s">
        <v>260</v>
      </c>
      <c r="R77" s="81" t="s">
        <v>346</v>
      </c>
      <c r="S77" s="81">
        <v>0</v>
      </c>
      <c r="T77" s="81">
        <v>7.5</v>
      </c>
      <c r="U77" s="81" t="s">
        <v>341</v>
      </c>
    </row>
    <row r="78" spans="1:21">
      <c r="A78" s="81" t="s">
        <v>357</v>
      </c>
      <c r="B78" s="81" t="s">
        <v>77</v>
      </c>
      <c r="C78" s="81" t="s">
        <v>85</v>
      </c>
      <c r="D78" s="81" t="s">
        <v>85</v>
      </c>
      <c r="E78" s="81" t="s">
        <v>352</v>
      </c>
      <c r="F78" s="81" t="s">
        <v>138</v>
      </c>
      <c r="G78" s="81" t="s">
        <v>274</v>
      </c>
      <c r="H78" s="81" t="s">
        <v>138</v>
      </c>
      <c r="I78" s="81" t="s">
        <v>138</v>
      </c>
      <c r="J78" s="81" t="s">
        <v>358</v>
      </c>
      <c r="K78" s="81" t="s">
        <v>117</v>
      </c>
      <c r="L78" s="81" t="s">
        <v>117</v>
      </c>
      <c r="M78" s="81" t="s">
        <v>240</v>
      </c>
      <c r="N78" s="81" t="s">
        <v>253</v>
      </c>
      <c r="O78" s="81" t="s">
        <v>254</v>
      </c>
      <c r="P78" s="81" t="s">
        <v>101</v>
      </c>
      <c r="Q78" s="81" t="s">
        <v>260</v>
      </c>
      <c r="R78" s="81" t="s">
        <v>346</v>
      </c>
      <c r="S78" s="81">
        <v>7.5</v>
      </c>
      <c r="T78" s="81">
        <v>172</v>
      </c>
      <c r="U78" s="81" t="s">
        <v>341</v>
      </c>
    </row>
    <row r="79" spans="1:21">
      <c r="A79" s="81" t="s">
        <v>359</v>
      </c>
      <c r="B79" s="81" t="s">
        <v>77</v>
      </c>
      <c r="C79" s="81" t="s">
        <v>85</v>
      </c>
      <c r="D79" s="81" t="s">
        <v>85</v>
      </c>
      <c r="E79" s="81" t="s">
        <v>93</v>
      </c>
      <c r="F79" s="81" t="s">
        <v>237</v>
      </c>
      <c r="G79" s="81" t="s">
        <v>274</v>
      </c>
      <c r="H79" s="81" t="s">
        <v>138</v>
      </c>
      <c r="I79" s="81" t="s">
        <v>138</v>
      </c>
      <c r="J79" s="81" t="s">
        <v>360</v>
      </c>
      <c r="K79" s="81" t="s">
        <v>117</v>
      </c>
      <c r="L79" s="81" t="s">
        <v>117</v>
      </c>
      <c r="M79" s="81" t="s">
        <v>332</v>
      </c>
      <c r="N79" s="81" t="s">
        <v>253</v>
      </c>
      <c r="O79" s="81" t="s">
        <v>254</v>
      </c>
      <c r="P79" s="81" t="s">
        <v>101</v>
      </c>
      <c r="Q79" s="81" t="s">
        <v>260</v>
      </c>
      <c r="R79" s="81" t="s">
        <v>346</v>
      </c>
      <c r="S79" s="81">
        <v>8.2</v>
      </c>
      <c r="T79" s="81">
        <v>172</v>
      </c>
      <c r="U79" s="81" t="s">
        <v>243</v>
      </c>
    </row>
    <row r="80" spans="1:21">
      <c r="A80" s="81" t="s">
        <v>361</v>
      </c>
      <c r="B80" s="81" t="s">
        <v>77</v>
      </c>
      <c r="C80" s="81" t="s">
        <v>85</v>
      </c>
      <c r="D80" s="81" t="s">
        <v>203</v>
      </c>
      <c r="E80" s="81" t="s">
        <v>362</v>
      </c>
      <c r="F80" s="81" t="s">
        <v>363</v>
      </c>
      <c r="G80" s="81" t="s">
        <v>364</v>
      </c>
      <c r="H80" s="81" t="s">
        <v>138</v>
      </c>
      <c r="I80" s="81" t="s">
        <v>138</v>
      </c>
      <c r="J80" s="81" t="s">
        <v>248</v>
      </c>
      <c r="K80" s="81" t="s">
        <v>365</v>
      </c>
      <c r="L80" s="81" t="s">
        <v>366</v>
      </c>
      <c r="M80" s="81" t="s">
        <v>367</v>
      </c>
      <c r="N80" s="81" t="s">
        <v>253</v>
      </c>
      <c r="O80" s="81" t="s">
        <v>338</v>
      </c>
      <c r="P80" s="81" t="s">
        <v>368</v>
      </c>
      <c r="Q80" s="81" t="s">
        <v>340</v>
      </c>
      <c r="R80" s="81" t="s">
        <v>369</v>
      </c>
      <c r="S80" s="81"/>
      <c r="T80" s="81"/>
      <c r="U80" s="81" t="s">
        <v>243</v>
      </c>
    </row>
    <row r="81" spans="1:21">
      <c r="A81" s="81" t="s">
        <v>370</v>
      </c>
      <c r="B81" s="81" t="s">
        <v>77</v>
      </c>
      <c r="C81" s="81" t="s">
        <v>85</v>
      </c>
      <c r="D81" s="81" t="s">
        <v>203</v>
      </c>
      <c r="E81" s="81" t="s">
        <v>362</v>
      </c>
      <c r="F81" s="81" t="s">
        <v>363</v>
      </c>
      <c r="G81" s="81" t="s">
        <v>364</v>
      </c>
      <c r="H81" s="81" t="s">
        <v>138</v>
      </c>
      <c r="I81" s="81" t="s">
        <v>138</v>
      </c>
      <c r="J81" s="81" t="s">
        <v>248</v>
      </c>
      <c r="K81" s="81" t="s">
        <v>365</v>
      </c>
      <c r="L81" s="81" t="s">
        <v>366</v>
      </c>
      <c r="M81" s="81" t="s">
        <v>367</v>
      </c>
      <c r="N81" s="81" t="s">
        <v>253</v>
      </c>
      <c r="O81" s="81" t="s">
        <v>338</v>
      </c>
      <c r="P81" s="81" t="s">
        <v>368</v>
      </c>
      <c r="Q81" s="81" t="s">
        <v>340</v>
      </c>
      <c r="R81" s="81" t="s">
        <v>369</v>
      </c>
      <c r="S81" s="81"/>
      <c r="T81" s="81"/>
      <c r="U81" s="81" t="s">
        <v>243</v>
      </c>
    </row>
    <row r="82" spans="1:21">
      <c r="A82" s="81" t="s">
        <v>371</v>
      </c>
      <c r="B82" s="81" t="s">
        <v>77</v>
      </c>
      <c r="C82" s="81" t="s">
        <v>85</v>
      </c>
      <c r="D82" s="81" t="s">
        <v>203</v>
      </c>
      <c r="E82" s="81" t="s">
        <v>362</v>
      </c>
      <c r="F82" s="81" t="s">
        <v>363</v>
      </c>
      <c r="G82" s="81" t="s">
        <v>364</v>
      </c>
      <c r="H82" s="81" t="s">
        <v>138</v>
      </c>
      <c r="I82" s="81" t="s">
        <v>138</v>
      </c>
      <c r="J82" s="81" t="s">
        <v>248</v>
      </c>
      <c r="K82" s="81" t="s">
        <v>365</v>
      </c>
      <c r="L82" s="81" t="s">
        <v>366</v>
      </c>
      <c r="M82" s="81" t="s">
        <v>367</v>
      </c>
      <c r="N82" s="81" t="s">
        <v>253</v>
      </c>
      <c r="O82" s="81" t="s">
        <v>338</v>
      </c>
      <c r="P82" s="81" t="s">
        <v>368</v>
      </c>
      <c r="Q82" s="81" t="s">
        <v>340</v>
      </c>
      <c r="R82" s="81" t="s">
        <v>369</v>
      </c>
      <c r="S82" s="81"/>
      <c r="T82" s="81"/>
      <c r="U82" s="81" t="s">
        <v>243</v>
      </c>
    </row>
    <row r="83" spans="1:21">
      <c r="A83" s="81" t="s">
        <v>372</v>
      </c>
      <c r="B83" s="81" t="s">
        <v>77</v>
      </c>
      <c r="C83" s="81" t="s">
        <v>85</v>
      </c>
      <c r="D83" s="81" t="s">
        <v>203</v>
      </c>
      <c r="E83" s="81" t="s">
        <v>362</v>
      </c>
      <c r="F83" s="81" t="s">
        <v>363</v>
      </c>
      <c r="G83" s="81" t="s">
        <v>364</v>
      </c>
      <c r="H83" s="81" t="s">
        <v>138</v>
      </c>
      <c r="I83" s="81" t="s">
        <v>138</v>
      </c>
      <c r="J83" s="81" t="s">
        <v>248</v>
      </c>
      <c r="K83" s="81" t="s">
        <v>365</v>
      </c>
      <c r="L83" s="81" t="s">
        <v>366</v>
      </c>
      <c r="M83" s="81" t="s">
        <v>367</v>
      </c>
      <c r="N83" s="81" t="s">
        <v>253</v>
      </c>
      <c r="O83" s="81" t="s">
        <v>338</v>
      </c>
      <c r="P83" s="81" t="s">
        <v>368</v>
      </c>
      <c r="Q83" s="81" t="s">
        <v>340</v>
      </c>
      <c r="R83" s="81" t="s">
        <v>369</v>
      </c>
      <c r="S83" s="81"/>
      <c r="T83" s="81"/>
      <c r="U83" s="81" t="s">
        <v>243</v>
      </c>
    </row>
    <row r="84" spans="1:21">
      <c r="A84" s="81" t="s">
        <v>373</v>
      </c>
      <c r="B84" s="81" t="s">
        <v>77</v>
      </c>
      <c r="C84" s="81" t="s">
        <v>85</v>
      </c>
      <c r="D84" s="81" t="s">
        <v>85</v>
      </c>
      <c r="E84" s="81" t="s">
        <v>335</v>
      </c>
      <c r="F84" s="81" t="s">
        <v>138</v>
      </c>
      <c r="G84" s="81" t="s">
        <v>336</v>
      </c>
      <c r="H84" s="81" t="s">
        <v>138</v>
      </c>
      <c r="I84" s="81" t="s">
        <v>138</v>
      </c>
      <c r="J84" s="81" t="s">
        <v>248</v>
      </c>
      <c r="K84" s="81" t="s">
        <v>117</v>
      </c>
      <c r="L84" s="81" t="s">
        <v>117</v>
      </c>
      <c r="M84" s="81" t="s">
        <v>337</v>
      </c>
      <c r="N84" s="81" t="s">
        <v>253</v>
      </c>
      <c r="O84" s="81" t="s">
        <v>338</v>
      </c>
      <c r="P84" s="81" t="s">
        <v>339</v>
      </c>
      <c r="Q84" s="81" t="s">
        <v>340</v>
      </c>
      <c r="R84" s="81" t="s">
        <v>369</v>
      </c>
      <c r="S84" s="81"/>
      <c r="T84" s="81"/>
      <c r="U84" s="81" t="s">
        <v>341</v>
      </c>
    </row>
    <row r="85" spans="1:21">
      <c r="A85" s="81" t="s">
        <v>374</v>
      </c>
      <c r="B85" s="81" t="s">
        <v>77</v>
      </c>
      <c r="C85" s="81" t="s">
        <v>85</v>
      </c>
      <c r="D85" s="81" t="s">
        <v>85</v>
      </c>
      <c r="E85" s="81" t="s">
        <v>352</v>
      </c>
      <c r="F85" s="81" t="s">
        <v>138</v>
      </c>
      <c r="G85" s="81" t="s">
        <v>274</v>
      </c>
      <c r="H85" s="81" t="s">
        <v>138</v>
      </c>
      <c r="I85" s="81" t="s">
        <v>138</v>
      </c>
      <c r="J85" s="81" t="s">
        <v>275</v>
      </c>
      <c r="K85" s="81" t="s">
        <v>117</v>
      </c>
      <c r="L85" s="81" t="s">
        <v>117</v>
      </c>
      <c r="M85" s="81" t="s">
        <v>332</v>
      </c>
      <c r="N85" s="81" t="s">
        <v>253</v>
      </c>
      <c r="O85" s="81" t="s">
        <v>254</v>
      </c>
      <c r="P85" s="81" t="s">
        <v>101</v>
      </c>
      <c r="Q85" s="81" t="s">
        <v>260</v>
      </c>
      <c r="R85" s="81" t="s">
        <v>375</v>
      </c>
      <c r="S85" s="81">
        <v>8.2</v>
      </c>
      <c r="T85" s="81">
        <v>172</v>
      </c>
      <c r="U85" s="81" t="s">
        <v>341</v>
      </c>
    </row>
    <row r="86" spans="1:21">
      <c r="A86" s="81" t="s">
        <v>376</v>
      </c>
      <c r="B86" s="81" t="s">
        <v>77</v>
      </c>
      <c r="C86" s="81" t="s">
        <v>85</v>
      </c>
      <c r="D86" s="81" t="s">
        <v>85</v>
      </c>
      <c r="E86" s="81" t="s">
        <v>352</v>
      </c>
      <c r="F86" s="81" t="s">
        <v>138</v>
      </c>
      <c r="G86" s="81" t="s">
        <v>274</v>
      </c>
      <c r="H86" s="81" t="s">
        <v>138</v>
      </c>
      <c r="I86" s="81" t="s">
        <v>138</v>
      </c>
      <c r="J86" s="81" t="s">
        <v>248</v>
      </c>
      <c r="K86" s="81" t="s">
        <v>117</v>
      </c>
      <c r="L86" s="81" t="s">
        <v>117</v>
      </c>
      <c r="M86" s="81" t="s">
        <v>249</v>
      </c>
      <c r="N86" s="81" t="s">
        <v>253</v>
      </c>
      <c r="O86" s="81" t="s">
        <v>254</v>
      </c>
      <c r="P86" s="81" t="s">
        <v>101</v>
      </c>
      <c r="Q86" s="81" t="s">
        <v>260</v>
      </c>
      <c r="R86" s="81" t="s">
        <v>375</v>
      </c>
      <c r="S86" s="81"/>
      <c r="T86" s="81"/>
      <c r="U86" s="81" t="s">
        <v>341</v>
      </c>
    </row>
    <row r="87" spans="1:21">
      <c r="A87" s="81" t="s">
        <v>377</v>
      </c>
      <c r="B87" s="81" t="s">
        <v>77</v>
      </c>
      <c r="C87" s="81" t="s">
        <v>85</v>
      </c>
      <c r="D87" s="81" t="s">
        <v>85</v>
      </c>
      <c r="E87" s="81" t="s">
        <v>352</v>
      </c>
      <c r="F87" s="81" t="s">
        <v>138</v>
      </c>
      <c r="G87" s="81" t="s">
        <v>274</v>
      </c>
      <c r="H87" s="81" t="s">
        <v>138</v>
      </c>
      <c r="I87" s="81" t="s">
        <v>138</v>
      </c>
      <c r="J87" s="81" t="s">
        <v>274</v>
      </c>
      <c r="K87" s="81" t="s">
        <v>117</v>
      </c>
      <c r="L87" s="81" t="s">
        <v>117</v>
      </c>
      <c r="M87" s="81" t="s">
        <v>252</v>
      </c>
      <c r="N87" s="81" t="s">
        <v>253</v>
      </c>
      <c r="O87" s="81" t="s">
        <v>254</v>
      </c>
      <c r="P87" s="81" t="s">
        <v>101</v>
      </c>
      <c r="Q87" s="81" t="s">
        <v>260</v>
      </c>
      <c r="R87" s="81" t="s">
        <v>375</v>
      </c>
      <c r="S87" s="81"/>
      <c r="T87" s="81"/>
      <c r="U87" s="81" t="s">
        <v>341</v>
      </c>
    </row>
    <row r="88" spans="1:21">
      <c r="A88" s="81" t="s">
        <v>378</v>
      </c>
      <c r="B88" s="81" t="s">
        <v>77</v>
      </c>
      <c r="C88" s="81" t="s">
        <v>85</v>
      </c>
      <c r="D88" s="81" t="s">
        <v>85</v>
      </c>
      <c r="E88" s="81" t="s">
        <v>352</v>
      </c>
      <c r="F88" s="81" t="s">
        <v>138</v>
      </c>
      <c r="G88" s="81" t="s">
        <v>274</v>
      </c>
      <c r="H88" s="81" t="s">
        <v>138</v>
      </c>
      <c r="I88" s="81" t="s">
        <v>138</v>
      </c>
      <c r="J88" s="81" t="s">
        <v>275</v>
      </c>
      <c r="K88" s="81" t="s">
        <v>117</v>
      </c>
      <c r="L88" s="81" t="s">
        <v>117</v>
      </c>
      <c r="M88" s="81" t="s">
        <v>332</v>
      </c>
      <c r="N88" s="81" t="s">
        <v>253</v>
      </c>
      <c r="O88" s="81" t="s">
        <v>254</v>
      </c>
      <c r="P88" s="81" t="s">
        <v>101</v>
      </c>
      <c r="Q88" s="81" t="s">
        <v>260</v>
      </c>
      <c r="R88" s="81" t="s">
        <v>375</v>
      </c>
      <c r="S88" s="81">
        <v>8.2</v>
      </c>
      <c r="T88" s="81">
        <v>172</v>
      </c>
      <c r="U88" s="81" t="s">
        <v>341</v>
      </c>
    </row>
    <row r="89" spans="1:21">
      <c r="A89" s="81" t="s">
        <v>379</v>
      </c>
      <c r="B89" s="81" t="s">
        <v>77</v>
      </c>
      <c r="C89" s="81" t="s">
        <v>85</v>
      </c>
      <c r="D89" s="81" t="s">
        <v>85</v>
      </c>
      <c r="E89" s="81" t="s">
        <v>352</v>
      </c>
      <c r="F89" s="81" t="s">
        <v>138</v>
      </c>
      <c r="G89" s="81" t="s">
        <v>274</v>
      </c>
      <c r="H89" s="81" t="s">
        <v>138</v>
      </c>
      <c r="I89" s="81" t="s">
        <v>138</v>
      </c>
      <c r="J89" s="81" t="s">
        <v>248</v>
      </c>
      <c r="K89" s="81" t="s">
        <v>117</v>
      </c>
      <c r="L89" s="81" t="s">
        <v>117</v>
      </c>
      <c r="M89" s="81" t="s">
        <v>249</v>
      </c>
      <c r="N89" s="81" t="s">
        <v>253</v>
      </c>
      <c r="O89" s="81" t="s">
        <v>254</v>
      </c>
      <c r="P89" s="81" t="s">
        <v>101</v>
      </c>
      <c r="Q89" s="81" t="s">
        <v>260</v>
      </c>
      <c r="R89" s="81" t="s">
        <v>375</v>
      </c>
      <c r="S89" s="81"/>
      <c r="T89" s="81"/>
      <c r="U89" s="81" t="s">
        <v>341</v>
      </c>
    </row>
    <row r="90" spans="1:21">
      <c r="A90" s="81" t="s">
        <v>380</v>
      </c>
      <c r="B90" s="81" t="s">
        <v>77</v>
      </c>
      <c r="C90" s="81" t="s">
        <v>85</v>
      </c>
      <c r="D90" s="81" t="s">
        <v>85</v>
      </c>
      <c r="E90" s="81" t="s">
        <v>352</v>
      </c>
      <c r="F90" s="81" t="s">
        <v>138</v>
      </c>
      <c r="G90" s="81" t="s">
        <v>274</v>
      </c>
      <c r="H90" s="81" t="s">
        <v>138</v>
      </c>
      <c r="I90" s="81" t="s">
        <v>138</v>
      </c>
      <c r="J90" s="81" t="s">
        <v>274</v>
      </c>
      <c r="K90" s="81" t="s">
        <v>117</v>
      </c>
      <c r="L90" s="81" t="s">
        <v>117</v>
      </c>
      <c r="M90" s="81" t="s">
        <v>252</v>
      </c>
      <c r="N90" s="81" t="s">
        <v>253</v>
      </c>
      <c r="O90" s="81" t="s">
        <v>254</v>
      </c>
      <c r="P90" s="81" t="s">
        <v>101</v>
      </c>
      <c r="Q90" s="81" t="s">
        <v>260</v>
      </c>
      <c r="R90" s="81" t="s">
        <v>375</v>
      </c>
      <c r="S90" s="81"/>
      <c r="T90" s="81"/>
      <c r="U90" s="81" t="s">
        <v>341</v>
      </c>
    </row>
    <row r="91" spans="1:21">
      <c r="A91" s="81" t="s">
        <v>381</v>
      </c>
      <c r="B91" s="81" t="s">
        <v>77</v>
      </c>
      <c r="C91" s="81" t="s">
        <v>85</v>
      </c>
      <c r="D91" s="81" t="s">
        <v>85</v>
      </c>
      <c r="E91" s="81" t="s">
        <v>352</v>
      </c>
      <c r="F91" s="81" t="s">
        <v>138</v>
      </c>
      <c r="G91" s="81" t="s">
        <v>274</v>
      </c>
      <c r="H91" s="81" t="s">
        <v>138</v>
      </c>
      <c r="I91" s="81" t="s">
        <v>138</v>
      </c>
      <c r="J91" s="81" t="s">
        <v>275</v>
      </c>
      <c r="K91" s="81" t="s">
        <v>117</v>
      </c>
      <c r="L91" s="81" t="s">
        <v>117</v>
      </c>
      <c r="M91" s="81" t="s">
        <v>332</v>
      </c>
      <c r="N91" s="81" t="s">
        <v>253</v>
      </c>
      <c r="O91" s="81" t="s">
        <v>254</v>
      </c>
      <c r="P91" s="81" t="s">
        <v>101</v>
      </c>
      <c r="Q91" s="81" t="s">
        <v>260</v>
      </c>
      <c r="R91" s="81" t="s">
        <v>375</v>
      </c>
      <c r="S91" s="81">
        <v>8.2</v>
      </c>
      <c r="T91" s="81">
        <v>172</v>
      </c>
      <c r="U91" s="81" t="s">
        <v>341</v>
      </c>
    </row>
    <row r="92" spans="1:21">
      <c r="A92" s="81" t="s">
        <v>382</v>
      </c>
      <c r="B92" s="81" t="s">
        <v>77</v>
      </c>
      <c r="C92" s="81" t="s">
        <v>85</v>
      </c>
      <c r="D92" s="81" t="s">
        <v>85</v>
      </c>
      <c r="E92" s="81" t="s">
        <v>352</v>
      </c>
      <c r="F92" s="81" t="s">
        <v>138</v>
      </c>
      <c r="G92" s="81" t="s">
        <v>274</v>
      </c>
      <c r="H92" s="81" t="s">
        <v>138</v>
      </c>
      <c r="I92" s="81" t="s">
        <v>138</v>
      </c>
      <c r="J92" s="81" t="s">
        <v>248</v>
      </c>
      <c r="K92" s="81" t="s">
        <v>117</v>
      </c>
      <c r="L92" s="81" t="s">
        <v>117</v>
      </c>
      <c r="M92" s="81" t="s">
        <v>249</v>
      </c>
      <c r="N92" s="81" t="s">
        <v>253</v>
      </c>
      <c r="O92" s="81" t="s">
        <v>254</v>
      </c>
      <c r="P92" s="81" t="s">
        <v>101</v>
      </c>
      <c r="Q92" s="81" t="s">
        <v>260</v>
      </c>
      <c r="R92" s="81" t="s">
        <v>375</v>
      </c>
      <c r="S92" s="81"/>
      <c r="T92" s="81"/>
      <c r="U92" s="81" t="s">
        <v>341</v>
      </c>
    </row>
    <row r="93" spans="1:21">
      <c r="A93" s="81" t="s">
        <v>383</v>
      </c>
      <c r="B93" s="81" t="s">
        <v>77</v>
      </c>
      <c r="C93" s="81" t="s">
        <v>85</v>
      </c>
      <c r="D93" s="81" t="s">
        <v>85</v>
      </c>
      <c r="E93" s="81" t="s">
        <v>352</v>
      </c>
      <c r="F93" s="81" t="s">
        <v>138</v>
      </c>
      <c r="G93" s="81" t="s">
        <v>274</v>
      </c>
      <c r="H93" s="81" t="s">
        <v>138</v>
      </c>
      <c r="I93" s="81" t="s">
        <v>138</v>
      </c>
      <c r="J93" s="81" t="s">
        <v>274</v>
      </c>
      <c r="K93" s="81" t="s">
        <v>117</v>
      </c>
      <c r="L93" s="81" t="s">
        <v>117</v>
      </c>
      <c r="M93" s="81" t="s">
        <v>252</v>
      </c>
      <c r="N93" s="81" t="s">
        <v>253</v>
      </c>
      <c r="O93" s="81" t="s">
        <v>254</v>
      </c>
      <c r="P93" s="81" t="s">
        <v>101</v>
      </c>
      <c r="Q93" s="81" t="s">
        <v>260</v>
      </c>
      <c r="R93" s="81" t="s">
        <v>375</v>
      </c>
      <c r="S93" s="81"/>
      <c r="T93" s="81"/>
      <c r="U93" s="81" t="s">
        <v>341</v>
      </c>
    </row>
    <row r="94" spans="1:21">
      <c r="A94" s="81" t="s">
        <v>384</v>
      </c>
      <c r="B94" s="81" t="s">
        <v>77</v>
      </c>
      <c r="C94" s="81" t="s">
        <v>85</v>
      </c>
      <c r="D94" s="81" t="s">
        <v>85</v>
      </c>
      <c r="E94" s="81" t="s">
        <v>352</v>
      </c>
      <c r="F94" s="81" t="s">
        <v>138</v>
      </c>
      <c r="G94" s="81" t="s">
        <v>274</v>
      </c>
      <c r="H94" s="81" t="s">
        <v>138</v>
      </c>
      <c r="I94" s="81" t="s">
        <v>138</v>
      </c>
      <c r="J94" s="81" t="s">
        <v>248</v>
      </c>
      <c r="K94" s="81" t="s">
        <v>117</v>
      </c>
      <c r="L94" s="81" t="s">
        <v>117</v>
      </c>
      <c r="M94" s="81" t="s">
        <v>249</v>
      </c>
      <c r="N94" s="81" t="s">
        <v>253</v>
      </c>
      <c r="O94" s="81" t="s">
        <v>254</v>
      </c>
      <c r="P94" s="81" t="s">
        <v>339</v>
      </c>
      <c r="Q94" s="81" t="s">
        <v>340</v>
      </c>
      <c r="R94" s="81" t="s">
        <v>375</v>
      </c>
      <c r="S94" s="81"/>
      <c r="T94" s="81"/>
      <c r="U94" s="81" t="s">
        <v>341</v>
      </c>
    </row>
    <row r="95" spans="1:21">
      <c r="A95" s="81" t="s">
        <v>385</v>
      </c>
      <c r="B95" s="81" t="s">
        <v>77</v>
      </c>
      <c r="C95" s="81" t="s">
        <v>85</v>
      </c>
      <c r="D95" s="81" t="s">
        <v>85</v>
      </c>
      <c r="E95" s="81" t="s">
        <v>352</v>
      </c>
      <c r="F95" s="81" t="s">
        <v>138</v>
      </c>
      <c r="G95" s="81" t="s">
        <v>274</v>
      </c>
      <c r="H95" s="81" t="s">
        <v>138</v>
      </c>
      <c r="I95" s="81" t="s">
        <v>138</v>
      </c>
      <c r="J95" s="81" t="s">
        <v>248</v>
      </c>
      <c r="K95" s="81" t="s">
        <v>117</v>
      </c>
      <c r="L95" s="81" t="s">
        <v>117</v>
      </c>
      <c r="M95" s="81" t="s">
        <v>249</v>
      </c>
      <c r="N95" s="81" t="s">
        <v>253</v>
      </c>
      <c r="O95" s="81" t="s">
        <v>254</v>
      </c>
      <c r="P95" s="81" t="s">
        <v>339</v>
      </c>
      <c r="Q95" s="81" t="s">
        <v>340</v>
      </c>
      <c r="R95" s="81" t="s">
        <v>375</v>
      </c>
      <c r="S95" s="81"/>
      <c r="T95" s="81"/>
      <c r="U95" s="81" t="s">
        <v>341</v>
      </c>
    </row>
    <row r="96" spans="1:21">
      <c r="A96" s="81" t="s">
        <v>386</v>
      </c>
      <c r="B96" s="81" t="s">
        <v>77</v>
      </c>
      <c r="C96" s="81" t="s">
        <v>85</v>
      </c>
      <c r="D96" s="81" t="s">
        <v>85</v>
      </c>
      <c r="E96" s="81" t="s">
        <v>352</v>
      </c>
      <c r="F96" s="81" t="s">
        <v>138</v>
      </c>
      <c r="G96" s="81" t="s">
        <v>274</v>
      </c>
      <c r="H96" s="81" t="s">
        <v>138</v>
      </c>
      <c r="I96" s="81" t="s">
        <v>138</v>
      </c>
      <c r="J96" s="81" t="s">
        <v>248</v>
      </c>
      <c r="K96" s="81" t="s">
        <v>117</v>
      </c>
      <c r="L96" s="81" t="s">
        <v>117</v>
      </c>
      <c r="M96" s="81" t="s">
        <v>249</v>
      </c>
      <c r="N96" s="81" t="s">
        <v>253</v>
      </c>
      <c r="O96" s="81" t="s">
        <v>254</v>
      </c>
      <c r="P96" s="81" t="s">
        <v>339</v>
      </c>
      <c r="Q96" s="81" t="s">
        <v>340</v>
      </c>
      <c r="R96" s="81" t="s">
        <v>375</v>
      </c>
      <c r="S96" s="81"/>
      <c r="T96" s="81"/>
      <c r="U96" s="81" t="s">
        <v>341</v>
      </c>
    </row>
    <row r="97" spans="1:21">
      <c r="A97" s="81" t="s">
        <v>387</v>
      </c>
      <c r="B97" s="81" t="s">
        <v>77</v>
      </c>
      <c r="C97" s="81" t="s">
        <v>85</v>
      </c>
      <c r="D97" s="81" t="s">
        <v>85</v>
      </c>
      <c r="E97" s="81" t="s">
        <v>352</v>
      </c>
      <c r="F97" s="81" t="s">
        <v>138</v>
      </c>
      <c r="G97" s="81" t="s">
        <v>274</v>
      </c>
      <c r="H97" s="81" t="s">
        <v>138</v>
      </c>
      <c r="I97" s="81" t="s">
        <v>138</v>
      </c>
      <c r="J97" s="81" t="s">
        <v>388</v>
      </c>
      <c r="K97" s="81" t="s">
        <v>117</v>
      </c>
      <c r="L97" s="81" t="s">
        <v>117</v>
      </c>
      <c r="M97" s="81" t="s">
        <v>276</v>
      </c>
      <c r="N97" s="81" t="s">
        <v>253</v>
      </c>
      <c r="O97" s="81" t="s">
        <v>254</v>
      </c>
      <c r="P97" s="81" t="s">
        <v>339</v>
      </c>
      <c r="Q97" s="81" t="s">
        <v>340</v>
      </c>
      <c r="R97" s="81" t="s">
        <v>375</v>
      </c>
      <c r="S97" s="81"/>
      <c r="T97" s="81"/>
      <c r="U97" s="81" t="s">
        <v>341</v>
      </c>
    </row>
    <row r="98" spans="1:21">
      <c r="A98" s="81" t="s">
        <v>389</v>
      </c>
      <c r="B98" s="81" t="s">
        <v>77</v>
      </c>
      <c r="C98" s="81" t="s">
        <v>85</v>
      </c>
      <c r="D98" s="81" t="s">
        <v>85</v>
      </c>
      <c r="E98" s="81" t="s">
        <v>93</v>
      </c>
      <c r="F98" s="81" t="s">
        <v>237</v>
      </c>
      <c r="G98" s="81" t="s">
        <v>274</v>
      </c>
      <c r="H98" s="81" t="s">
        <v>138</v>
      </c>
      <c r="I98" s="81" t="s">
        <v>138</v>
      </c>
      <c r="J98" s="81" t="s">
        <v>360</v>
      </c>
      <c r="K98" s="81" t="s">
        <v>117</v>
      </c>
      <c r="L98" s="81" t="s">
        <v>117</v>
      </c>
      <c r="M98" s="81" t="s">
        <v>332</v>
      </c>
      <c r="N98" s="81" t="s">
        <v>253</v>
      </c>
      <c r="O98" s="81" t="s">
        <v>254</v>
      </c>
      <c r="P98" s="81" t="s">
        <v>101</v>
      </c>
      <c r="Q98" s="81" t="s">
        <v>260</v>
      </c>
      <c r="R98" s="81" t="s">
        <v>390</v>
      </c>
      <c r="S98" s="81">
        <v>7.2</v>
      </c>
      <c r="T98" s="81">
        <v>170</v>
      </c>
      <c r="U98" s="81" t="s">
        <v>243</v>
      </c>
    </row>
    <row r="99" spans="1:21">
      <c r="A99" s="81" t="s">
        <v>391</v>
      </c>
      <c r="B99" s="81" t="s">
        <v>77</v>
      </c>
      <c r="C99" s="81" t="s">
        <v>85</v>
      </c>
      <c r="D99" s="81" t="s">
        <v>203</v>
      </c>
      <c r="E99" s="81" t="s">
        <v>392</v>
      </c>
      <c r="F99" s="81" t="s">
        <v>393</v>
      </c>
      <c r="G99" s="81" t="s">
        <v>274</v>
      </c>
      <c r="H99" s="81" t="s">
        <v>138</v>
      </c>
      <c r="I99" s="81" t="s">
        <v>138</v>
      </c>
      <c r="J99" s="81" t="s">
        <v>388</v>
      </c>
      <c r="K99" s="81" t="s">
        <v>117</v>
      </c>
      <c r="L99" s="81" t="s">
        <v>117</v>
      </c>
      <c r="M99" s="81" t="s">
        <v>394</v>
      </c>
      <c r="N99" s="81" t="s">
        <v>253</v>
      </c>
      <c r="O99" s="81" t="s">
        <v>338</v>
      </c>
      <c r="P99" s="81" t="s">
        <v>339</v>
      </c>
      <c r="Q99" s="81" t="s">
        <v>340</v>
      </c>
      <c r="R99" s="81" t="s">
        <v>395</v>
      </c>
      <c r="S99" s="81"/>
      <c r="T99" s="81"/>
      <c r="U99" s="81" t="s">
        <v>341</v>
      </c>
    </row>
    <row r="100" spans="1:21">
      <c r="A100" s="81" t="s">
        <v>396</v>
      </c>
      <c r="B100" s="81" t="s">
        <v>77</v>
      </c>
      <c r="C100" s="81" t="s">
        <v>85</v>
      </c>
      <c r="D100" s="81" t="s">
        <v>203</v>
      </c>
      <c r="E100" s="81" t="s">
        <v>392</v>
      </c>
      <c r="F100" s="81" t="s">
        <v>393</v>
      </c>
      <c r="G100" s="81" t="s">
        <v>274</v>
      </c>
      <c r="H100" s="81" t="s">
        <v>138</v>
      </c>
      <c r="I100" s="81" t="s">
        <v>138</v>
      </c>
      <c r="J100" s="81" t="s">
        <v>388</v>
      </c>
      <c r="K100" s="81" t="s">
        <v>117</v>
      </c>
      <c r="L100" s="81" t="s">
        <v>117</v>
      </c>
      <c r="M100" s="81" t="s">
        <v>394</v>
      </c>
      <c r="N100" s="81" t="s">
        <v>253</v>
      </c>
      <c r="O100" s="81" t="s">
        <v>338</v>
      </c>
      <c r="P100" s="81" t="s">
        <v>339</v>
      </c>
      <c r="Q100" s="81" t="s">
        <v>340</v>
      </c>
      <c r="R100" s="81" t="s">
        <v>395</v>
      </c>
      <c r="S100" s="81"/>
      <c r="T100" s="81"/>
      <c r="U100" s="81" t="s">
        <v>341</v>
      </c>
    </row>
    <row r="101" spans="1:21">
      <c r="A101" s="81" t="s">
        <v>397</v>
      </c>
      <c r="B101" s="81" t="s">
        <v>77</v>
      </c>
      <c r="C101" s="81" t="s">
        <v>85</v>
      </c>
      <c r="D101" s="81" t="s">
        <v>203</v>
      </c>
      <c r="E101" s="81" t="s">
        <v>392</v>
      </c>
      <c r="F101" s="81" t="s">
        <v>393</v>
      </c>
      <c r="G101" s="81" t="s">
        <v>274</v>
      </c>
      <c r="H101" s="81" t="s">
        <v>138</v>
      </c>
      <c r="I101" s="81" t="s">
        <v>138</v>
      </c>
      <c r="J101" s="81" t="s">
        <v>248</v>
      </c>
      <c r="K101" s="81" t="s">
        <v>117</v>
      </c>
      <c r="L101" s="81" t="s">
        <v>117</v>
      </c>
      <c r="M101" s="81" t="s">
        <v>337</v>
      </c>
      <c r="N101" s="81" t="s">
        <v>253</v>
      </c>
      <c r="O101" s="81" t="s">
        <v>338</v>
      </c>
      <c r="P101" s="81" t="s">
        <v>339</v>
      </c>
      <c r="Q101" s="81" t="s">
        <v>340</v>
      </c>
      <c r="R101" s="81" t="s">
        <v>395</v>
      </c>
      <c r="S101" s="81"/>
      <c r="T101" s="81"/>
      <c r="U101" s="81" t="s">
        <v>341</v>
      </c>
    </row>
    <row r="102" spans="1:21">
      <c r="A102" s="81" t="s">
        <v>398</v>
      </c>
      <c r="B102" s="81" t="s">
        <v>77</v>
      </c>
      <c r="C102" s="81" t="s">
        <v>399</v>
      </c>
      <c r="D102" s="81" t="s">
        <v>201</v>
      </c>
      <c r="E102" s="81" t="s">
        <v>400</v>
      </c>
      <c r="F102" s="81" t="s">
        <v>401</v>
      </c>
      <c r="G102" s="81" t="s">
        <v>336</v>
      </c>
      <c r="H102" s="81" t="s">
        <v>138</v>
      </c>
      <c r="I102" s="81" t="s">
        <v>138</v>
      </c>
      <c r="J102" s="81" t="s">
        <v>402</v>
      </c>
      <c r="K102" s="81" t="s">
        <v>117</v>
      </c>
      <c r="L102" s="81" t="s">
        <v>117</v>
      </c>
      <c r="M102" s="81" t="s">
        <v>337</v>
      </c>
      <c r="N102" s="81" t="s">
        <v>253</v>
      </c>
      <c r="O102" s="81" t="s">
        <v>254</v>
      </c>
      <c r="P102" s="81" t="s">
        <v>101</v>
      </c>
      <c r="Q102" s="81" t="s">
        <v>260</v>
      </c>
      <c r="R102" s="81" t="s">
        <v>403</v>
      </c>
      <c r="S102" s="81">
        <v>9</v>
      </c>
      <c r="T102" s="81">
        <v>4</v>
      </c>
      <c r="U102" s="81" t="s">
        <v>243</v>
      </c>
    </row>
    <row r="103" spans="1:21">
      <c r="A103" s="81" t="s">
        <v>404</v>
      </c>
      <c r="B103" s="81" t="s">
        <v>77</v>
      </c>
      <c r="C103" s="81" t="s">
        <v>399</v>
      </c>
      <c r="D103" s="81" t="s">
        <v>85</v>
      </c>
      <c r="E103" s="81" t="s">
        <v>93</v>
      </c>
      <c r="F103" s="81" t="s">
        <v>237</v>
      </c>
      <c r="G103" s="81" t="s">
        <v>405</v>
      </c>
      <c r="H103" s="81" t="s">
        <v>138</v>
      </c>
      <c r="I103" s="81" t="s">
        <v>138</v>
      </c>
      <c r="J103" s="81" t="s">
        <v>318</v>
      </c>
      <c r="K103" s="81" t="s">
        <v>117</v>
      </c>
      <c r="L103" s="81" t="s">
        <v>117</v>
      </c>
      <c r="M103" s="81" t="s">
        <v>406</v>
      </c>
      <c r="N103" s="81" t="s">
        <v>253</v>
      </c>
      <c r="O103" s="81" t="s">
        <v>254</v>
      </c>
      <c r="P103" s="81" t="s">
        <v>101</v>
      </c>
      <c r="Q103" s="81" t="s">
        <v>260</v>
      </c>
      <c r="R103" s="81" t="s">
        <v>403</v>
      </c>
      <c r="S103" s="81">
        <v>9</v>
      </c>
      <c r="T103" s="81">
        <v>4</v>
      </c>
      <c r="U103" s="81" t="s">
        <v>243</v>
      </c>
    </row>
    <row r="104" spans="1:21">
      <c r="A104" s="81" t="s">
        <v>407</v>
      </c>
      <c r="B104" s="81" t="s">
        <v>77</v>
      </c>
      <c r="C104" s="81" t="s">
        <v>399</v>
      </c>
      <c r="D104" s="81" t="s">
        <v>85</v>
      </c>
      <c r="E104" s="81" t="s">
        <v>93</v>
      </c>
      <c r="F104" s="81" t="s">
        <v>237</v>
      </c>
      <c r="G104" s="81" t="s">
        <v>405</v>
      </c>
      <c r="H104" s="81" t="s">
        <v>138</v>
      </c>
      <c r="I104" s="81" t="s">
        <v>138</v>
      </c>
      <c r="J104" s="81"/>
      <c r="K104" s="81"/>
      <c r="L104" s="81" t="s">
        <v>138</v>
      </c>
      <c r="M104" s="81"/>
      <c r="N104" s="81"/>
      <c r="O104" s="81"/>
      <c r="P104" s="81" t="s">
        <v>101</v>
      </c>
      <c r="Q104" s="81" t="s">
        <v>260</v>
      </c>
      <c r="R104" s="81" t="s">
        <v>403</v>
      </c>
      <c r="S104" s="81"/>
      <c r="T104" s="81"/>
      <c r="U104" s="81" t="s">
        <v>243</v>
      </c>
    </row>
    <row r="105" spans="1:21">
      <c r="A105" s="81" t="s">
        <v>408</v>
      </c>
      <c r="B105" s="81" t="s">
        <v>77</v>
      </c>
      <c r="C105" s="81" t="s">
        <v>399</v>
      </c>
      <c r="D105" s="81" t="s">
        <v>85</v>
      </c>
      <c r="E105" s="81" t="s">
        <v>93</v>
      </c>
      <c r="F105" s="81" t="s">
        <v>237</v>
      </c>
      <c r="G105" s="81" t="s">
        <v>405</v>
      </c>
      <c r="H105" s="81" t="s">
        <v>138</v>
      </c>
      <c r="I105" s="81" t="s">
        <v>138</v>
      </c>
      <c r="J105" s="81" t="s">
        <v>248</v>
      </c>
      <c r="K105" s="81" t="s">
        <v>117</v>
      </c>
      <c r="L105" s="81" t="s">
        <v>117</v>
      </c>
      <c r="M105" s="81" t="s">
        <v>409</v>
      </c>
      <c r="N105" s="81" t="s">
        <v>253</v>
      </c>
      <c r="O105" s="81" t="s">
        <v>254</v>
      </c>
      <c r="P105" s="81" t="s">
        <v>101</v>
      </c>
      <c r="Q105" s="81" t="s">
        <v>260</v>
      </c>
      <c r="R105" s="81" t="s">
        <v>403</v>
      </c>
      <c r="S105" s="81"/>
      <c r="T105" s="81"/>
      <c r="U105" s="81" t="s">
        <v>243</v>
      </c>
    </row>
    <row r="106" spans="1:21">
      <c r="A106" s="81" t="s">
        <v>410</v>
      </c>
      <c r="B106" s="81" t="s">
        <v>77</v>
      </c>
      <c r="C106" s="81" t="s">
        <v>399</v>
      </c>
      <c r="D106" s="81" t="s">
        <v>85</v>
      </c>
      <c r="E106" s="81" t="s">
        <v>411</v>
      </c>
      <c r="F106" s="81" t="s">
        <v>412</v>
      </c>
      <c r="G106" s="81" t="s">
        <v>413</v>
      </c>
      <c r="H106" s="81" t="s">
        <v>138</v>
      </c>
      <c r="I106" s="81" t="s">
        <v>138</v>
      </c>
      <c r="J106" s="81" t="s">
        <v>248</v>
      </c>
      <c r="K106" s="81" t="s">
        <v>365</v>
      </c>
      <c r="L106" s="81" t="s">
        <v>366</v>
      </c>
      <c r="M106" s="81" t="s">
        <v>367</v>
      </c>
      <c r="N106" s="81" t="s">
        <v>253</v>
      </c>
      <c r="O106" s="81" t="s">
        <v>414</v>
      </c>
      <c r="P106" s="81" t="s">
        <v>415</v>
      </c>
      <c r="Q106" s="81" t="s">
        <v>340</v>
      </c>
      <c r="R106" s="81" t="s">
        <v>403</v>
      </c>
      <c r="S106" s="81"/>
      <c r="T106" s="81"/>
      <c r="U106" s="81" t="s">
        <v>341</v>
      </c>
    </row>
    <row r="107" spans="1:21">
      <c r="A107" s="81" t="s">
        <v>416</v>
      </c>
      <c r="B107" s="81" t="s">
        <v>77</v>
      </c>
      <c r="C107" s="81" t="s">
        <v>399</v>
      </c>
      <c r="D107" s="81" t="s">
        <v>85</v>
      </c>
      <c r="E107" s="81" t="s">
        <v>411</v>
      </c>
      <c r="F107" s="81" t="s">
        <v>412</v>
      </c>
      <c r="G107" s="81" t="s">
        <v>417</v>
      </c>
      <c r="H107" s="81" t="s">
        <v>138</v>
      </c>
      <c r="I107" s="81" t="s">
        <v>138</v>
      </c>
      <c r="J107" s="81" t="s">
        <v>248</v>
      </c>
      <c r="K107" s="81" t="s">
        <v>365</v>
      </c>
      <c r="L107" s="81" t="s">
        <v>366</v>
      </c>
      <c r="M107" s="81" t="s">
        <v>367</v>
      </c>
      <c r="N107" s="81" t="s">
        <v>253</v>
      </c>
      <c r="O107" s="81" t="s">
        <v>414</v>
      </c>
      <c r="P107" s="81" t="s">
        <v>415</v>
      </c>
      <c r="Q107" s="81" t="s">
        <v>340</v>
      </c>
      <c r="R107" s="81" t="s">
        <v>403</v>
      </c>
      <c r="S107" s="81"/>
      <c r="T107" s="81"/>
      <c r="U107" s="81" t="s">
        <v>341</v>
      </c>
    </row>
    <row r="108" spans="1:21">
      <c r="A108" s="81" t="s">
        <v>418</v>
      </c>
      <c r="B108" s="81" t="s">
        <v>77</v>
      </c>
      <c r="C108" s="81" t="s">
        <v>399</v>
      </c>
      <c r="D108" s="81" t="s">
        <v>85</v>
      </c>
      <c r="E108" s="81" t="s">
        <v>411</v>
      </c>
      <c r="F108" s="81" t="s">
        <v>412</v>
      </c>
      <c r="G108" s="81" t="s">
        <v>419</v>
      </c>
      <c r="H108" s="81" t="s">
        <v>138</v>
      </c>
      <c r="I108" s="81" t="s">
        <v>138</v>
      </c>
      <c r="J108" s="81" t="s">
        <v>248</v>
      </c>
      <c r="K108" s="81" t="s">
        <v>365</v>
      </c>
      <c r="L108" s="81" t="s">
        <v>366</v>
      </c>
      <c r="M108" s="81" t="s">
        <v>367</v>
      </c>
      <c r="N108" s="81" t="s">
        <v>253</v>
      </c>
      <c r="O108" s="81" t="s">
        <v>414</v>
      </c>
      <c r="P108" s="81" t="s">
        <v>415</v>
      </c>
      <c r="Q108" s="81" t="s">
        <v>340</v>
      </c>
      <c r="R108" s="81" t="s">
        <v>403</v>
      </c>
      <c r="S108" s="81"/>
      <c r="T108" s="81"/>
      <c r="U108" s="81" t="s">
        <v>341</v>
      </c>
    </row>
    <row r="109" spans="1:21">
      <c r="A109" s="81" t="s">
        <v>420</v>
      </c>
      <c r="B109" s="81" t="s">
        <v>77</v>
      </c>
      <c r="C109" s="81" t="s">
        <v>399</v>
      </c>
      <c r="D109" s="81" t="s">
        <v>201</v>
      </c>
      <c r="E109" s="81" t="s">
        <v>421</v>
      </c>
      <c r="F109" s="81" t="s">
        <v>422</v>
      </c>
      <c r="G109" s="81" t="s">
        <v>336</v>
      </c>
      <c r="H109" s="81" t="s">
        <v>138</v>
      </c>
      <c r="I109" s="81" t="s">
        <v>138</v>
      </c>
      <c r="J109" s="81" t="s">
        <v>402</v>
      </c>
      <c r="K109" s="81" t="s">
        <v>365</v>
      </c>
      <c r="L109" s="81" t="s">
        <v>366</v>
      </c>
      <c r="M109" s="81" t="s">
        <v>367</v>
      </c>
      <c r="N109" s="81" t="s">
        <v>253</v>
      </c>
      <c r="O109" s="81" t="s">
        <v>423</v>
      </c>
      <c r="P109" s="81" t="s">
        <v>422</v>
      </c>
      <c r="Q109" s="81" t="s">
        <v>260</v>
      </c>
      <c r="R109" s="81" t="s">
        <v>403</v>
      </c>
      <c r="S109" s="81">
        <v>6</v>
      </c>
      <c r="T109" s="81">
        <v>108.3</v>
      </c>
      <c r="U109" s="81" t="s">
        <v>243</v>
      </c>
    </row>
    <row r="110" spans="1:21">
      <c r="A110" s="81" t="s">
        <v>424</v>
      </c>
      <c r="B110" s="81" t="s">
        <v>77</v>
      </c>
      <c r="C110" s="81" t="s">
        <v>399</v>
      </c>
      <c r="D110" s="81" t="s">
        <v>203</v>
      </c>
      <c r="E110" s="81" t="s">
        <v>362</v>
      </c>
      <c r="F110" s="81" t="s">
        <v>363</v>
      </c>
      <c r="G110" s="81" t="s">
        <v>336</v>
      </c>
      <c r="H110" s="81" t="s">
        <v>138</v>
      </c>
      <c r="I110" s="81" t="s">
        <v>138</v>
      </c>
      <c r="J110" s="81" t="s">
        <v>248</v>
      </c>
      <c r="K110" s="81" t="s">
        <v>365</v>
      </c>
      <c r="L110" s="81" t="s">
        <v>366</v>
      </c>
      <c r="M110" s="81" t="s">
        <v>367</v>
      </c>
      <c r="N110" s="81" t="s">
        <v>253</v>
      </c>
      <c r="O110" s="81" t="s">
        <v>414</v>
      </c>
      <c r="P110" s="81" t="s">
        <v>425</v>
      </c>
      <c r="Q110" s="81" t="s">
        <v>340</v>
      </c>
      <c r="R110" s="81" t="s">
        <v>403</v>
      </c>
      <c r="S110" s="81"/>
      <c r="T110" s="81"/>
      <c r="U110" s="81" t="s">
        <v>243</v>
      </c>
    </row>
    <row r="111" spans="1:21">
      <c r="A111" s="81" t="s">
        <v>426</v>
      </c>
      <c r="B111" s="81" t="s">
        <v>77</v>
      </c>
      <c r="C111" s="81" t="s">
        <v>399</v>
      </c>
      <c r="D111" s="81" t="s">
        <v>201</v>
      </c>
      <c r="E111" s="81" t="s">
        <v>421</v>
      </c>
      <c r="F111" s="81" t="s">
        <v>422</v>
      </c>
      <c r="G111" s="81" t="s">
        <v>336</v>
      </c>
      <c r="H111" s="81" t="s">
        <v>138</v>
      </c>
      <c r="I111" s="81" t="s">
        <v>138</v>
      </c>
      <c r="J111" s="81" t="s">
        <v>248</v>
      </c>
      <c r="K111" s="81" t="s">
        <v>365</v>
      </c>
      <c r="L111" s="81" t="s">
        <v>366</v>
      </c>
      <c r="M111" s="81" t="s">
        <v>367</v>
      </c>
      <c r="N111" s="81" t="s">
        <v>253</v>
      </c>
      <c r="O111" s="81" t="s">
        <v>423</v>
      </c>
      <c r="P111" s="81" t="s">
        <v>422</v>
      </c>
      <c r="Q111" s="81" t="s">
        <v>340</v>
      </c>
      <c r="R111" s="81" t="s">
        <v>403</v>
      </c>
      <c r="S111" s="81">
        <v>0</v>
      </c>
      <c r="T111" s="81">
        <v>2</v>
      </c>
      <c r="U111" s="81" t="s">
        <v>243</v>
      </c>
    </row>
    <row r="112" spans="1:21">
      <c r="A112" s="81" t="s">
        <v>427</v>
      </c>
      <c r="B112" s="81" t="s">
        <v>77</v>
      </c>
      <c r="C112" s="81" t="s">
        <v>399</v>
      </c>
      <c r="D112" s="81" t="s">
        <v>201</v>
      </c>
      <c r="E112" s="81" t="s">
        <v>421</v>
      </c>
      <c r="F112" s="81" t="s">
        <v>422</v>
      </c>
      <c r="G112" s="81" t="s">
        <v>360</v>
      </c>
      <c r="H112" s="81" t="s">
        <v>138</v>
      </c>
      <c r="I112" s="81" t="s">
        <v>138</v>
      </c>
      <c r="J112" s="81" t="s">
        <v>388</v>
      </c>
      <c r="K112" s="81" t="s">
        <v>117</v>
      </c>
      <c r="L112" s="81" t="s">
        <v>117</v>
      </c>
      <c r="M112" s="81" t="s">
        <v>245</v>
      </c>
      <c r="N112" s="81" t="s">
        <v>253</v>
      </c>
      <c r="O112" s="81" t="s">
        <v>428</v>
      </c>
      <c r="P112" s="81" t="s">
        <v>415</v>
      </c>
      <c r="Q112" s="81" t="s">
        <v>340</v>
      </c>
      <c r="R112" s="81" t="s">
        <v>403</v>
      </c>
      <c r="S112" s="81">
        <v>0</v>
      </c>
      <c r="T112" s="81">
        <v>2</v>
      </c>
      <c r="U112" s="81" t="s">
        <v>243</v>
      </c>
    </row>
    <row r="113" spans="1:21">
      <c r="A113" s="81" t="s">
        <v>429</v>
      </c>
      <c r="B113" s="81" t="s">
        <v>77</v>
      </c>
      <c r="C113" s="81" t="s">
        <v>399</v>
      </c>
      <c r="D113" s="81" t="s">
        <v>201</v>
      </c>
      <c r="E113" s="81" t="s">
        <v>400</v>
      </c>
      <c r="F113" s="81" t="s">
        <v>401</v>
      </c>
      <c r="G113" s="81" t="s">
        <v>430</v>
      </c>
      <c r="H113" s="81" t="s">
        <v>138</v>
      </c>
      <c r="I113" s="81" t="s">
        <v>138</v>
      </c>
      <c r="J113" s="81" t="s">
        <v>402</v>
      </c>
      <c r="K113" s="81" t="s">
        <v>117</v>
      </c>
      <c r="L113" s="81" t="s">
        <v>117</v>
      </c>
      <c r="M113" s="81" t="s">
        <v>337</v>
      </c>
      <c r="N113" s="81" t="s">
        <v>253</v>
      </c>
      <c r="O113" s="81" t="s">
        <v>254</v>
      </c>
      <c r="P113" s="81" t="s">
        <v>101</v>
      </c>
      <c r="Q113" s="81" t="s">
        <v>260</v>
      </c>
      <c r="R113" s="81" t="s">
        <v>431</v>
      </c>
      <c r="S113" s="81"/>
      <c r="T113" s="81"/>
      <c r="U113" s="81" t="s">
        <v>243</v>
      </c>
    </row>
    <row r="114" spans="1:21">
      <c r="A114" s="81" t="s">
        <v>432</v>
      </c>
      <c r="B114" s="81" t="s">
        <v>77</v>
      </c>
      <c r="C114" s="81" t="s">
        <v>399</v>
      </c>
      <c r="D114" s="81" t="s">
        <v>201</v>
      </c>
      <c r="E114" s="81" t="s">
        <v>400</v>
      </c>
      <c r="F114" s="81" t="s">
        <v>401</v>
      </c>
      <c r="G114" s="81" t="s">
        <v>419</v>
      </c>
      <c r="H114" s="81" t="s">
        <v>138</v>
      </c>
      <c r="I114" s="81" t="s">
        <v>138</v>
      </c>
      <c r="J114" s="81" t="s">
        <v>402</v>
      </c>
      <c r="K114" s="81" t="s">
        <v>117</v>
      </c>
      <c r="L114" s="81" t="s">
        <v>117</v>
      </c>
      <c r="M114" s="81" t="s">
        <v>337</v>
      </c>
      <c r="N114" s="81" t="s">
        <v>253</v>
      </c>
      <c r="O114" s="81" t="s">
        <v>254</v>
      </c>
      <c r="P114" s="81" t="s">
        <v>101</v>
      </c>
      <c r="Q114" s="81" t="s">
        <v>260</v>
      </c>
      <c r="R114" s="81" t="s">
        <v>431</v>
      </c>
      <c r="S114" s="81"/>
      <c r="T114" s="81"/>
      <c r="U114" s="81" t="s">
        <v>243</v>
      </c>
    </row>
    <row r="115" spans="1:21">
      <c r="A115" s="81" t="s">
        <v>433</v>
      </c>
      <c r="B115" s="81" t="s">
        <v>77</v>
      </c>
      <c r="C115" s="81" t="s">
        <v>399</v>
      </c>
      <c r="D115" s="81" t="s">
        <v>201</v>
      </c>
      <c r="E115" s="81" t="s">
        <v>400</v>
      </c>
      <c r="F115" s="81" t="s">
        <v>401</v>
      </c>
      <c r="G115" s="81" t="s">
        <v>417</v>
      </c>
      <c r="H115" s="81" t="s">
        <v>138</v>
      </c>
      <c r="I115" s="81" t="s">
        <v>138</v>
      </c>
      <c r="J115" s="81" t="s">
        <v>402</v>
      </c>
      <c r="K115" s="81" t="s">
        <v>117</v>
      </c>
      <c r="L115" s="81" t="s">
        <v>117</v>
      </c>
      <c r="M115" s="81" t="s">
        <v>337</v>
      </c>
      <c r="N115" s="81" t="s">
        <v>253</v>
      </c>
      <c r="O115" s="81" t="s">
        <v>254</v>
      </c>
      <c r="P115" s="81" t="s">
        <v>101</v>
      </c>
      <c r="Q115" s="81" t="s">
        <v>260</v>
      </c>
      <c r="R115" s="81" t="s">
        <v>431</v>
      </c>
      <c r="S115" s="81"/>
      <c r="T115" s="81"/>
      <c r="U115" s="81" t="s">
        <v>243</v>
      </c>
    </row>
    <row r="116" spans="1:21">
      <c r="A116" s="81" t="s">
        <v>434</v>
      </c>
      <c r="B116" s="81" t="s">
        <v>77</v>
      </c>
      <c r="C116" s="81" t="s">
        <v>399</v>
      </c>
      <c r="D116" s="81" t="s">
        <v>201</v>
      </c>
      <c r="E116" s="81" t="s">
        <v>435</v>
      </c>
      <c r="F116" s="81" t="s">
        <v>436</v>
      </c>
      <c r="G116" s="81" t="s">
        <v>437</v>
      </c>
      <c r="H116" s="81" t="s">
        <v>138</v>
      </c>
      <c r="I116" s="81" t="s">
        <v>138</v>
      </c>
      <c r="J116" s="81" t="s">
        <v>305</v>
      </c>
      <c r="K116" s="81" t="s">
        <v>365</v>
      </c>
      <c r="L116" s="81" t="s">
        <v>366</v>
      </c>
      <c r="M116" s="81" t="s">
        <v>438</v>
      </c>
      <c r="N116" s="81" t="s">
        <v>253</v>
      </c>
      <c r="O116" s="81" t="s">
        <v>423</v>
      </c>
      <c r="P116" s="81" t="s">
        <v>436</v>
      </c>
      <c r="Q116" s="81" t="s">
        <v>260</v>
      </c>
      <c r="R116" s="81" t="s">
        <v>431</v>
      </c>
      <c r="S116" s="81"/>
      <c r="T116" s="81"/>
      <c r="U116" s="81" t="s">
        <v>243</v>
      </c>
    </row>
    <row r="117" spans="1:21">
      <c r="A117" s="81" t="s">
        <v>439</v>
      </c>
      <c r="B117" s="81" t="s">
        <v>77</v>
      </c>
      <c r="C117" s="81" t="s">
        <v>399</v>
      </c>
      <c r="D117" s="81" t="s">
        <v>201</v>
      </c>
      <c r="E117" s="81" t="s">
        <v>435</v>
      </c>
      <c r="F117" s="81" t="s">
        <v>436</v>
      </c>
      <c r="G117" s="81" t="s">
        <v>437</v>
      </c>
      <c r="H117" s="81" t="s">
        <v>138</v>
      </c>
      <c r="I117" s="81" t="s">
        <v>138</v>
      </c>
      <c r="J117" s="81" t="s">
        <v>440</v>
      </c>
      <c r="K117" s="81" t="s">
        <v>365</v>
      </c>
      <c r="L117" s="81" t="s">
        <v>366</v>
      </c>
      <c r="M117" s="81" t="s">
        <v>367</v>
      </c>
      <c r="N117" s="81" t="s">
        <v>253</v>
      </c>
      <c r="O117" s="81" t="s">
        <v>423</v>
      </c>
      <c r="P117" s="81" t="s">
        <v>436</v>
      </c>
      <c r="Q117" s="81" t="s">
        <v>260</v>
      </c>
      <c r="R117" s="81" t="s">
        <v>431</v>
      </c>
      <c r="S117" s="81"/>
      <c r="T117" s="81"/>
      <c r="U117" s="81" t="s">
        <v>243</v>
      </c>
    </row>
    <row r="118" spans="1:21">
      <c r="A118" s="81" t="s">
        <v>441</v>
      </c>
      <c r="B118" s="81" t="s">
        <v>77</v>
      </c>
      <c r="C118" s="81" t="s">
        <v>399</v>
      </c>
      <c r="D118" s="81" t="s">
        <v>201</v>
      </c>
      <c r="E118" s="81" t="s">
        <v>435</v>
      </c>
      <c r="F118" s="81" t="s">
        <v>436</v>
      </c>
      <c r="G118" s="81" t="s">
        <v>442</v>
      </c>
      <c r="H118" s="81" t="s">
        <v>138</v>
      </c>
      <c r="I118" s="81" t="s">
        <v>138</v>
      </c>
      <c r="J118" s="81" t="s">
        <v>305</v>
      </c>
      <c r="K118" s="81" t="s">
        <v>365</v>
      </c>
      <c r="L118" s="81" t="s">
        <v>366</v>
      </c>
      <c r="M118" s="81" t="s">
        <v>438</v>
      </c>
      <c r="N118" s="81" t="s">
        <v>253</v>
      </c>
      <c r="O118" s="81" t="s">
        <v>423</v>
      </c>
      <c r="P118" s="81" t="s">
        <v>436</v>
      </c>
      <c r="Q118" s="81" t="s">
        <v>260</v>
      </c>
      <c r="R118" s="81" t="s">
        <v>431</v>
      </c>
      <c r="S118" s="81"/>
      <c r="T118" s="81"/>
      <c r="U118" s="81" t="s">
        <v>243</v>
      </c>
    </row>
    <row r="119" spans="1:21">
      <c r="A119" s="81" t="s">
        <v>443</v>
      </c>
      <c r="B119" s="81" t="s">
        <v>77</v>
      </c>
      <c r="C119" s="81" t="s">
        <v>399</v>
      </c>
      <c r="D119" s="81" t="s">
        <v>201</v>
      </c>
      <c r="E119" s="81" t="s">
        <v>435</v>
      </c>
      <c r="F119" s="81" t="s">
        <v>436</v>
      </c>
      <c r="G119" s="81" t="s">
        <v>442</v>
      </c>
      <c r="H119" s="81" t="s">
        <v>138</v>
      </c>
      <c r="I119" s="81" t="s">
        <v>138</v>
      </c>
      <c r="J119" s="81" t="s">
        <v>440</v>
      </c>
      <c r="K119" s="81" t="s">
        <v>365</v>
      </c>
      <c r="L119" s="81" t="s">
        <v>366</v>
      </c>
      <c r="M119" s="81" t="s">
        <v>367</v>
      </c>
      <c r="N119" s="81" t="s">
        <v>253</v>
      </c>
      <c r="O119" s="81" t="s">
        <v>423</v>
      </c>
      <c r="P119" s="81" t="s">
        <v>436</v>
      </c>
      <c r="Q119" s="81" t="s">
        <v>260</v>
      </c>
      <c r="R119" s="81" t="s">
        <v>431</v>
      </c>
      <c r="S119" s="81"/>
      <c r="T119" s="81"/>
      <c r="U119" s="81" t="s">
        <v>243</v>
      </c>
    </row>
    <row r="120" spans="1:21">
      <c r="A120" s="81" t="s">
        <v>444</v>
      </c>
      <c r="B120" s="81" t="s">
        <v>77</v>
      </c>
      <c r="C120" s="81" t="s">
        <v>399</v>
      </c>
      <c r="D120" s="81" t="s">
        <v>201</v>
      </c>
      <c r="E120" s="81" t="s">
        <v>435</v>
      </c>
      <c r="F120" s="81" t="s">
        <v>436</v>
      </c>
      <c r="G120" s="81" t="s">
        <v>364</v>
      </c>
      <c r="H120" s="81" t="s">
        <v>138</v>
      </c>
      <c r="I120" s="81" t="s">
        <v>138</v>
      </c>
      <c r="J120" s="81" t="s">
        <v>305</v>
      </c>
      <c r="K120" s="81" t="s">
        <v>365</v>
      </c>
      <c r="L120" s="81" t="s">
        <v>366</v>
      </c>
      <c r="M120" s="81" t="s">
        <v>438</v>
      </c>
      <c r="N120" s="81" t="s">
        <v>253</v>
      </c>
      <c r="O120" s="81" t="s">
        <v>423</v>
      </c>
      <c r="P120" s="81" t="s">
        <v>436</v>
      </c>
      <c r="Q120" s="81" t="s">
        <v>260</v>
      </c>
      <c r="R120" s="81" t="s">
        <v>431</v>
      </c>
      <c r="S120" s="81"/>
      <c r="T120" s="81"/>
      <c r="U120" s="81" t="s">
        <v>243</v>
      </c>
    </row>
    <row r="121" spans="1:21">
      <c r="A121" s="81" t="s">
        <v>445</v>
      </c>
      <c r="B121" s="81" t="s">
        <v>77</v>
      </c>
      <c r="C121" s="81" t="s">
        <v>399</v>
      </c>
      <c r="D121" s="81" t="s">
        <v>201</v>
      </c>
      <c r="E121" s="81" t="s">
        <v>435</v>
      </c>
      <c r="F121" s="81" t="s">
        <v>436</v>
      </c>
      <c r="G121" s="81" t="s">
        <v>364</v>
      </c>
      <c r="H121" s="81" t="s">
        <v>138</v>
      </c>
      <c r="I121" s="81" t="s">
        <v>138</v>
      </c>
      <c r="J121" s="81" t="s">
        <v>440</v>
      </c>
      <c r="K121" s="81" t="s">
        <v>365</v>
      </c>
      <c r="L121" s="81" t="s">
        <v>366</v>
      </c>
      <c r="M121" s="81" t="s">
        <v>367</v>
      </c>
      <c r="N121" s="81" t="s">
        <v>253</v>
      </c>
      <c r="O121" s="81" t="s">
        <v>423</v>
      </c>
      <c r="P121" s="81" t="s">
        <v>436</v>
      </c>
      <c r="Q121" s="81" t="s">
        <v>260</v>
      </c>
      <c r="R121" s="81" t="s">
        <v>431</v>
      </c>
      <c r="S121" s="81"/>
      <c r="T121" s="81"/>
      <c r="U121" s="81" t="s">
        <v>243</v>
      </c>
    </row>
    <row r="122" spans="1:21">
      <c r="A122" s="81" t="s">
        <v>446</v>
      </c>
      <c r="B122" s="81" t="s">
        <v>77</v>
      </c>
      <c r="C122" s="81" t="s">
        <v>399</v>
      </c>
      <c r="D122" s="81" t="s">
        <v>201</v>
      </c>
      <c r="E122" s="81" t="s">
        <v>435</v>
      </c>
      <c r="F122" s="81" t="s">
        <v>436</v>
      </c>
      <c r="G122" s="81" t="s">
        <v>405</v>
      </c>
      <c r="H122" s="81" t="s">
        <v>138</v>
      </c>
      <c r="I122" s="81" t="s">
        <v>138</v>
      </c>
      <c r="J122" s="81" t="s">
        <v>274</v>
      </c>
      <c r="K122" s="81" t="s">
        <v>365</v>
      </c>
      <c r="L122" s="81" t="s">
        <v>366</v>
      </c>
      <c r="M122" s="81" t="s">
        <v>367</v>
      </c>
      <c r="N122" s="81" t="s">
        <v>253</v>
      </c>
      <c r="O122" s="81" t="s">
        <v>423</v>
      </c>
      <c r="P122" s="81" t="s">
        <v>436</v>
      </c>
      <c r="Q122" s="81" t="s">
        <v>260</v>
      </c>
      <c r="R122" s="81" t="s">
        <v>431</v>
      </c>
      <c r="S122" s="81">
        <v>6</v>
      </c>
      <c r="T122" s="81">
        <v>37.7</v>
      </c>
      <c r="U122" s="81" t="s">
        <v>243</v>
      </c>
    </row>
    <row r="123" spans="1:21">
      <c r="A123" s="81" t="s">
        <v>447</v>
      </c>
      <c r="B123" s="81" t="s">
        <v>77</v>
      </c>
      <c r="C123" s="81" t="s">
        <v>399</v>
      </c>
      <c r="D123" s="81" t="s">
        <v>201</v>
      </c>
      <c r="E123" s="81" t="s">
        <v>435</v>
      </c>
      <c r="F123" s="81" t="s">
        <v>436</v>
      </c>
      <c r="G123" s="81" t="s">
        <v>274</v>
      </c>
      <c r="H123" s="81" t="s">
        <v>138</v>
      </c>
      <c r="I123" s="81" t="s">
        <v>138</v>
      </c>
      <c r="J123" s="81" t="s">
        <v>318</v>
      </c>
      <c r="K123" s="81" t="s">
        <v>365</v>
      </c>
      <c r="L123" s="81" t="s">
        <v>366</v>
      </c>
      <c r="M123" s="81" t="s">
        <v>367</v>
      </c>
      <c r="N123" s="81" t="s">
        <v>253</v>
      </c>
      <c r="O123" s="81" t="s">
        <v>423</v>
      </c>
      <c r="P123" s="81" t="s">
        <v>436</v>
      </c>
      <c r="Q123" s="81" t="s">
        <v>260</v>
      </c>
      <c r="R123" s="81" t="s">
        <v>431</v>
      </c>
      <c r="S123" s="81"/>
      <c r="T123" s="81"/>
      <c r="U123" s="81" t="s">
        <v>243</v>
      </c>
    </row>
    <row r="124" spans="1:21">
      <c r="A124" s="81" t="s">
        <v>448</v>
      </c>
      <c r="B124" s="81" t="s">
        <v>77</v>
      </c>
      <c r="C124" s="81" t="s">
        <v>399</v>
      </c>
      <c r="D124" s="81" t="s">
        <v>203</v>
      </c>
      <c r="E124" s="81" t="s">
        <v>449</v>
      </c>
      <c r="F124" s="81" t="s">
        <v>450</v>
      </c>
      <c r="G124" s="81" t="s">
        <v>419</v>
      </c>
      <c r="H124" s="81" t="s">
        <v>138</v>
      </c>
      <c r="I124" s="81" t="s">
        <v>138</v>
      </c>
      <c r="J124" s="81"/>
      <c r="K124" s="81"/>
      <c r="L124" s="81" t="s">
        <v>138</v>
      </c>
      <c r="M124" s="81"/>
      <c r="N124" s="81"/>
      <c r="O124" s="81"/>
      <c r="P124" s="81" t="s">
        <v>368</v>
      </c>
      <c r="Q124" s="81" t="s">
        <v>340</v>
      </c>
      <c r="R124" s="81" t="s">
        <v>431</v>
      </c>
      <c r="S124" s="81">
        <v>2.4</v>
      </c>
      <c r="T124" s="81">
        <v>22</v>
      </c>
      <c r="U124" s="81" t="s">
        <v>243</v>
      </c>
    </row>
    <row r="125" spans="1:21">
      <c r="A125" s="81" t="s">
        <v>451</v>
      </c>
      <c r="B125" s="81" t="s">
        <v>77</v>
      </c>
      <c r="C125" s="81" t="s">
        <v>399</v>
      </c>
      <c r="D125" s="81" t="s">
        <v>201</v>
      </c>
      <c r="E125" s="81" t="s">
        <v>435</v>
      </c>
      <c r="F125" s="81" t="s">
        <v>436</v>
      </c>
      <c r="G125" s="81" t="s">
        <v>238</v>
      </c>
      <c r="H125" s="81" t="s">
        <v>138</v>
      </c>
      <c r="I125" s="81" t="s">
        <v>138</v>
      </c>
      <c r="J125" s="81"/>
      <c r="K125" s="81"/>
      <c r="L125" s="81" t="s">
        <v>138</v>
      </c>
      <c r="M125" s="81"/>
      <c r="N125" s="81"/>
      <c r="O125" s="81"/>
      <c r="P125" s="81" t="s">
        <v>368</v>
      </c>
      <c r="Q125" s="81" t="s">
        <v>340</v>
      </c>
      <c r="R125" s="81" t="s">
        <v>431</v>
      </c>
      <c r="S125" s="81"/>
      <c r="T125" s="81"/>
      <c r="U125" s="81" t="s">
        <v>243</v>
      </c>
    </row>
    <row r="126" spans="1:21">
      <c r="A126" s="81" t="s">
        <v>452</v>
      </c>
      <c r="B126" s="81" t="s">
        <v>77</v>
      </c>
      <c r="C126" s="81" t="s">
        <v>399</v>
      </c>
      <c r="D126" s="81" t="s">
        <v>203</v>
      </c>
      <c r="E126" s="81" t="s">
        <v>449</v>
      </c>
      <c r="F126" s="81" t="s">
        <v>450</v>
      </c>
      <c r="G126" s="81" t="s">
        <v>336</v>
      </c>
      <c r="H126" s="81" t="s">
        <v>138</v>
      </c>
      <c r="I126" s="81" t="s">
        <v>138</v>
      </c>
      <c r="J126" s="81"/>
      <c r="K126" s="81"/>
      <c r="L126" s="81" t="s">
        <v>138</v>
      </c>
      <c r="M126" s="81"/>
      <c r="N126" s="81"/>
      <c r="O126" s="81"/>
      <c r="P126" s="81" t="s">
        <v>368</v>
      </c>
      <c r="Q126" s="81" t="s">
        <v>340</v>
      </c>
      <c r="R126" s="81" t="s">
        <v>453</v>
      </c>
      <c r="S126" s="81"/>
      <c r="T126" s="81"/>
      <c r="U126" s="81" t="s">
        <v>243</v>
      </c>
    </row>
    <row r="127" spans="1:21">
      <c r="A127" s="81" t="s">
        <v>454</v>
      </c>
      <c r="B127" s="81" t="s">
        <v>77</v>
      </c>
      <c r="C127" s="81" t="s">
        <v>399</v>
      </c>
      <c r="D127" s="81" t="s">
        <v>203</v>
      </c>
      <c r="E127" s="81" t="s">
        <v>449</v>
      </c>
      <c r="F127" s="81" t="s">
        <v>450</v>
      </c>
      <c r="G127" s="81" t="s">
        <v>336</v>
      </c>
      <c r="H127" s="81" t="s">
        <v>138</v>
      </c>
      <c r="I127" s="81" t="s">
        <v>138</v>
      </c>
      <c r="J127" s="81"/>
      <c r="K127" s="81"/>
      <c r="L127" s="81" t="s">
        <v>138</v>
      </c>
      <c r="M127" s="81"/>
      <c r="N127" s="81"/>
      <c r="O127" s="81"/>
      <c r="P127" s="81" t="s">
        <v>368</v>
      </c>
      <c r="Q127" s="81" t="s">
        <v>340</v>
      </c>
      <c r="R127" s="81" t="s">
        <v>453</v>
      </c>
      <c r="S127" s="81"/>
      <c r="T127" s="81"/>
      <c r="U127" s="81" t="s">
        <v>243</v>
      </c>
    </row>
    <row r="128" spans="1:21">
      <c r="A128" s="81" t="s">
        <v>455</v>
      </c>
      <c r="B128" s="81" t="s">
        <v>77</v>
      </c>
      <c r="C128" s="81" t="s">
        <v>399</v>
      </c>
      <c r="D128" s="81" t="s">
        <v>201</v>
      </c>
      <c r="E128" s="81" t="s">
        <v>435</v>
      </c>
      <c r="F128" s="81" t="s">
        <v>436</v>
      </c>
      <c r="G128" s="81" t="s">
        <v>274</v>
      </c>
      <c r="H128" s="81" t="s">
        <v>138</v>
      </c>
      <c r="I128" s="81" t="s">
        <v>138</v>
      </c>
      <c r="J128" s="81" t="s">
        <v>248</v>
      </c>
      <c r="K128" s="81" t="s">
        <v>365</v>
      </c>
      <c r="L128" s="81" t="s">
        <v>366</v>
      </c>
      <c r="M128" s="81" t="s">
        <v>367</v>
      </c>
      <c r="N128" s="81" t="s">
        <v>253</v>
      </c>
      <c r="O128" s="81" t="s">
        <v>423</v>
      </c>
      <c r="P128" s="81" t="s">
        <v>456</v>
      </c>
      <c r="Q128" s="81" t="s">
        <v>260</v>
      </c>
      <c r="R128" s="81" t="s">
        <v>453</v>
      </c>
      <c r="S128" s="81"/>
      <c r="T128" s="81"/>
      <c r="U128" s="81" t="s">
        <v>243</v>
      </c>
    </row>
    <row r="129" spans="1:21">
      <c r="A129" s="81" t="s">
        <v>457</v>
      </c>
      <c r="B129" s="81" t="s">
        <v>77</v>
      </c>
      <c r="C129" s="81" t="s">
        <v>399</v>
      </c>
      <c r="D129" s="81" t="s">
        <v>201</v>
      </c>
      <c r="E129" s="81" t="s">
        <v>435</v>
      </c>
      <c r="F129" s="81" t="s">
        <v>436</v>
      </c>
      <c r="G129" s="81" t="s">
        <v>274</v>
      </c>
      <c r="H129" s="81" t="s">
        <v>138</v>
      </c>
      <c r="I129" s="81" t="s">
        <v>138</v>
      </c>
      <c r="J129" s="81" t="s">
        <v>274</v>
      </c>
      <c r="K129" s="81" t="s">
        <v>365</v>
      </c>
      <c r="L129" s="81" t="s">
        <v>366</v>
      </c>
      <c r="M129" s="81" t="s">
        <v>367</v>
      </c>
      <c r="N129" s="81" t="s">
        <v>253</v>
      </c>
      <c r="O129" s="81" t="s">
        <v>423</v>
      </c>
      <c r="P129" s="81" t="s">
        <v>436</v>
      </c>
      <c r="Q129" s="81" t="s">
        <v>260</v>
      </c>
      <c r="R129" s="81" t="s">
        <v>453</v>
      </c>
      <c r="S129" s="81"/>
      <c r="T129" s="81"/>
      <c r="U129" s="81" t="s">
        <v>243</v>
      </c>
    </row>
    <row r="130" spans="1:21">
      <c r="A130" s="81" t="s">
        <v>458</v>
      </c>
      <c r="B130" s="81" t="s">
        <v>77</v>
      </c>
      <c r="C130" s="81" t="s">
        <v>399</v>
      </c>
      <c r="D130" s="81" t="s">
        <v>201</v>
      </c>
      <c r="E130" s="81" t="s">
        <v>435</v>
      </c>
      <c r="F130" s="81" t="s">
        <v>436</v>
      </c>
      <c r="G130" s="81" t="s">
        <v>238</v>
      </c>
      <c r="H130" s="81" t="s">
        <v>138</v>
      </c>
      <c r="I130" s="81" t="s">
        <v>138</v>
      </c>
      <c r="J130" s="81" t="s">
        <v>305</v>
      </c>
      <c r="K130" s="81" t="s">
        <v>365</v>
      </c>
      <c r="L130" s="81" t="s">
        <v>366</v>
      </c>
      <c r="M130" s="81" t="s">
        <v>367</v>
      </c>
      <c r="N130" s="81" t="s">
        <v>253</v>
      </c>
      <c r="O130" s="81" t="s">
        <v>423</v>
      </c>
      <c r="P130" s="81" t="s">
        <v>101</v>
      </c>
      <c r="Q130" s="81" t="s">
        <v>260</v>
      </c>
      <c r="R130" s="81" t="s">
        <v>453</v>
      </c>
      <c r="S130" s="81"/>
      <c r="T130" s="81"/>
      <c r="U130" s="81" t="s">
        <v>243</v>
      </c>
    </row>
    <row r="131" spans="1:21">
      <c r="A131" s="81" t="s">
        <v>459</v>
      </c>
      <c r="B131" s="81" t="s">
        <v>77</v>
      </c>
      <c r="C131" s="81" t="s">
        <v>399</v>
      </c>
      <c r="D131" s="81" t="s">
        <v>201</v>
      </c>
      <c r="E131" s="81" t="s">
        <v>435</v>
      </c>
      <c r="F131" s="81" t="s">
        <v>436</v>
      </c>
      <c r="G131" s="81" t="s">
        <v>430</v>
      </c>
      <c r="H131" s="81" t="s">
        <v>138</v>
      </c>
      <c r="I131" s="81" t="s">
        <v>138</v>
      </c>
      <c r="J131" s="81" t="s">
        <v>460</v>
      </c>
      <c r="K131" s="81" t="s">
        <v>365</v>
      </c>
      <c r="L131" s="81" t="s">
        <v>366</v>
      </c>
      <c r="M131" s="81" t="s">
        <v>367</v>
      </c>
      <c r="N131" s="81" t="s">
        <v>253</v>
      </c>
      <c r="O131" s="81" t="s">
        <v>423</v>
      </c>
      <c r="P131" s="81" t="s">
        <v>436</v>
      </c>
      <c r="Q131" s="81" t="s">
        <v>260</v>
      </c>
      <c r="R131" s="81" t="s">
        <v>453</v>
      </c>
      <c r="S131" s="81"/>
      <c r="T131" s="81"/>
      <c r="U131" s="81" t="s">
        <v>243</v>
      </c>
    </row>
    <row r="132" spans="1:21">
      <c r="A132" s="81" t="s">
        <v>461</v>
      </c>
      <c r="B132" s="81" t="s">
        <v>77</v>
      </c>
      <c r="C132" s="81" t="s">
        <v>399</v>
      </c>
      <c r="D132" s="81" t="s">
        <v>201</v>
      </c>
      <c r="E132" s="81" t="s">
        <v>435</v>
      </c>
      <c r="F132" s="81" t="s">
        <v>436</v>
      </c>
      <c r="G132" s="81" t="s">
        <v>462</v>
      </c>
      <c r="H132" s="81" t="s">
        <v>138</v>
      </c>
      <c r="I132" s="81" t="s">
        <v>138</v>
      </c>
      <c r="J132" s="81" t="s">
        <v>440</v>
      </c>
      <c r="K132" s="81" t="s">
        <v>365</v>
      </c>
      <c r="L132" s="81" t="s">
        <v>366</v>
      </c>
      <c r="M132" s="81" t="s">
        <v>367</v>
      </c>
      <c r="N132" s="81" t="s">
        <v>253</v>
      </c>
      <c r="O132" s="81" t="s">
        <v>423</v>
      </c>
      <c r="P132" s="81" t="s">
        <v>368</v>
      </c>
      <c r="Q132" s="81" t="s">
        <v>340</v>
      </c>
      <c r="R132" s="81" t="s">
        <v>453</v>
      </c>
      <c r="S132" s="81"/>
      <c r="T132" s="81"/>
      <c r="U132" s="81" t="s">
        <v>243</v>
      </c>
    </row>
    <row r="133" spans="1:21">
      <c r="A133" s="81" t="s">
        <v>463</v>
      </c>
      <c r="B133" s="81" t="s">
        <v>77</v>
      </c>
      <c r="C133" s="81" t="s">
        <v>399</v>
      </c>
      <c r="D133" s="81" t="s">
        <v>201</v>
      </c>
      <c r="E133" s="81" t="s">
        <v>435</v>
      </c>
      <c r="F133" s="81" t="s">
        <v>436</v>
      </c>
      <c r="G133" s="81" t="s">
        <v>462</v>
      </c>
      <c r="H133" s="81" t="s">
        <v>138</v>
      </c>
      <c r="I133" s="81" t="s">
        <v>138</v>
      </c>
      <c r="J133" s="81" t="s">
        <v>248</v>
      </c>
      <c r="K133" s="81" t="s">
        <v>365</v>
      </c>
      <c r="L133" s="81" t="s">
        <v>366</v>
      </c>
      <c r="M133" s="81" t="s">
        <v>367</v>
      </c>
      <c r="N133" s="81" t="s">
        <v>253</v>
      </c>
      <c r="O133" s="81" t="s">
        <v>423</v>
      </c>
      <c r="P133" s="81" t="s">
        <v>368</v>
      </c>
      <c r="Q133" s="81" t="s">
        <v>340</v>
      </c>
      <c r="R133" s="81" t="s">
        <v>453</v>
      </c>
      <c r="S133" s="81">
        <v>0</v>
      </c>
      <c r="T133" s="81">
        <v>2</v>
      </c>
      <c r="U133" s="81" t="s">
        <v>243</v>
      </c>
    </row>
    <row r="134" spans="1:21">
      <c r="A134" s="81" t="s">
        <v>464</v>
      </c>
      <c r="B134" s="81" t="s">
        <v>77</v>
      </c>
      <c r="C134" s="81" t="s">
        <v>399</v>
      </c>
      <c r="D134" s="81" t="s">
        <v>201</v>
      </c>
      <c r="E134" s="81" t="s">
        <v>435</v>
      </c>
      <c r="F134" s="81" t="s">
        <v>436</v>
      </c>
      <c r="G134" s="81" t="s">
        <v>462</v>
      </c>
      <c r="H134" s="81" t="s">
        <v>138</v>
      </c>
      <c r="I134" s="81" t="s">
        <v>138</v>
      </c>
      <c r="J134" s="81" t="s">
        <v>460</v>
      </c>
      <c r="K134" s="81" t="s">
        <v>365</v>
      </c>
      <c r="L134" s="81" t="s">
        <v>366</v>
      </c>
      <c r="M134" s="81" t="s">
        <v>367</v>
      </c>
      <c r="N134" s="81" t="s">
        <v>253</v>
      </c>
      <c r="O134" s="81" t="s">
        <v>423</v>
      </c>
      <c r="P134" s="81" t="s">
        <v>368</v>
      </c>
      <c r="Q134" s="81" t="s">
        <v>340</v>
      </c>
      <c r="R134" s="81" t="s">
        <v>453</v>
      </c>
      <c r="S134" s="81"/>
      <c r="T134" s="81"/>
      <c r="U134" s="81" t="s">
        <v>243</v>
      </c>
    </row>
    <row r="135" spans="1:21">
      <c r="A135" s="81" t="s">
        <v>465</v>
      </c>
      <c r="B135" s="81" t="s">
        <v>77</v>
      </c>
      <c r="C135" s="81" t="s">
        <v>399</v>
      </c>
      <c r="D135" s="81" t="s">
        <v>201</v>
      </c>
      <c r="E135" s="81" t="s">
        <v>435</v>
      </c>
      <c r="F135" s="81" t="s">
        <v>436</v>
      </c>
      <c r="G135" s="81" t="s">
        <v>251</v>
      </c>
      <c r="H135" s="81" t="s">
        <v>138</v>
      </c>
      <c r="I135" s="81" t="s">
        <v>138</v>
      </c>
      <c r="J135" s="81" t="s">
        <v>274</v>
      </c>
      <c r="K135" s="81" t="s">
        <v>365</v>
      </c>
      <c r="L135" s="81" t="s">
        <v>366</v>
      </c>
      <c r="M135" s="81" t="s">
        <v>367</v>
      </c>
      <c r="N135" s="81" t="s">
        <v>253</v>
      </c>
      <c r="O135" s="81" t="s">
        <v>414</v>
      </c>
      <c r="P135" s="81" t="s">
        <v>436</v>
      </c>
      <c r="Q135" s="81" t="s">
        <v>260</v>
      </c>
      <c r="R135" s="81" t="s">
        <v>453</v>
      </c>
      <c r="S135" s="81"/>
      <c r="T135" s="81"/>
      <c r="U135" s="81" t="s">
        <v>243</v>
      </c>
    </row>
    <row r="136" spans="1:21">
      <c r="A136" s="81" t="s">
        <v>466</v>
      </c>
      <c r="B136" s="81" t="s">
        <v>77</v>
      </c>
      <c r="C136" s="81" t="s">
        <v>399</v>
      </c>
      <c r="D136" s="81" t="s">
        <v>201</v>
      </c>
      <c r="E136" s="81" t="s">
        <v>435</v>
      </c>
      <c r="F136" s="81" t="s">
        <v>436</v>
      </c>
      <c r="G136" s="81" t="s">
        <v>419</v>
      </c>
      <c r="H136" s="81" t="s">
        <v>138</v>
      </c>
      <c r="I136" s="81" t="s">
        <v>138</v>
      </c>
      <c r="J136" s="81" t="s">
        <v>388</v>
      </c>
      <c r="K136" s="81" t="s">
        <v>365</v>
      </c>
      <c r="L136" s="81" t="s">
        <v>366</v>
      </c>
      <c r="M136" s="81" t="s">
        <v>367</v>
      </c>
      <c r="N136" s="81" t="s">
        <v>253</v>
      </c>
      <c r="O136" s="81" t="s">
        <v>423</v>
      </c>
      <c r="P136" s="81" t="s">
        <v>368</v>
      </c>
      <c r="Q136" s="81" t="s">
        <v>340</v>
      </c>
      <c r="R136" s="81" t="s">
        <v>453</v>
      </c>
      <c r="S136" s="81">
        <v>0</v>
      </c>
      <c r="T136" s="81">
        <v>1.2</v>
      </c>
      <c r="U136" s="81" t="s">
        <v>243</v>
      </c>
    </row>
    <row r="137" spans="1:21">
      <c r="A137" s="81" t="s">
        <v>467</v>
      </c>
      <c r="B137" s="81" t="s">
        <v>77</v>
      </c>
      <c r="C137" s="81" t="s">
        <v>399</v>
      </c>
      <c r="D137" s="81" t="s">
        <v>203</v>
      </c>
      <c r="E137" s="81" t="s">
        <v>449</v>
      </c>
      <c r="F137" s="81" t="s">
        <v>450</v>
      </c>
      <c r="G137" s="81" t="s">
        <v>430</v>
      </c>
      <c r="H137" s="81" t="s">
        <v>138</v>
      </c>
      <c r="I137" s="81" t="s">
        <v>138</v>
      </c>
      <c r="J137" s="81"/>
      <c r="K137" s="81"/>
      <c r="L137" s="81" t="s">
        <v>138</v>
      </c>
      <c r="M137" s="81"/>
      <c r="N137" s="81"/>
      <c r="O137" s="81"/>
      <c r="P137" s="81" t="s">
        <v>368</v>
      </c>
      <c r="Q137" s="81" t="s">
        <v>340</v>
      </c>
      <c r="R137" s="81" t="s">
        <v>453</v>
      </c>
      <c r="S137" s="81"/>
      <c r="T137" s="81"/>
      <c r="U137" s="81" t="s">
        <v>243</v>
      </c>
    </row>
    <row r="138" spans="1:21">
      <c r="A138" s="81" t="s">
        <v>468</v>
      </c>
      <c r="B138" s="81" t="s">
        <v>77</v>
      </c>
      <c r="C138" s="81" t="s">
        <v>399</v>
      </c>
      <c r="D138" s="81" t="s">
        <v>203</v>
      </c>
      <c r="E138" s="81" t="s">
        <v>449</v>
      </c>
      <c r="F138" s="81" t="s">
        <v>450</v>
      </c>
      <c r="G138" s="81" t="s">
        <v>430</v>
      </c>
      <c r="H138" s="81" t="s">
        <v>138</v>
      </c>
      <c r="I138" s="81" t="s">
        <v>138</v>
      </c>
      <c r="J138" s="81"/>
      <c r="K138" s="81"/>
      <c r="L138" s="81" t="s">
        <v>138</v>
      </c>
      <c r="M138" s="81"/>
      <c r="N138" s="81"/>
      <c r="O138" s="81"/>
      <c r="P138" s="81" t="s">
        <v>368</v>
      </c>
      <c r="Q138" s="81" t="s">
        <v>340</v>
      </c>
      <c r="R138" s="81" t="s">
        <v>453</v>
      </c>
      <c r="S138" s="81"/>
      <c r="T138" s="81"/>
      <c r="U138" s="81" t="s">
        <v>243</v>
      </c>
    </row>
    <row r="139" spans="1:21">
      <c r="A139" s="81" t="s">
        <v>469</v>
      </c>
      <c r="B139" s="81" t="s">
        <v>77</v>
      </c>
      <c r="C139" s="81" t="s">
        <v>399</v>
      </c>
      <c r="D139" s="81" t="s">
        <v>201</v>
      </c>
      <c r="E139" s="81" t="s">
        <v>435</v>
      </c>
      <c r="F139" s="81" t="s">
        <v>436</v>
      </c>
      <c r="G139" s="81" t="s">
        <v>239</v>
      </c>
      <c r="H139" s="81" t="s">
        <v>138</v>
      </c>
      <c r="I139" s="81" t="s">
        <v>138</v>
      </c>
      <c r="J139" s="81" t="s">
        <v>460</v>
      </c>
      <c r="K139" s="81" t="s">
        <v>365</v>
      </c>
      <c r="L139" s="81" t="s">
        <v>366</v>
      </c>
      <c r="M139" s="81" t="s">
        <v>367</v>
      </c>
      <c r="N139" s="81" t="s">
        <v>253</v>
      </c>
      <c r="O139" s="81" t="s">
        <v>423</v>
      </c>
      <c r="P139" s="81" t="s">
        <v>436</v>
      </c>
      <c r="Q139" s="81" t="s">
        <v>260</v>
      </c>
      <c r="R139" s="81" t="s">
        <v>453</v>
      </c>
      <c r="S139" s="81"/>
      <c r="T139" s="81"/>
      <c r="U139" s="81" t="s">
        <v>243</v>
      </c>
    </row>
    <row r="140" spans="1:21">
      <c r="A140" s="81" t="s">
        <v>470</v>
      </c>
      <c r="B140" s="81" t="s">
        <v>77</v>
      </c>
      <c r="C140" s="81" t="s">
        <v>399</v>
      </c>
      <c r="D140" s="81" t="s">
        <v>201</v>
      </c>
      <c r="E140" s="81" t="s">
        <v>435</v>
      </c>
      <c r="F140" s="81" t="s">
        <v>436</v>
      </c>
      <c r="G140" s="81" t="s">
        <v>267</v>
      </c>
      <c r="H140" s="81" t="s">
        <v>138</v>
      </c>
      <c r="I140" s="81" t="s">
        <v>138</v>
      </c>
      <c r="J140" s="81" t="s">
        <v>460</v>
      </c>
      <c r="K140" s="81" t="s">
        <v>365</v>
      </c>
      <c r="L140" s="81" t="s">
        <v>366</v>
      </c>
      <c r="M140" s="81" t="s">
        <v>367</v>
      </c>
      <c r="N140" s="81" t="s">
        <v>253</v>
      </c>
      <c r="O140" s="81" t="s">
        <v>423</v>
      </c>
      <c r="P140" s="81" t="s">
        <v>436</v>
      </c>
      <c r="Q140" s="81" t="s">
        <v>260</v>
      </c>
      <c r="R140" s="81" t="s">
        <v>453</v>
      </c>
      <c r="S140" s="81"/>
      <c r="T140" s="81"/>
      <c r="U140" s="81" t="s">
        <v>243</v>
      </c>
    </row>
    <row r="141" spans="1:21">
      <c r="A141" s="81" t="s">
        <v>471</v>
      </c>
      <c r="B141" s="81" t="s">
        <v>77</v>
      </c>
      <c r="C141" s="81" t="s">
        <v>399</v>
      </c>
      <c r="D141" s="81" t="s">
        <v>201</v>
      </c>
      <c r="E141" s="81" t="s">
        <v>435</v>
      </c>
      <c r="F141" s="81" t="s">
        <v>436</v>
      </c>
      <c r="G141" s="81" t="s">
        <v>267</v>
      </c>
      <c r="H141" s="81" t="s">
        <v>138</v>
      </c>
      <c r="I141" s="81" t="s">
        <v>138</v>
      </c>
      <c r="J141" s="81" t="s">
        <v>248</v>
      </c>
      <c r="K141" s="81" t="s">
        <v>365</v>
      </c>
      <c r="L141" s="81" t="s">
        <v>366</v>
      </c>
      <c r="M141" s="81" t="s">
        <v>367</v>
      </c>
      <c r="N141" s="81" t="s">
        <v>253</v>
      </c>
      <c r="O141" s="81" t="s">
        <v>423</v>
      </c>
      <c r="P141" s="81" t="s">
        <v>456</v>
      </c>
      <c r="Q141" s="81" t="s">
        <v>260</v>
      </c>
      <c r="R141" s="81" t="s">
        <v>453</v>
      </c>
      <c r="S141" s="81"/>
      <c r="T141" s="81"/>
      <c r="U141" s="81" t="s">
        <v>243</v>
      </c>
    </row>
    <row r="142" spans="1:21">
      <c r="A142" s="81" t="s">
        <v>472</v>
      </c>
      <c r="B142" s="81" t="s">
        <v>77</v>
      </c>
      <c r="C142" s="81" t="s">
        <v>399</v>
      </c>
      <c r="D142" s="81" t="s">
        <v>201</v>
      </c>
      <c r="E142" s="81" t="s">
        <v>435</v>
      </c>
      <c r="F142" s="81" t="s">
        <v>436</v>
      </c>
      <c r="G142" s="81" t="s">
        <v>267</v>
      </c>
      <c r="H142" s="81" t="s">
        <v>138</v>
      </c>
      <c r="I142" s="81" t="s">
        <v>138</v>
      </c>
      <c r="J142" s="81" t="s">
        <v>460</v>
      </c>
      <c r="K142" s="81" t="s">
        <v>365</v>
      </c>
      <c r="L142" s="81" t="s">
        <v>366</v>
      </c>
      <c r="M142" s="81" t="s">
        <v>367</v>
      </c>
      <c r="N142" s="81" t="s">
        <v>253</v>
      </c>
      <c r="O142" s="81" t="s">
        <v>423</v>
      </c>
      <c r="P142" s="81" t="s">
        <v>436</v>
      </c>
      <c r="Q142" s="81" t="s">
        <v>260</v>
      </c>
      <c r="R142" s="81" t="s">
        <v>453</v>
      </c>
      <c r="S142" s="81"/>
      <c r="T142" s="81"/>
      <c r="U142" s="81" t="s">
        <v>243</v>
      </c>
    </row>
    <row r="143" spans="1:21">
      <c r="A143" s="81" t="s">
        <v>473</v>
      </c>
      <c r="B143" s="81" t="s">
        <v>77</v>
      </c>
      <c r="C143" s="81" t="s">
        <v>399</v>
      </c>
      <c r="D143" s="81" t="s">
        <v>201</v>
      </c>
      <c r="E143" s="81" t="s">
        <v>435</v>
      </c>
      <c r="F143" s="81" t="s">
        <v>436</v>
      </c>
      <c r="G143" s="81" t="s">
        <v>267</v>
      </c>
      <c r="H143" s="81" t="s">
        <v>138</v>
      </c>
      <c r="I143" s="81" t="s">
        <v>138</v>
      </c>
      <c r="J143" s="81" t="s">
        <v>460</v>
      </c>
      <c r="K143" s="81" t="s">
        <v>365</v>
      </c>
      <c r="L143" s="81" t="s">
        <v>366</v>
      </c>
      <c r="M143" s="81" t="s">
        <v>367</v>
      </c>
      <c r="N143" s="81" t="s">
        <v>253</v>
      </c>
      <c r="O143" s="81" t="s">
        <v>423</v>
      </c>
      <c r="P143" s="81" t="s">
        <v>436</v>
      </c>
      <c r="Q143" s="81" t="s">
        <v>260</v>
      </c>
      <c r="R143" s="81" t="s">
        <v>453</v>
      </c>
      <c r="S143" s="81"/>
      <c r="T143" s="81"/>
      <c r="U143" s="81" t="s">
        <v>243</v>
      </c>
    </row>
    <row r="144" spans="1:21">
      <c r="A144" s="81" t="s">
        <v>474</v>
      </c>
      <c r="B144" s="81" t="s">
        <v>77</v>
      </c>
      <c r="C144" s="81" t="s">
        <v>399</v>
      </c>
      <c r="D144" s="81" t="s">
        <v>201</v>
      </c>
      <c r="E144" s="81" t="s">
        <v>435</v>
      </c>
      <c r="F144" s="81" t="s">
        <v>436</v>
      </c>
      <c r="G144" s="81" t="s">
        <v>475</v>
      </c>
      <c r="H144" s="81" t="s">
        <v>138</v>
      </c>
      <c r="I144" s="81" t="s">
        <v>138</v>
      </c>
      <c r="J144" s="81" t="s">
        <v>440</v>
      </c>
      <c r="K144" s="81" t="s">
        <v>365</v>
      </c>
      <c r="L144" s="81" t="s">
        <v>366</v>
      </c>
      <c r="M144" s="81" t="s">
        <v>367</v>
      </c>
      <c r="N144" s="81" t="s">
        <v>253</v>
      </c>
      <c r="O144" s="81" t="s">
        <v>423</v>
      </c>
      <c r="P144" s="81" t="s">
        <v>368</v>
      </c>
      <c r="Q144" s="81" t="s">
        <v>340</v>
      </c>
      <c r="R144" s="81" t="s">
        <v>453</v>
      </c>
      <c r="S144" s="81"/>
      <c r="T144" s="81"/>
      <c r="U144" s="81" t="s">
        <v>243</v>
      </c>
    </row>
    <row r="145" spans="1:21">
      <c r="A145" s="81" t="s">
        <v>476</v>
      </c>
      <c r="B145" s="81" t="s">
        <v>77</v>
      </c>
      <c r="C145" s="81" t="s">
        <v>399</v>
      </c>
      <c r="D145" s="81" t="s">
        <v>201</v>
      </c>
      <c r="E145" s="81" t="s">
        <v>435</v>
      </c>
      <c r="F145" s="81" t="s">
        <v>436</v>
      </c>
      <c r="G145" s="81" t="s">
        <v>475</v>
      </c>
      <c r="H145" s="81" t="s">
        <v>138</v>
      </c>
      <c r="I145" s="81" t="s">
        <v>138</v>
      </c>
      <c r="J145" s="81" t="s">
        <v>248</v>
      </c>
      <c r="K145" s="81" t="s">
        <v>365</v>
      </c>
      <c r="L145" s="81" t="s">
        <v>366</v>
      </c>
      <c r="M145" s="81" t="s">
        <v>367</v>
      </c>
      <c r="N145" s="81" t="s">
        <v>253</v>
      </c>
      <c r="O145" s="81" t="s">
        <v>423</v>
      </c>
      <c r="P145" s="81" t="s">
        <v>368</v>
      </c>
      <c r="Q145" s="81" t="s">
        <v>340</v>
      </c>
      <c r="R145" s="81" t="s">
        <v>453</v>
      </c>
      <c r="S145" s="81">
        <v>0</v>
      </c>
      <c r="T145" s="81">
        <v>2</v>
      </c>
      <c r="U145" s="81" t="s">
        <v>243</v>
      </c>
    </row>
    <row r="146" spans="1:21">
      <c r="A146" s="81" t="s">
        <v>477</v>
      </c>
      <c r="B146" s="81" t="s">
        <v>77</v>
      </c>
      <c r="C146" s="81" t="s">
        <v>399</v>
      </c>
      <c r="D146" s="81" t="s">
        <v>201</v>
      </c>
      <c r="E146" s="81" t="s">
        <v>435</v>
      </c>
      <c r="F146" s="81" t="s">
        <v>436</v>
      </c>
      <c r="G146" s="81" t="s">
        <v>475</v>
      </c>
      <c r="H146" s="81" t="s">
        <v>138</v>
      </c>
      <c r="I146" s="81" t="s">
        <v>138</v>
      </c>
      <c r="J146" s="81" t="s">
        <v>460</v>
      </c>
      <c r="K146" s="81" t="s">
        <v>365</v>
      </c>
      <c r="L146" s="81" t="s">
        <v>366</v>
      </c>
      <c r="M146" s="81" t="s">
        <v>367</v>
      </c>
      <c r="N146" s="81" t="s">
        <v>253</v>
      </c>
      <c r="O146" s="81" t="s">
        <v>423</v>
      </c>
      <c r="P146" s="81" t="s">
        <v>368</v>
      </c>
      <c r="Q146" s="81" t="s">
        <v>340</v>
      </c>
      <c r="R146" s="81" t="s">
        <v>453</v>
      </c>
      <c r="S146" s="81"/>
      <c r="T146" s="81"/>
      <c r="U146" s="81" t="s">
        <v>243</v>
      </c>
    </row>
    <row r="147" spans="1:21">
      <c r="A147" s="81" t="s">
        <v>478</v>
      </c>
      <c r="B147" s="81" t="s">
        <v>77</v>
      </c>
      <c r="C147" s="81" t="s">
        <v>399</v>
      </c>
      <c r="D147" s="81" t="s">
        <v>201</v>
      </c>
      <c r="E147" s="81" t="s">
        <v>435</v>
      </c>
      <c r="F147" s="81" t="s">
        <v>436</v>
      </c>
      <c r="G147" s="81" t="s">
        <v>417</v>
      </c>
      <c r="H147" s="81" t="s">
        <v>138</v>
      </c>
      <c r="I147" s="81" t="s">
        <v>138</v>
      </c>
      <c r="J147" s="81" t="s">
        <v>388</v>
      </c>
      <c r="K147" s="81" t="s">
        <v>365</v>
      </c>
      <c r="L147" s="81" t="s">
        <v>366</v>
      </c>
      <c r="M147" s="81" t="s">
        <v>367</v>
      </c>
      <c r="N147" s="81" t="s">
        <v>253</v>
      </c>
      <c r="O147" s="81" t="s">
        <v>423</v>
      </c>
      <c r="P147" s="81" t="s">
        <v>368</v>
      </c>
      <c r="Q147" s="81" t="s">
        <v>340</v>
      </c>
      <c r="R147" s="81" t="s">
        <v>453</v>
      </c>
      <c r="S147" s="81"/>
      <c r="T147" s="81"/>
      <c r="U147" s="81" t="s">
        <v>243</v>
      </c>
    </row>
    <row r="148" spans="1:21">
      <c r="A148" s="81" t="s">
        <v>479</v>
      </c>
      <c r="B148" s="81" t="s">
        <v>77</v>
      </c>
      <c r="C148" s="81" t="s">
        <v>399</v>
      </c>
      <c r="D148" s="81" t="s">
        <v>201</v>
      </c>
      <c r="E148" s="81" t="s">
        <v>435</v>
      </c>
      <c r="F148" s="81" t="s">
        <v>436</v>
      </c>
      <c r="G148" s="81" t="s">
        <v>480</v>
      </c>
      <c r="H148" s="81" t="s">
        <v>138</v>
      </c>
      <c r="I148" s="81" t="s">
        <v>138</v>
      </c>
      <c r="J148" s="81" t="s">
        <v>251</v>
      </c>
      <c r="K148" s="81" t="s">
        <v>365</v>
      </c>
      <c r="L148" s="81" t="s">
        <v>366</v>
      </c>
      <c r="M148" s="81" t="s">
        <v>367</v>
      </c>
      <c r="N148" s="81" t="s">
        <v>253</v>
      </c>
      <c r="O148" s="81" t="s">
        <v>414</v>
      </c>
      <c r="P148" s="81" t="s">
        <v>436</v>
      </c>
      <c r="Q148" s="81" t="s">
        <v>260</v>
      </c>
      <c r="R148" s="81" t="s">
        <v>453</v>
      </c>
      <c r="S148" s="81"/>
      <c r="T148" s="81"/>
      <c r="U148" s="81" t="s">
        <v>243</v>
      </c>
    </row>
    <row r="149" spans="1:21">
      <c r="A149" s="81" t="s">
        <v>481</v>
      </c>
      <c r="B149" s="81" t="s">
        <v>77</v>
      </c>
      <c r="C149" s="81" t="s">
        <v>399</v>
      </c>
      <c r="D149" s="81" t="s">
        <v>201</v>
      </c>
      <c r="E149" s="81" t="s">
        <v>435</v>
      </c>
      <c r="F149" s="81" t="s">
        <v>436</v>
      </c>
      <c r="G149" s="81" t="s">
        <v>460</v>
      </c>
      <c r="H149" s="81" t="s">
        <v>138</v>
      </c>
      <c r="I149" s="81" t="s">
        <v>138</v>
      </c>
      <c r="J149" s="81" t="s">
        <v>274</v>
      </c>
      <c r="K149" s="81" t="s">
        <v>365</v>
      </c>
      <c r="L149" s="81" t="s">
        <v>366</v>
      </c>
      <c r="M149" s="81" t="s">
        <v>367</v>
      </c>
      <c r="N149" s="81" t="s">
        <v>253</v>
      </c>
      <c r="O149" s="81" t="s">
        <v>414</v>
      </c>
      <c r="P149" s="81" t="s">
        <v>436</v>
      </c>
      <c r="Q149" s="81" t="s">
        <v>260</v>
      </c>
      <c r="R149" s="81" t="s">
        <v>453</v>
      </c>
      <c r="S149" s="81"/>
      <c r="T149" s="81"/>
      <c r="U149" s="81" t="s">
        <v>243</v>
      </c>
    </row>
    <row r="150" spans="1:21">
      <c r="A150" s="81" t="s">
        <v>482</v>
      </c>
      <c r="B150" s="81" t="s">
        <v>77</v>
      </c>
      <c r="C150" s="81" t="s">
        <v>399</v>
      </c>
      <c r="D150" s="81" t="s">
        <v>203</v>
      </c>
      <c r="E150" s="81" t="s">
        <v>483</v>
      </c>
      <c r="F150" s="81" t="s">
        <v>484</v>
      </c>
      <c r="G150" s="81" t="s">
        <v>336</v>
      </c>
      <c r="H150" s="81" t="s">
        <v>138</v>
      </c>
      <c r="I150" s="81" t="s">
        <v>138</v>
      </c>
      <c r="J150" s="81"/>
      <c r="K150" s="81"/>
      <c r="L150" s="81" t="s">
        <v>138</v>
      </c>
      <c r="M150" s="81"/>
      <c r="N150" s="81"/>
      <c r="O150" s="81"/>
      <c r="P150" s="81" t="s">
        <v>368</v>
      </c>
      <c r="Q150" s="81" t="s">
        <v>340</v>
      </c>
      <c r="R150" s="81" t="s">
        <v>485</v>
      </c>
      <c r="S150" s="81"/>
      <c r="T150" s="81"/>
      <c r="U150" s="81" t="s">
        <v>243</v>
      </c>
    </row>
    <row r="151" spans="1:21">
      <c r="A151" s="81" t="s">
        <v>486</v>
      </c>
      <c r="B151" s="81" t="s">
        <v>77</v>
      </c>
      <c r="C151" s="81" t="s">
        <v>399</v>
      </c>
      <c r="D151" s="81" t="s">
        <v>203</v>
      </c>
      <c r="E151" s="81" t="s">
        <v>483</v>
      </c>
      <c r="F151" s="81" t="s">
        <v>484</v>
      </c>
      <c r="G151" s="81" t="s">
        <v>336</v>
      </c>
      <c r="H151" s="81" t="s">
        <v>138</v>
      </c>
      <c r="I151" s="81" t="s">
        <v>138</v>
      </c>
      <c r="J151" s="81"/>
      <c r="K151" s="81"/>
      <c r="L151" s="81" t="s">
        <v>138</v>
      </c>
      <c r="M151" s="81"/>
      <c r="N151" s="81"/>
      <c r="O151" s="81"/>
      <c r="P151" s="81" t="s">
        <v>368</v>
      </c>
      <c r="Q151" s="81" t="s">
        <v>340</v>
      </c>
      <c r="R151" s="81" t="s">
        <v>485</v>
      </c>
      <c r="S151" s="81"/>
      <c r="T151" s="81"/>
      <c r="U151" s="81" t="s">
        <v>243</v>
      </c>
    </row>
    <row r="152" spans="1:21">
      <c r="A152" s="81" t="s">
        <v>487</v>
      </c>
      <c r="B152" s="81" t="s">
        <v>77</v>
      </c>
      <c r="C152" s="81" t="s">
        <v>399</v>
      </c>
      <c r="D152" s="81" t="s">
        <v>201</v>
      </c>
      <c r="E152" s="81" t="s">
        <v>488</v>
      </c>
      <c r="F152" s="81" t="s">
        <v>489</v>
      </c>
      <c r="G152" s="81" t="s">
        <v>274</v>
      </c>
      <c r="H152" s="81" t="s">
        <v>138</v>
      </c>
      <c r="I152" s="81" t="s">
        <v>138</v>
      </c>
      <c r="J152" s="81" t="s">
        <v>402</v>
      </c>
      <c r="K152" s="81" t="s">
        <v>365</v>
      </c>
      <c r="L152" s="81" t="s">
        <v>366</v>
      </c>
      <c r="M152" s="81" t="s">
        <v>367</v>
      </c>
      <c r="N152" s="81" t="s">
        <v>253</v>
      </c>
      <c r="O152" s="81" t="s">
        <v>423</v>
      </c>
      <c r="P152" s="81" t="s">
        <v>456</v>
      </c>
      <c r="Q152" s="81" t="s">
        <v>260</v>
      </c>
      <c r="R152" s="81" t="s">
        <v>485</v>
      </c>
      <c r="S152" s="81">
        <v>0</v>
      </c>
      <c r="T152" s="81">
        <v>2</v>
      </c>
      <c r="U152" s="81" t="s">
        <v>243</v>
      </c>
    </row>
    <row r="153" spans="1:21">
      <c r="A153" s="81" t="s">
        <v>490</v>
      </c>
      <c r="B153" s="81" t="s">
        <v>77</v>
      </c>
      <c r="C153" s="81" t="s">
        <v>399</v>
      </c>
      <c r="D153" s="81" t="s">
        <v>201</v>
      </c>
      <c r="E153" s="81" t="s">
        <v>488</v>
      </c>
      <c r="F153" s="81" t="s">
        <v>489</v>
      </c>
      <c r="G153" s="81" t="s">
        <v>274</v>
      </c>
      <c r="H153" s="81" t="s">
        <v>138</v>
      </c>
      <c r="I153" s="81" t="s">
        <v>138</v>
      </c>
      <c r="J153" s="81" t="s">
        <v>248</v>
      </c>
      <c r="K153" s="81" t="s">
        <v>365</v>
      </c>
      <c r="L153" s="81" t="s">
        <v>366</v>
      </c>
      <c r="M153" s="81" t="s">
        <v>367</v>
      </c>
      <c r="N153" s="81" t="s">
        <v>253</v>
      </c>
      <c r="O153" s="81" t="s">
        <v>423</v>
      </c>
      <c r="P153" s="81" t="s">
        <v>368</v>
      </c>
      <c r="Q153" s="81" t="s">
        <v>340</v>
      </c>
      <c r="R153" s="81" t="s">
        <v>485</v>
      </c>
      <c r="S153" s="81">
        <v>0</v>
      </c>
      <c r="T153" s="81">
        <v>2</v>
      </c>
      <c r="U153" s="81" t="s">
        <v>243</v>
      </c>
    </row>
    <row r="154" spans="1:21">
      <c r="A154" s="81" t="s">
        <v>491</v>
      </c>
      <c r="B154" s="81" t="s">
        <v>77</v>
      </c>
      <c r="C154" s="81" t="s">
        <v>399</v>
      </c>
      <c r="D154" s="81" t="s">
        <v>203</v>
      </c>
      <c r="E154" s="81" t="s">
        <v>362</v>
      </c>
      <c r="F154" s="81" t="s">
        <v>363</v>
      </c>
      <c r="G154" s="81" t="s">
        <v>430</v>
      </c>
      <c r="H154" s="81" t="s">
        <v>138</v>
      </c>
      <c r="I154" s="81" t="s">
        <v>138</v>
      </c>
      <c r="J154" s="81" t="s">
        <v>492</v>
      </c>
      <c r="K154" s="81" t="s">
        <v>365</v>
      </c>
      <c r="L154" s="81" t="s">
        <v>366</v>
      </c>
      <c r="M154" s="81" t="s">
        <v>493</v>
      </c>
      <c r="N154" s="81" t="s">
        <v>253</v>
      </c>
      <c r="O154" s="81" t="s">
        <v>423</v>
      </c>
      <c r="P154" s="81" t="s">
        <v>368</v>
      </c>
      <c r="Q154" s="81" t="s">
        <v>340</v>
      </c>
      <c r="R154" s="81" t="s">
        <v>485</v>
      </c>
      <c r="S154" s="81">
        <v>2.4</v>
      </c>
      <c r="T154" s="81">
        <v>22</v>
      </c>
      <c r="U154" s="81" t="s">
        <v>243</v>
      </c>
    </row>
    <row r="155" spans="1:21">
      <c r="A155" s="81" t="s">
        <v>494</v>
      </c>
      <c r="B155" s="81" t="s">
        <v>77</v>
      </c>
      <c r="C155" s="81" t="s">
        <v>399</v>
      </c>
      <c r="D155" s="81" t="s">
        <v>203</v>
      </c>
      <c r="E155" s="81" t="s">
        <v>362</v>
      </c>
      <c r="F155" s="81" t="s">
        <v>363</v>
      </c>
      <c r="G155" s="81" t="s">
        <v>419</v>
      </c>
      <c r="H155" s="81" t="s">
        <v>138</v>
      </c>
      <c r="I155" s="81" t="s">
        <v>138</v>
      </c>
      <c r="J155" s="81" t="s">
        <v>492</v>
      </c>
      <c r="K155" s="81" t="s">
        <v>365</v>
      </c>
      <c r="L155" s="81" t="s">
        <v>366</v>
      </c>
      <c r="M155" s="81" t="s">
        <v>493</v>
      </c>
      <c r="N155" s="81" t="s">
        <v>253</v>
      </c>
      <c r="O155" s="81" t="s">
        <v>423</v>
      </c>
      <c r="P155" s="81" t="s">
        <v>368</v>
      </c>
      <c r="Q155" s="81" t="s">
        <v>340</v>
      </c>
      <c r="R155" s="81" t="s">
        <v>485</v>
      </c>
      <c r="S155" s="81">
        <v>2.4</v>
      </c>
      <c r="T155" s="81">
        <v>22</v>
      </c>
      <c r="U155" s="81" t="s">
        <v>243</v>
      </c>
    </row>
    <row r="156" spans="1:21">
      <c r="A156" s="81" t="s">
        <v>495</v>
      </c>
      <c r="B156" s="81" t="s">
        <v>77</v>
      </c>
      <c r="C156" s="81" t="s">
        <v>399</v>
      </c>
      <c r="D156" s="81" t="s">
        <v>85</v>
      </c>
      <c r="E156" s="81" t="s">
        <v>93</v>
      </c>
      <c r="F156" s="81" t="s">
        <v>237</v>
      </c>
      <c r="G156" s="81" t="s">
        <v>419</v>
      </c>
      <c r="H156" s="81" t="s">
        <v>138</v>
      </c>
      <c r="I156" s="81" t="s">
        <v>138</v>
      </c>
      <c r="J156" s="81" t="s">
        <v>256</v>
      </c>
      <c r="K156" s="81" t="s">
        <v>117</v>
      </c>
      <c r="L156" s="81" t="s">
        <v>117</v>
      </c>
      <c r="M156" s="81" t="s">
        <v>394</v>
      </c>
      <c r="N156" s="81" t="s">
        <v>253</v>
      </c>
      <c r="O156" s="81" t="s">
        <v>338</v>
      </c>
      <c r="P156" s="81" t="s">
        <v>339</v>
      </c>
      <c r="Q156" s="81" t="s">
        <v>340</v>
      </c>
      <c r="R156" s="81" t="s">
        <v>485</v>
      </c>
      <c r="S156" s="81">
        <v>0</v>
      </c>
      <c r="T156" s="81">
        <v>2</v>
      </c>
      <c r="U156" s="81" t="s">
        <v>243</v>
      </c>
    </row>
    <row r="157" spans="1:21">
      <c r="A157" s="81" t="s">
        <v>496</v>
      </c>
      <c r="B157" s="81" t="s">
        <v>77</v>
      </c>
      <c r="C157" s="81" t="s">
        <v>399</v>
      </c>
      <c r="D157" s="81" t="s">
        <v>85</v>
      </c>
      <c r="E157" s="81" t="s">
        <v>93</v>
      </c>
      <c r="F157" s="81" t="s">
        <v>237</v>
      </c>
      <c r="G157" s="81" t="s">
        <v>419</v>
      </c>
      <c r="H157" s="81" t="s">
        <v>138</v>
      </c>
      <c r="I157" s="81" t="s">
        <v>138</v>
      </c>
      <c r="J157" s="81" t="s">
        <v>497</v>
      </c>
      <c r="K157" s="81" t="s">
        <v>117</v>
      </c>
      <c r="L157" s="81" t="s">
        <v>117</v>
      </c>
      <c r="M157" s="81" t="s">
        <v>337</v>
      </c>
      <c r="N157" s="81" t="s">
        <v>253</v>
      </c>
      <c r="O157" s="81" t="s">
        <v>338</v>
      </c>
      <c r="P157" s="81" t="s">
        <v>339</v>
      </c>
      <c r="Q157" s="81" t="s">
        <v>340</v>
      </c>
      <c r="R157" s="81" t="s">
        <v>485</v>
      </c>
      <c r="S157" s="81"/>
      <c r="T157" s="81"/>
      <c r="U157" s="81" t="s">
        <v>243</v>
      </c>
    </row>
    <row r="158" spans="1:21">
      <c r="A158" s="81" t="s">
        <v>498</v>
      </c>
      <c r="B158" s="81" t="s">
        <v>77</v>
      </c>
      <c r="C158" s="81" t="s">
        <v>399</v>
      </c>
      <c r="D158" s="81" t="s">
        <v>203</v>
      </c>
      <c r="E158" s="81" t="s">
        <v>362</v>
      </c>
      <c r="F158" s="81" t="s">
        <v>363</v>
      </c>
      <c r="G158" s="81" t="s">
        <v>364</v>
      </c>
      <c r="H158" s="81" t="s">
        <v>138</v>
      </c>
      <c r="I158" s="81" t="s">
        <v>138</v>
      </c>
      <c r="J158" s="81" t="s">
        <v>499</v>
      </c>
      <c r="K158" s="81" t="s">
        <v>365</v>
      </c>
      <c r="L158" s="81" t="s">
        <v>366</v>
      </c>
      <c r="M158" s="81" t="s">
        <v>500</v>
      </c>
      <c r="N158" s="81" t="s">
        <v>253</v>
      </c>
      <c r="O158" s="81" t="s">
        <v>414</v>
      </c>
      <c r="P158" s="81" t="s">
        <v>368</v>
      </c>
      <c r="Q158" s="81" t="s">
        <v>340</v>
      </c>
      <c r="R158" s="81" t="s">
        <v>501</v>
      </c>
      <c r="S158" s="81"/>
      <c r="T158" s="81"/>
      <c r="U158" s="81" t="s">
        <v>243</v>
      </c>
    </row>
    <row r="159" spans="1:21">
      <c r="A159" s="81" t="s">
        <v>502</v>
      </c>
      <c r="B159" s="81" t="s">
        <v>77</v>
      </c>
      <c r="C159" s="81" t="s">
        <v>399</v>
      </c>
      <c r="D159" s="81" t="s">
        <v>203</v>
      </c>
      <c r="E159" s="81" t="s">
        <v>362</v>
      </c>
      <c r="F159" s="81" t="s">
        <v>363</v>
      </c>
      <c r="G159" s="81" t="s">
        <v>417</v>
      </c>
      <c r="H159" s="81" t="s">
        <v>138</v>
      </c>
      <c r="I159" s="81" t="s">
        <v>138</v>
      </c>
      <c r="J159" s="81" t="s">
        <v>275</v>
      </c>
      <c r="K159" s="81" t="s">
        <v>365</v>
      </c>
      <c r="L159" s="81" t="s">
        <v>366</v>
      </c>
      <c r="M159" s="81" t="s">
        <v>367</v>
      </c>
      <c r="N159" s="81" t="s">
        <v>253</v>
      </c>
      <c r="O159" s="81" t="s">
        <v>423</v>
      </c>
      <c r="P159" s="81" t="s">
        <v>368</v>
      </c>
      <c r="Q159" s="81" t="s">
        <v>340</v>
      </c>
      <c r="R159" s="81" t="s">
        <v>501</v>
      </c>
      <c r="S159" s="81"/>
      <c r="T159" s="81"/>
      <c r="U159" s="81" t="s">
        <v>243</v>
      </c>
    </row>
    <row r="160" spans="1:21">
      <c r="A160" s="81" t="s">
        <v>503</v>
      </c>
      <c r="B160" s="81" t="s">
        <v>77</v>
      </c>
      <c r="C160" s="81" t="s">
        <v>399</v>
      </c>
      <c r="D160" s="81" t="s">
        <v>203</v>
      </c>
      <c r="E160" s="81" t="s">
        <v>362</v>
      </c>
      <c r="F160" s="81" t="s">
        <v>363</v>
      </c>
      <c r="G160" s="81" t="s">
        <v>238</v>
      </c>
      <c r="H160" s="81" t="s">
        <v>138</v>
      </c>
      <c r="I160" s="81" t="s">
        <v>138</v>
      </c>
      <c r="J160" s="81" t="s">
        <v>248</v>
      </c>
      <c r="K160" s="81" t="s">
        <v>365</v>
      </c>
      <c r="L160" s="81" t="s">
        <v>366</v>
      </c>
      <c r="M160" s="81" t="s">
        <v>367</v>
      </c>
      <c r="N160" s="81" t="s">
        <v>253</v>
      </c>
      <c r="O160" s="81" t="s">
        <v>414</v>
      </c>
      <c r="P160" s="81" t="s">
        <v>368</v>
      </c>
      <c r="Q160" s="81" t="s">
        <v>340</v>
      </c>
      <c r="R160" s="81" t="s">
        <v>501</v>
      </c>
      <c r="S160" s="81"/>
      <c r="T160" s="81"/>
      <c r="U160" s="81" t="s">
        <v>243</v>
      </c>
    </row>
    <row r="161" spans="1:21">
      <c r="A161" s="81" t="s">
        <v>504</v>
      </c>
      <c r="B161" s="81" t="s">
        <v>77</v>
      </c>
      <c r="C161" s="81" t="s">
        <v>399</v>
      </c>
      <c r="D161" s="81" t="s">
        <v>203</v>
      </c>
      <c r="E161" s="81" t="s">
        <v>362</v>
      </c>
      <c r="F161" s="81" t="s">
        <v>363</v>
      </c>
      <c r="G161" s="81" t="s">
        <v>238</v>
      </c>
      <c r="H161" s="81" t="s">
        <v>138</v>
      </c>
      <c r="I161" s="81" t="s">
        <v>138</v>
      </c>
      <c r="J161" s="81" t="s">
        <v>248</v>
      </c>
      <c r="K161" s="81" t="s">
        <v>365</v>
      </c>
      <c r="L161" s="81" t="s">
        <v>366</v>
      </c>
      <c r="M161" s="81" t="s">
        <v>367</v>
      </c>
      <c r="N161" s="81" t="s">
        <v>253</v>
      </c>
      <c r="O161" s="81" t="s">
        <v>414</v>
      </c>
      <c r="P161" s="81" t="s">
        <v>368</v>
      </c>
      <c r="Q161" s="81" t="s">
        <v>340</v>
      </c>
      <c r="R161" s="81" t="s">
        <v>501</v>
      </c>
      <c r="S161" s="81"/>
      <c r="T161" s="81"/>
      <c r="U161" s="81" t="s">
        <v>243</v>
      </c>
    </row>
    <row r="162" spans="1:21">
      <c r="A162" s="81" t="s">
        <v>505</v>
      </c>
      <c r="B162" s="81" t="s">
        <v>77</v>
      </c>
      <c r="C162" s="81" t="s">
        <v>399</v>
      </c>
      <c r="D162" s="81" t="s">
        <v>203</v>
      </c>
      <c r="E162" s="81" t="s">
        <v>362</v>
      </c>
      <c r="F162" s="81" t="s">
        <v>363</v>
      </c>
      <c r="G162" s="81" t="s">
        <v>238</v>
      </c>
      <c r="H162" s="81" t="s">
        <v>138</v>
      </c>
      <c r="I162" s="81" t="s">
        <v>138</v>
      </c>
      <c r="J162" s="81" t="s">
        <v>497</v>
      </c>
      <c r="K162" s="81" t="s">
        <v>365</v>
      </c>
      <c r="L162" s="81" t="s">
        <v>366</v>
      </c>
      <c r="M162" s="81" t="s">
        <v>506</v>
      </c>
      <c r="N162" s="81" t="s">
        <v>253</v>
      </c>
      <c r="O162" s="81" t="s">
        <v>414</v>
      </c>
      <c r="P162" s="81" t="s">
        <v>368</v>
      </c>
      <c r="Q162" s="81" t="s">
        <v>340</v>
      </c>
      <c r="R162" s="81" t="s">
        <v>501</v>
      </c>
      <c r="S162" s="81"/>
      <c r="T162" s="81"/>
      <c r="U162" s="81" t="s">
        <v>243</v>
      </c>
    </row>
    <row r="163" spans="1:21">
      <c r="A163" s="81" t="s">
        <v>507</v>
      </c>
      <c r="B163" s="81" t="s">
        <v>77</v>
      </c>
      <c r="C163" s="81" t="s">
        <v>399</v>
      </c>
      <c r="D163" s="81" t="s">
        <v>203</v>
      </c>
      <c r="E163" s="81" t="s">
        <v>362</v>
      </c>
      <c r="F163" s="81" t="s">
        <v>363</v>
      </c>
      <c r="G163" s="81" t="s">
        <v>239</v>
      </c>
      <c r="H163" s="81" t="s">
        <v>138</v>
      </c>
      <c r="I163" s="81" t="s">
        <v>138</v>
      </c>
      <c r="J163" s="81" t="s">
        <v>248</v>
      </c>
      <c r="K163" s="81" t="s">
        <v>365</v>
      </c>
      <c r="L163" s="81" t="s">
        <v>366</v>
      </c>
      <c r="M163" s="81" t="s">
        <v>367</v>
      </c>
      <c r="N163" s="81" t="s">
        <v>253</v>
      </c>
      <c r="O163" s="81" t="s">
        <v>414</v>
      </c>
      <c r="P163" s="81" t="s">
        <v>368</v>
      </c>
      <c r="Q163" s="81" t="s">
        <v>340</v>
      </c>
      <c r="R163" s="81" t="s">
        <v>501</v>
      </c>
      <c r="S163" s="81"/>
      <c r="T163" s="81"/>
      <c r="U163" s="81" t="s">
        <v>243</v>
      </c>
    </row>
    <row r="164" spans="1:21">
      <c r="A164" s="81" t="s">
        <v>508</v>
      </c>
      <c r="B164" s="81" t="s">
        <v>77</v>
      </c>
      <c r="C164" s="81" t="s">
        <v>399</v>
      </c>
      <c r="D164" s="81" t="s">
        <v>203</v>
      </c>
      <c r="E164" s="81" t="s">
        <v>362</v>
      </c>
      <c r="F164" s="81" t="s">
        <v>363</v>
      </c>
      <c r="G164" s="81" t="s">
        <v>239</v>
      </c>
      <c r="H164" s="81" t="s">
        <v>138</v>
      </c>
      <c r="I164" s="81" t="s">
        <v>138</v>
      </c>
      <c r="J164" s="81" t="s">
        <v>497</v>
      </c>
      <c r="K164" s="81" t="s">
        <v>365</v>
      </c>
      <c r="L164" s="81" t="s">
        <v>366</v>
      </c>
      <c r="M164" s="81" t="s">
        <v>506</v>
      </c>
      <c r="N164" s="81" t="s">
        <v>253</v>
      </c>
      <c r="O164" s="81" t="s">
        <v>414</v>
      </c>
      <c r="P164" s="81" t="s">
        <v>368</v>
      </c>
      <c r="Q164" s="81" t="s">
        <v>340</v>
      </c>
      <c r="R164" s="81" t="s">
        <v>501</v>
      </c>
      <c r="S164" s="81"/>
      <c r="T164" s="81"/>
      <c r="U164" s="81" t="s">
        <v>243</v>
      </c>
    </row>
    <row r="165" spans="1:21">
      <c r="A165" s="81" t="s">
        <v>509</v>
      </c>
      <c r="B165" s="81" t="s">
        <v>77</v>
      </c>
      <c r="C165" s="81" t="s">
        <v>399</v>
      </c>
      <c r="D165" s="81" t="s">
        <v>203</v>
      </c>
      <c r="E165" s="81" t="s">
        <v>362</v>
      </c>
      <c r="F165" s="81" t="s">
        <v>363</v>
      </c>
      <c r="G165" s="81" t="s">
        <v>267</v>
      </c>
      <c r="H165" s="81" t="s">
        <v>138</v>
      </c>
      <c r="I165" s="81" t="s">
        <v>138</v>
      </c>
      <c r="J165" s="81" t="s">
        <v>497</v>
      </c>
      <c r="K165" s="81" t="s">
        <v>365</v>
      </c>
      <c r="L165" s="81" t="s">
        <v>366</v>
      </c>
      <c r="M165" s="81" t="s">
        <v>506</v>
      </c>
      <c r="N165" s="81" t="s">
        <v>253</v>
      </c>
      <c r="O165" s="81" t="s">
        <v>414</v>
      </c>
      <c r="P165" s="81" t="s">
        <v>368</v>
      </c>
      <c r="Q165" s="81" t="s">
        <v>340</v>
      </c>
      <c r="R165" s="81" t="s">
        <v>501</v>
      </c>
      <c r="S165" s="81">
        <v>0</v>
      </c>
      <c r="T165" s="81">
        <v>2</v>
      </c>
      <c r="U165" s="81" t="s">
        <v>243</v>
      </c>
    </row>
    <row r="166" spans="1:21">
      <c r="A166" s="81" t="s">
        <v>510</v>
      </c>
      <c r="B166" s="81" t="s">
        <v>77</v>
      </c>
      <c r="C166" s="81" t="s">
        <v>399</v>
      </c>
      <c r="D166" s="81" t="s">
        <v>203</v>
      </c>
      <c r="E166" s="81" t="s">
        <v>362</v>
      </c>
      <c r="F166" s="81" t="s">
        <v>363</v>
      </c>
      <c r="G166" s="81" t="s">
        <v>267</v>
      </c>
      <c r="H166" s="81" t="s">
        <v>138</v>
      </c>
      <c r="I166" s="81" t="s">
        <v>138</v>
      </c>
      <c r="J166" s="81" t="s">
        <v>497</v>
      </c>
      <c r="K166" s="81" t="s">
        <v>365</v>
      </c>
      <c r="L166" s="81" t="s">
        <v>366</v>
      </c>
      <c r="M166" s="81" t="s">
        <v>506</v>
      </c>
      <c r="N166" s="81" t="s">
        <v>253</v>
      </c>
      <c r="O166" s="81" t="s">
        <v>414</v>
      </c>
      <c r="P166" s="81" t="s">
        <v>368</v>
      </c>
      <c r="Q166" s="81" t="s">
        <v>340</v>
      </c>
      <c r="R166" s="81" t="s">
        <v>501</v>
      </c>
      <c r="S166" s="81">
        <v>0</v>
      </c>
      <c r="T166" s="81">
        <v>2</v>
      </c>
      <c r="U166" s="81" t="s">
        <v>243</v>
      </c>
    </row>
    <row r="167" spans="1:21">
      <c r="A167" s="81" t="s">
        <v>511</v>
      </c>
      <c r="B167" s="81" t="s">
        <v>77</v>
      </c>
      <c r="C167" s="81" t="s">
        <v>399</v>
      </c>
      <c r="D167" s="81" t="s">
        <v>203</v>
      </c>
      <c r="E167" s="81" t="s">
        <v>362</v>
      </c>
      <c r="F167" s="81" t="s">
        <v>363</v>
      </c>
      <c r="G167" s="81" t="s">
        <v>267</v>
      </c>
      <c r="H167" s="81" t="s">
        <v>138</v>
      </c>
      <c r="I167" s="81" t="s">
        <v>138</v>
      </c>
      <c r="J167" s="81" t="s">
        <v>248</v>
      </c>
      <c r="K167" s="81" t="s">
        <v>365</v>
      </c>
      <c r="L167" s="81" t="s">
        <v>366</v>
      </c>
      <c r="M167" s="81" t="s">
        <v>367</v>
      </c>
      <c r="N167" s="81" t="s">
        <v>253</v>
      </c>
      <c r="O167" s="81" t="s">
        <v>414</v>
      </c>
      <c r="P167" s="81" t="s">
        <v>368</v>
      </c>
      <c r="Q167" s="81" t="s">
        <v>340</v>
      </c>
      <c r="R167" s="81" t="s">
        <v>501</v>
      </c>
      <c r="S167" s="81">
        <v>10.3</v>
      </c>
      <c r="T167" s="81">
        <v>43.4</v>
      </c>
      <c r="U167" s="81" t="s">
        <v>243</v>
      </c>
    </row>
    <row r="168" spans="1:21">
      <c r="A168" s="81" t="s">
        <v>512</v>
      </c>
      <c r="B168" s="81" t="s">
        <v>77</v>
      </c>
      <c r="C168" s="81" t="s">
        <v>399</v>
      </c>
      <c r="D168" s="81" t="s">
        <v>203</v>
      </c>
      <c r="E168" s="81" t="s">
        <v>362</v>
      </c>
      <c r="F168" s="81" t="s">
        <v>363</v>
      </c>
      <c r="G168" s="81" t="s">
        <v>364</v>
      </c>
      <c r="H168" s="81" t="s">
        <v>138</v>
      </c>
      <c r="I168" s="81" t="s">
        <v>138</v>
      </c>
      <c r="J168" s="81" t="s">
        <v>248</v>
      </c>
      <c r="K168" s="81" t="s">
        <v>365</v>
      </c>
      <c r="L168" s="81" t="s">
        <v>366</v>
      </c>
      <c r="M168" s="81" t="s">
        <v>367</v>
      </c>
      <c r="N168" s="81" t="s">
        <v>253</v>
      </c>
      <c r="O168" s="81" t="s">
        <v>414</v>
      </c>
      <c r="P168" s="81" t="s">
        <v>513</v>
      </c>
      <c r="Q168" s="81" t="s">
        <v>340</v>
      </c>
      <c r="R168" s="81" t="s">
        <v>501</v>
      </c>
      <c r="S168" s="81"/>
      <c r="T168" s="81"/>
      <c r="U168" s="81" t="s">
        <v>243</v>
      </c>
    </row>
    <row r="169" spans="1:21">
      <c r="A169" s="81" t="s">
        <v>514</v>
      </c>
      <c r="B169" s="81" t="s">
        <v>77</v>
      </c>
      <c r="C169" s="81" t="s">
        <v>399</v>
      </c>
      <c r="D169" s="81" t="s">
        <v>203</v>
      </c>
      <c r="E169" s="81" t="s">
        <v>362</v>
      </c>
      <c r="F169" s="81" t="s">
        <v>363</v>
      </c>
      <c r="G169" s="81" t="s">
        <v>364</v>
      </c>
      <c r="H169" s="81" t="s">
        <v>138</v>
      </c>
      <c r="I169" s="81" t="s">
        <v>138</v>
      </c>
      <c r="J169" s="81" t="s">
        <v>248</v>
      </c>
      <c r="K169" s="81" t="s">
        <v>365</v>
      </c>
      <c r="L169" s="81" t="s">
        <v>366</v>
      </c>
      <c r="M169" s="81" t="s">
        <v>367</v>
      </c>
      <c r="N169" s="81" t="s">
        <v>253</v>
      </c>
      <c r="O169" s="81" t="s">
        <v>414</v>
      </c>
      <c r="P169" s="81" t="s">
        <v>513</v>
      </c>
      <c r="Q169" s="81" t="s">
        <v>340</v>
      </c>
      <c r="R169" s="81" t="s">
        <v>501</v>
      </c>
      <c r="S169" s="81"/>
      <c r="T169" s="81"/>
      <c r="U169" s="81" t="s">
        <v>243</v>
      </c>
    </row>
    <row r="170" spans="1:21">
      <c r="A170" s="81" t="s">
        <v>515</v>
      </c>
      <c r="B170" s="81" t="s">
        <v>77</v>
      </c>
      <c r="C170" s="81" t="s">
        <v>399</v>
      </c>
      <c r="D170" s="81" t="s">
        <v>203</v>
      </c>
      <c r="E170" s="81" t="s">
        <v>449</v>
      </c>
      <c r="F170" s="81" t="s">
        <v>450</v>
      </c>
      <c r="G170" s="81" t="s">
        <v>516</v>
      </c>
      <c r="H170" s="81" t="s">
        <v>138</v>
      </c>
      <c r="I170" s="81" t="s">
        <v>138</v>
      </c>
      <c r="J170" s="81"/>
      <c r="K170" s="81"/>
      <c r="L170" s="81" t="s">
        <v>138</v>
      </c>
      <c r="M170" s="81"/>
      <c r="N170" s="81"/>
      <c r="O170" s="81"/>
      <c r="P170" s="81" t="s">
        <v>368</v>
      </c>
      <c r="Q170" s="81" t="s">
        <v>340</v>
      </c>
      <c r="R170" s="81" t="s">
        <v>501</v>
      </c>
      <c r="S170" s="81">
        <v>0</v>
      </c>
      <c r="T170" s="81">
        <v>2</v>
      </c>
      <c r="U170" s="81" t="s">
        <v>243</v>
      </c>
    </row>
    <row r="171" spans="1:21">
      <c r="A171" s="81" t="s">
        <v>517</v>
      </c>
      <c r="B171" s="81" t="s">
        <v>77</v>
      </c>
      <c r="C171" s="81" t="s">
        <v>399</v>
      </c>
      <c r="D171" s="81" t="s">
        <v>203</v>
      </c>
      <c r="E171" s="81" t="s">
        <v>362</v>
      </c>
      <c r="F171" s="81" t="s">
        <v>363</v>
      </c>
      <c r="G171" s="81" t="s">
        <v>430</v>
      </c>
      <c r="H171" s="81" t="s">
        <v>138</v>
      </c>
      <c r="I171" s="81" t="s">
        <v>138</v>
      </c>
      <c r="J171" s="81" t="s">
        <v>248</v>
      </c>
      <c r="K171" s="81" t="s">
        <v>365</v>
      </c>
      <c r="L171" s="81" t="s">
        <v>366</v>
      </c>
      <c r="M171" s="81" t="s">
        <v>367</v>
      </c>
      <c r="N171" s="81" t="s">
        <v>253</v>
      </c>
      <c r="O171" s="81" t="s">
        <v>414</v>
      </c>
      <c r="P171" s="81" t="s">
        <v>368</v>
      </c>
      <c r="Q171" s="81" t="s">
        <v>340</v>
      </c>
      <c r="R171" s="81" t="s">
        <v>501</v>
      </c>
      <c r="S171" s="81"/>
      <c r="T171" s="81"/>
      <c r="U171" s="81" t="s">
        <v>243</v>
      </c>
    </row>
    <row r="172" spans="1:21">
      <c r="A172" s="81" t="s">
        <v>518</v>
      </c>
      <c r="B172" s="81" t="s">
        <v>77</v>
      </c>
      <c r="C172" s="81" t="s">
        <v>399</v>
      </c>
      <c r="D172" s="81" t="s">
        <v>203</v>
      </c>
      <c r="E172" s="81" t="s">
        <v>362</v>
      </c>
      <c r="F172" s="81" t="s">
        <v>363</v>
      </c>
      <c r="G172" s="81" t="s">
        <v>405</v>
      </c>
      <c r="H172" s="81" t="s">
        <v>138</v>
      </c>
      <c r="I172" s="81" t="s">
        <v>138</v>
      </c>
      <c r="J172" s="81" t="s">
        <v>499</v>
      </c>
      <c r="K172" s="81" t="s">
        <v>365</v>
      </c>
      <c r="L172" s="81" t="s">
        <v>366</v>
      </c>
      <c r="M172" s="81" t="s">
        <v>500</v>
      </c>
      <c r="N172" s="81" t="s">
        <v>253</v>
      </c>
      <c r="O172" s="81" t="s">
        <v>414</v>
      </c>
      <c r="P172" s="81" t="s">
        <v>368</v>
      </c>
      <c r="Q172" s="81" t="s">
        <v>340</v>
      </c>
      <c r="R172" s="81" t="s">
        <v>501</v>
      </c>
      <c r="S172" s="81"/>
      <c r="T172" s="81"/>
      <c r="U172" s="81" t="s">
        <v>243</v>
      </c>
    </row>
    <row r="173" spans="1:21">
      <c r="A173" s="81" t="s">
        <v>519</v>
      </c>
      <c r="B173" s="81" t="s">
        <v>77</v>
      </c>
      <c r="C173" s="81" t="s">
        <v>399</v>
      </c>
      <c r="D173" s="81" t="s">
        <v>203</v>
      </c>
      <c r="E173" s="81" t="s">
        <v>362</v>
      </c>
      <c r="F173" s="81" t="s">
        <v>363</v>
      </c>
      <c r="G173" s="81" t="s">
        <v>405</v>
      </c>
      <c r="H173" s="81" t="s">
        <v>138</v>
      </c>
      <c r="I173" s="81" t="s">
        <v>138</v>
      </c>
      <c r="J173" s="81" t="s">
        <v>248</v>
      </c>
      <c r="K173" s="81" t="s">
        <v>365</v>
      </c>
      <c r="L173" s="81" t="s">
        <v>366</v>
      </c>
      <c r="M173" s="81" t="s">
        <v>367</v>
      </c>
      <c r="N173" s="81" t="s">
        <v>253</v>
      </c>
      <c r="O173" s="81" t="s">
        <v>414</v>
      </c>
      <c r="P173" s="81" t="s">
        <v>368</v>
      </c>
      <c r="Q173" s="81" t="s">
        <v>340</v>
      </c>
      <c r="R173" s="81" t="s">
        <v>501</v>
      </c>
      <c r="S173" s="81"/>
      <c r="T173" s="81"/>
      <c r="U173" s="81" t="s">
        <v>243</v>
      </c>
    </row>
    <row r="174" spans="1:21">
      <c r="A174" s="81" t="s">
        <v>520</v>
      </c>
      <c r="B174" s="81" t="s">
        <v>77</v>
      </c>
      <c r="C174" s="81" t="s">
        <v>399</v>
      </c>
      <c r="D174" s="81" t="s">
        <v>203</v>
      </c>
      <c r="E174" s="81" t="s">
        <v>362</v>
      </c>
      <c r="F174" s="81" t="s">
        <v>363</v>
      </c>
      <c r="G174" s="81" t="s">
        <v>413</v>
      </c>
      <c r="H174" s="81" t="s">
        <v>138</v>
      </c>
      <c r="I174" s="81" t="s">
        <v>138</v>
      </c>
      <c r="J174" s="81" t="s">
        <v>275</v>
      </c>
      <c r="K174" s="81" t="s">
        <v>365</v>
      </c>
      <c r="L174" s="81" t="s">
        <v>366</v>
      </c>
      <c r="M174" s="81" t="s">
        <v>367</v>
      </c>
      <c r="N174" s="81" t="s">
        <v>253</v>
      </c>
      <c r="O174" s="81" t="s">
        <v>423</v>
      </c>
      <c r="P174" s="81" t="s">
        <v>368</v>
      </c>
      <c r="Q174" s="81" t="s">
        <v>340</v>
      </c>
      <c r="R174" s="81" t="s">
        <v>501</v>
      </c>
      <c r="S174" s="81"/>
      <c r="T174" s="81"/>
      <c r="U174" s="81" t="s">
        <v>243</v>
      </c>
    </row>
    <row r="175" spans="1:21">
      <c r="A175" s="81" t="s">
        <v>521</v>
      </c>
      <c r="B175" s="81" t="s">
        <v>77</v>
      </c>
      <c r="C175" s="81" t="s">
        <v>399</v>
      </c>
      <c r="D175" s="81" t="s">
        <v>203</v>
      </c>
      <c r="E175" s="81" t="s">
        <v>362</v>
      </c>
      <c r="F175" s="81" t="s">
        <v>363</v>
      </c>
      <c r="G175" s="81" t="s">
        <v>442</v>
      </c>
      <c r="H175" s="81" t="s">
        <v>138</v>
      </c>
      <c r="I175" s="81" t="s">
        <v>138</v>
      </c>
      <c r="J175" s="81" t="s">
        <v>248</v>
      </c>
      <c r="K175" s="81" t="s">
        <v>365</v>
      </c>
      <c r="L175" s="81" t="s">
        <v>366</v>
      </c>
      <c r="M175" s="81" t="s">
        <v>367</v>
      </c>
      <c r="N175" s="81" t="s">
        <v>253</v>
      </c>
      <c r="O175" s="81" t="s">
        <v>414</v>
      </c>
      <c r="P175" s="81" t="s">
        <v>522</v>
      </c>
      <c r="Q175" s="81" t="s">
        <v>260</v>
      </c>
      <c r="R175" s="81" t="s">
        <v>501</v>
      </c>
      <c r="S175" s="81">
        <v>2</v>
      </c>
      <c r="T175" s="81">
        <v>1</v>
      </c>
      <c r="U175" s="81" t="s">
        <v>243</v>
      </c>
    </row>
    <row r="176" spans="1:21">
      <c r="A176" s="81" t="s">
        <v>523</v>
      </c>
      <c r="B176" s="81" t="s">
        <v>77</v>
      </c>
      <c r="C176" s="81" t="s">
        <v>399</v>
      </c>
      <c r="D176" s="81" t="s">
        <v>203</v>
      </c>
      <c r="E176" s="81" t="s">
        <v>362</v>
      </c>
      <c r="F176" s="81" t="s">
        <v>363</v>
      </c>
      <c r="G176" s="81" t="s">
        <v>437</v>
      </c>
      <c r="H176" s="81" t="s">
        <v>138</v>
      </c>
      <c r="I176" s="81" t="s">
        <v>138</v>
      </c>
      <c r="J176" s="81" t="s">
        <v>248</v>
      </c>
      <c r="K176" s="81" t="s">
        <v>365</v>
      </c>
      <c r="L176" s="81" t="s">
        <v>366</v>
      </c>
      <c r="M176" s="81" t="s">
        <v>367</v>
      </c>
      <c r="N176" s="81" t="s">
        <v>253</v>
      </c>
      <c r="O176" s="81" t="s">
        <v>414</v>
      </c>
      <c r="P176" s="81" t="s">
        <v>522</v>
      </c>
      <c r="Q176" s="81" t="s">
        <v>260</v>
      </c>
      <c r="R176" s="81" t="s">
        <v>501</v>
      </c>
      <c r="S176" s="81"/>
      <c r="T176" s="81"/>
      <c r="U176" s="81" t="s">
        <v>243</v>
      </c>
    </row>
    <row r="177" spans="1:21">
      <c r="A177" s="81" t="s">
        <v>524</v>
      </c>
      <c r="B177" s="81" t="s">
        <v>77</v>
      </c>
      <c r="C177" s="81" t="s">
        <v>399</v>
      </c>
      <c r="D177" s="81" t="s">
        <v>203</v>
      </c>
      <c r="E177" s="81" t="s">
        <v>449</v>
      </c>
      <c r="F177" s="81" t="s">
        <v>450</v>
      </c>
      <c r="G177" s="81" t="s">
        <v>460</v>
      </c>
      <c r="H177" s="81" t="s">
        <v>138</v>
      </c>
      <c r="I177" s="81" t="s">
        <v>138</v>
      </c>
      <c r="J177" s="81"/>
      <c r="K177" s="81"/>
      <c r="L177" s="81" t="s">
        <v>138</v>
      </c>
      <c r="M177" s="81"/>
      <c r="N177" s="81"/>
      <c r="O177" s="81"/>
      <c r="P177" s="81" t="s">
        <v>368</v>
      </c>
      <c r="Q177" s="81" t="s">
        <v>340</v>
      </c>
      <c r="R177" s="81" t="s">
        <v>501</v>
      </c>
      <c r="S177" s="81">
        <v>0</v>
      </c>
      <c r="T177" s="81">
        <v>2</v>
      </c>
      <c r="U177" s="81" t="s">
        <v>243</v>
      </c>
    </row>
    <row r="178" spans="1:21">
      <c r="A178" s="81" t="s">
        <v>525</v>
      </c>
      <c r="B178" s="81" t="s">
        <v>77</v>
      </c>
      <c r="C178" s="81" t="s">
        <v>399</v>
      </c>
      <c r="D178" s="81" t="s">
        <v>203</v>
      </c>
      <c r="E178" s="81" t="s">
        <v>362</v>
      </c>
      <c r="F178" s="81" t="s">
        <v>363</v>
      </c>
      <c r="G178" s="81" t="s">
        <v>419</v>
      </c>
      <c r="H178" s="81" t="s">
        <v>138</v>
      </c>
      <c r="I178" s="81" t="s">
        <v>138</v>
      </c>
      <c r="J178" s="81" t="s">
        <v>248</v>
      </c>
      <c r="K178" s="81" t="s">
        <v>365</v>
      </c>
      <c r="L178" s="81" t="s">
        <v>366</v>
      </c>
      <c r="M178" s="81" t="s">
        <v>367</v>
      </c>
      <c r="N178" s="81" t="s">
        <v>253</v>
      </c>
      <c r="O178" s="81" t="s">
        <v>414</v>
      </c>
      <c r="P178" s="81" t="s">
        <v>368</v>
      </c>
      <c r="Q178" s="81" t="s">
        <v>340</v>
      </c>
      <c r="R178" s="81" t="s">
        <v>501</v>
      </c>
      <c r="S178" s="81"/>
      <c r="T178" s="81"/>
      <c r="U178" s="81" t="s">
        <v>243</v>
      </c>
    </row>
    <row r="179" spans="1:21">
      <c r="A179" s="81" t="s">
        <v>526</v>
      </c>
      <c r="B179" s="81" t="s">
        <v>77</v>
      </c>
      <c r="C179" s="81" t="s">
        <v>399</v>
      </c>
      <c r="D179" s="81" t="s">
        <v>201</v>
      </c>
      <c r="E179" s="81" t="s">
        <v>435</v>
      </c>
      <c r="F179" s="81" t="s">
        <v>436</v>
      </c>
      <c r="G179" s="81" t="s">
        <v>251</v>
      </c>
      <c r="H179" s="81" t="s">
        <v>138</v>
      </c>
      <c r="I179" s="81" t="s">
        <v>138</v>
      </c>
      <c r="J179" s="81" t="s">
        <v>402</v>
      </c>
      <c r="K179" s="81" t="s">
        <v>365</v>
      </c>
      <c r="L179" s="81" t="s">
        <v>366</v>
      </c>
      <c r="M179" s="81" t="s">
        <v>367</v>
      </c>
      <c r="N179" s="81" t="s">
        <v>253</v>
      </c>
      <c r="O179" s="81" t="s">
        <v>414</v>
      </c>
      <c r="P179" s="81" t="s">
        <v>436</v>
      </c>
      <c r="Q179" s="81" t="s">
        <v>260</v>
      </c>
      <c r="R179" s="81" t="s">
        <v>527</v>
      </c>
      <c r="S179" s="81"/>
      <c r="T179" s="81"/>
      <c r="U179" s="81" t="s">
        <v>243</v>
      </c>
    </row>
    <row r="180" spans="1:21">
      <c r="A180" s="81" t="s">
        <v>528</v>
      </c>
      <c r="B180" s="81" t="s">
        <v>77</v>
      </c>
      <c r="C180" s="81" t="s">
        <v>399</v>
      </c>
      <c r="D180" s="81" t="s">
        <v>201</v>
      </c>
      <c r="E180" s="81" t="s">
        <v>435</v>
      </c>
      <c r="F180" s="81" t="s">
        <v>436</v>
      </c>
      <c r="G180" s="81" t="s">
        <v>251</v>
      </c>
      <c r="H180" s="81" t="s">
        <v>138</v>
      </c>
      <c r="I180" s="81" t="s">
        <v>138</v>
      </c>
      <c r="J180" s="81" t="s">
        <v>402</v>
      </c>
      <c r="K180" s="81" t="s">
        <v>365</v>
      </c>
      <c r="L180" s="81" t="s">
        <v>366</v>
      </c>
      <c r="M180" s="81" t="s">
        <v>367</v>
      </c>
      <c r="N180" s="81" t="s">
        <v>253</v>
      </c>
      <c r="O180" s="81" t="s">
        <v>414</v>
      </c>
      <c r="P180" s="81" t="s">
        <v>436</v>
      </c>
      <c r="Q180" s="81" t="s">
        <v>260</v>
      </c>
      <c r="R180" s="81" t="s">
        <v>527</v>
      </c>
      <c r="S180" s="81"/>
      <c r="T180" s="81"/>
      <c r="U180" s="81" t="s">
        <v>243</v>
      </c>
    </row>
    <row r="181" spans="1:21">
      <c r="A181" s="81" t="s">
        <v>529</v>
      </c>
      <c r="B181" s="81" t="s">
        <v>77</v>
      </c>
      <c r="C181" s="81" t="s">
        <v>399</v>
      </c>
      <c r="D181" s="81" t="s">
        <v>201</v>
      </c>
      <c r="E181" s="81" t="s">
        <v>435</v>
      </c>
      <c r="F181" s="81" t="s">
        <v>436</v>
      </c>
      <c r="G181" s="81" t="s">
        <v>251</v>
      </c>
      <c r="H181" s="81" t="s">
        <v>138</v>
      </c>
      <c r="I181" s="81" t="s">
        <v>138</v>
      </c>
      <c r="J181" s="81" t="s">
        <v>402</v>
      </c>
      <c r="K181" s="81" t="s">
        <v>365</v>
      </c>
      <c r="L181" s="81" t="s">
        <v>366</v>
      </c>
      <c r="M181" s="81" t="s">
        <v>367</v>
      </c>
      <c r="N181" s="81" t="s">
        <v>253</v>
      </c>
      <c r="O181" s="81" t="s">
        <v>414</v>
      </c>
      <c r="P181" s="81" t="s">
        <v>436</v>
      </c>
      <c r="Q181" s="81" t="s">
        <v>260</v>
      </c>
      <c r="R181" s="81" t="s">
        <v>527</v>
      </c>
      <c r="S181" s="81"/>
      <c r="T181" s="81"/>
      <c r="U181" s="81" t="s">
        <v>243</v>
      </c>
    </row>
    <row r="182" spans="1:21">
      <c r="A182" s="81" t="s">
        <v>530</v>
      </c>
      <c r="B182" s="81" t="s">
        <v>77</v>
      </c>
      <c r="C182" s="81" t="s">
        <v>399</v>
      </c>
      <c r="D182" s="81" t="s">
        <v>201</v>
      </c>
      <c r="E182" s="81" t="s">
        <v>435</v>
      </c>
      <c r="F182" s="81" t="s">
        <v>436</v>
      </c>
      <c r="G182" s="81" t="s">
        <v>251</v>
      </c>
      <c r="H182" s="81" t="s">
        <v>138</v>
      </c>
      <c r="I182" s="81" t="s">
        <v>138</v>
      </c>
      <c r="J182" s="81" t="s">
        <v>402</v>
      </c>
      <c r="K182" s="81" t="s">
        <v>365</v>
      </c>
      <c r="L182" s="81" t="s">
        <v>366</v>
      </c>
      <c r="M182" s="81" t="s">
        <v>367</v>
      </c>
      <c r="N182" s="81" t="s">
        <v>253</v>
      </c>
      <c r="O182" s="81" t="s">
        <v>414</v>
      </c>
      <c r="P182" s="81" t="s">
        <v>436</v>
      </c>
      <c r="Q182" s="81" t="s">
        <v>260</v>
      </c>
      <c r="R182" s="81" t="s">
        <v>527</v>
      </c>
      <c r="S182" s="81"/>
      <c r="T182" s="81"/>
      <c r="U182" s="81" t="s">
        <v>243</v>
      </c>
    </row>
    <row r="183" spans="1:21">
      <c r="A183" s="81" t="s">
        <v>531</v>
      </c>
      <c r="B183" s="81" t="s">
        <v>77</v>
      </c>
      <c r="C183" s="81" t="s">
        <v>399</v>
      </c>
      <c r="D183" s="81" t="s">
        <v>201</v>
      </c>
      <c r="E183" s="81" t="s">
        <v>435</v>
      </c>
      <c r="F183" s="81" t="s">
        <v>436</v>
      </c>
      <c r="G183" s="81" t="s">
        <v>251</v>
      </c>
      <c r="H183" s="81" t="s">
        <v>138</v>
      </c>
      <c r="I183" s="81" t="s">
        <v>138</v>
      </c>
      <c r="J183" s="81" t="s">
        <v>402</v>
      </c>
      <c r="K183" s="81" t="s">
        <v>365</v>
      </c>
      <c r="L183" s="81" t="s">
        <v>366</v>
      </c>
      <c r="M183" s="81" t="s">
        <v>367</v>
      </c>
      <c r="N183" s="81" t="s">
        <v>253</v>
      </c>
      <c r="O183" s="81" t="s">
        <v>414</v>
      </c>
      <c r="P183" s="81" t="s">
        <v>436</v>
      </c>
      <c r="Q183" s="81" t="s">
        <v>260</v>
      </c>
      <c r="R183" s="81" t="s">
        <v>527</v>
      </c>
      <c r="S183" s="81"/>
      <c r="T183" s="81"/>
      <c r="U183" s="81" t="s">
        <v>243</v>
      </c>
    </row>
    <row r="184" spans="1:21">
      <c r="A184" s="81" t="s">
        <v>532</v>
      </c>
      <c r="B184" s="81" t="s">
        <v>77</v>
      </c>
      <c r="C184" s="81" t="s">
        <v>399</v>
      </c>
      <c r="D184" s="81" t="s">
        <v>201</v>
      </c>
      <c r="E184" s="81" t="s">
        <v>435</v>
      </c>
      <c r="F184" s="81" t="s">
        <v>436</v>
      </c>
      <c r="G184" s="81" t="s">
        <v>251</v>
      </c>
      <c r="H184" s="81" t="s">
        <v>138</v>
      </c>
      <c r="I184" s="81" t="s">
        <v>138</v>
      </c>
      <c r="J184" s="81" t="s">
        <v>402</v>
      </c>
      <c r="K184" s="81" t="s">
        <v>365</v>
      </c>
      <c r="L184" s="81" t="s">
        <v>366</v>
      </c>
      <c r="M184" s="81" t="s">
        <v>367</v>
      </c>
      <c r="N184" s="81" t="s">
        <v>253</v>
      </c>
      <c r="O184" s="81" t="s">
        <v>414</v>
      </c>
      <c r="P184" s="81" t="s">
        <v>436</v>
      </c>
      <c r="Q184" s="81" t="s">
        <v>260</v>
      </c>
      <c r="R184" s="81" t="s">
        <v>527</v>
      </c>
      <c r="S184" s="81"/>
      <c r="T184" s="81"/>
      <c r="U184" s="81" t="s">
        <v>243</v>
      </c>
    </row>
    <row r="185" spans="1:21">
      <c r="A185" s="81" t="s">
        <v>533</v>
      </c>
      <c r="B185" s="81" t="s">
        <v>77</v>
      </c>
      <c r="C185" s="81" t="s">
        <v>399</v>
      </c>
      <c r="D185" s="81" t="s">
        <v>203</v>
      </c>
      <c r="E185" s="81" t="s">
        <v>362</v>
      </c>
      <c r="F185" s="81" t="s">
        <v>363</v>
      </c>
      <c r="G185" s="81" t="s">
        <v>274</v>
      </c>
      <c r="H185" s="81" t="s">
        <v>138</v>
      </c>
      <c r="I185" s="81" t="s">
        <v>138</v>
      </c>
      <c r="J185" s="81"/>
      <c r="K185" s="81"/>
      <c r="L185" s="81" t="s">
        <v>138</v>
      </c>
      <c r="M185" s="81"/>
      <c r="N185" s="81"/>
      <c r="O185" s="81"/>
      <c r="P185" s="81" t="s">
        <v>339</v>
      </c>
      <c r="Q185" s="81" t="s">
        <v>340</v>
      </c>
      <c r="R185" s="81" t="s">
        <v>527</v>
      </c>
      <c r="S185" s="81"/>
      <c r="T185" s="81"/>
      <c r="U185" s="81" t="s">
        <v>243</v>
      </c>
    </row>
    <row r="186" spans="1:21">
      <c r="A186" s="81" t="s">
        <v>534</v>
      </c>
      <c r="B186" s="81" t="s">
        <v>77</v>
      </c>
      <c r="C186" s="81" t="s">
        <v>399</v>
      </c>
      <c r="D186" s="81" t="s">
        <v>203</v>
      </c>
      <c r="E186" s="81" t="s">
        <v>362</v>
      </c>
      <c r="F186" s="81" t="s">
        <v>363</v>
      </c>
      <c r="G186" s="81" t="s">
        <v>274</v>
      </c>
      <c r="H186" s="81" t="s">
        <v>138</v>
      </c>
      <c r="I186" s="81" t="s">
        <v>138</v>
      </c>
      <c r="J186" s="81"/>
      <c r="K186" s="81"/>
      <c r="L186" s="81" t="s">
        <v>138</v>
      </c>
      <c r="M186" s="81"/>
      <c r="N186" s="81"/>
      <c r="O186" s="81"/>
      <c r="P186" s="81" t="s">
        <v>339</v>
      </c>
      <c r="Q186" s="81" t="s">
        <v>340</v>
      </c>
      <c r="R186" s="81" t="s">
        <v>527</v>
      </c>
      <c r="S186" s="81"/>
      <c r="T186" s="81"/>
      <c r="U186" s="81" t="s">
        <v>243</v>
      </c>
    </row>
    <row r="187" spans="1:21">
      <c r="A187" s="81" t="s">
        <v>535</v>
      </c>
      <c r="B187" s="81" t="s">
        <v>77</v>
      </c>
      <c r="C187" s="81" t="s">
        <v>399</v>
      </c>
      <c r="D187" s="81" t="s">
        <v>203</v>
      </c>
      <c r="E187" s="81" t="s">
        <v>362</v>
      </c>
      <c r="F187" s="81" t="s">
        <v>363</v>
      </c>
      <c r="G187" s="81" t="s">
        <v>274</v>
      </c>
      <c r="H187" s="81" t="s">
        <v>138</v>
      </c>
      <c r="I187" s="81" t="s">
        <v>138</v>
      </c>
      <c r="J187" s="81"/>
      <c r="K187" s="81"/>
      <c r="L187" s="81" t="s">
        <v>138</v>
      </c>
      <c r="M187" s="81"/>
      <c r="N187" s="81"/>
      <c r="O187" s="81"/>
      <c r="P187" s="81" t="s">
        <v>339</v>
      </c>
      <c r="Q187" s="81" t="s">
        <v>340</v>
      </c>
      <c r="R187" s="81" t="s">
        <v>527</v>
      </c>
      <c r="S187" s="81"/>
      <c r="T187" s="81"/>
      <c r="U187" s="81" t="s">
        <v>243</v>
      </c>
    </row>
    <row r="188" spans="1:21">
      <c r="A188" s="81" t="s">
        <v>536</v>
      </c>
      <c r="B188" s="81" t="s">
        <v>77</v>
      </c>
      <c r="C188" s="81" t="s">
        <v>399</v>
      </c>
      <c r="D188" s="81" t="s">
        <v>203</v>
      </c>
      <c r="E188" s="81" t="s">
        <v>362</v>
      </c>
      <c r="F188" s="81" t="s">
        <v>363</v>
      </c>
      <c r="G188" s="81" t="s">
        <v>274</v>
      </c>
      <c r="H188" s="81" t="s">
        <v>138</v>
      </c>
      <c r="I188" s="81" t="s">
        <v>138</v>
      </c>
      <c r="J188" s="81"/>
      <c r="K188" s="81"/>
      <c r="L188" s="81" t="s">
        <v>138</v>
      </c>
      <c r="M188" s="81"/>
      <c r="N188" s="81"/>
      <c r="O188" s="81"/>
      <c r="P188" s="81" t="s">
        <v>339</v>
      </c>
      <c r="Q188" s="81" t="s">
        <v>340</v>
      </c>
      <c r="R188" s="81" t="s">
        <v>527</v>
      </c>
      <c r="S188" s="81"/>
      <c r="T188" s="81"/>
      <c r="U188" s="81" t="s">
        <v>243</v>
      </c>
    </row>
    <row r="189" spans="1:21">
      <c r="A189" s="81" t="s">
        <v>537</v>
      </c>
      <c r="B189" s="81" t="s">
        <v>77</v>
      </c>
      <c r="C189" s="81" t="s">
        <v>399</v>
      </c>
      <c r="D189" s="81" t="s">
        <v>203</v>
      </c>
      <c r="E189" s="81" t="s">
        <v>362</v>
      </c>
      <c r="F189" s="81" t="s">
        <v>363</v>
      </c>
      <c r="G189" s="81" t="s">
        <v>274</v>
      </c>
      <c r="H189" s="81" t="s">
        <v>138</v>
      </c>
      <c r="I189" s="81" t="s">
        <v>138</v>
      </c>
      <c r="J189" s="81"/>
      <c r="K189" s="81"/>
      <c r="L189" s="81" t="s">
        <v>138</v>
      </c>
      <c r="M189" s="81"/>
      <c r="N189" s="81"/>
      <c r="O189" s="81"/>
      <c r="P189" s="81" t="s">
        <v>339</v>
      </c>
      <c r="Q189" s="81" t="s">
        <v>340</v>
      </c>
      <c r="R189" s="81" t="s">
        <v>527</v>
      </c>
      <c r="S189" s="81"/>
      <c r="T189" s="81"/>
      <c r="U189" s="81" t="s">
        <v>243</v>
      </c>
    </row>
    <row r="190" spans="1:21">
      <c r="A190" s="81" t="s">
        <v>538</v>
      </c>
      <c r="B190" s="81" t="s">
        <v>77</v>
      </c>
      <c r="C190" s="81" t="s">
        <v>399</v>
      </c>
      <c r="D190" s="81" t="s">
        <v>203</v>
      </c>
      <c r="E190" s="81" t="s">
        <v>362</v>
      </c>
      <c r="F190" s="81" t="s">
        <v>363</v>
      </c>
      <c r="G190" s="81" t="s">
        <v>274</v>
      </c>
      <c r="H190" s="81" t="s">
        <v>138</v>
      </c>
      <c r="I190" s="81" t="s">
        <v>138</v>
      </c>
      <c r="J190" s="81"/>
      <c r="K190" s="81"/>
      <c r="L190" s="81" t="s">
        <v>138</v>
      </c>
      <c r="M190" s="81"/>
      <c r="N190" s="81"/>
      <c r="O190" s="81"/>
      <c r="P190" s="81" t="s">
        <v>339</v>
      </c>
      <c r="Q190" s="81" t="s">
        <v>340</v>
      </c>
      <c r="R190" s="81" t="s">
        <v>527</v>
      </c>
      <c r="S190" s="81"/>
      <c r="T190" s="81"/>
      <c r="U190" s="81" t="s">
        <v>243</v>
      </c>
    </row>
    <row r="191" spans="1:21">
      <c r="A191" s="81" t="s">
        <v>539</v>
      </c>
      <c r="B191" s="81" t="s">
        <v>77</v>
      </c>
      <c r="C191" s="81" t="s">
        <v>399</v>
      </c>
      <c r="D191" s="81" t="s">
        <v>203</v>
      </c>
      <c r="E191" s="81" t="s">
        <v>362</v>
      </c>
      <c r="F191" s="81" t="s">
        <v>363</v>
      </c>
      <c r="G191" s="81" t="s">
        <v>274</v>
      </c>
      <c r="H191" s="81" t="s">
        <v>138</v>
      </c>
      <c r="I191" s="81" t="s">
        <v>138</v>
      </c>
      <c r="J191" s="81"/>
      <c r="K191" s="81"/>
      <c r="L191" s="81" t="s">
        <v>138</v>
      </c>
      <c r="M191" s="81"/>
      <c r="N191" s="81"/>
      <c r="O191" s="81"/>
      <c r="P191" s="81" t="s">
        <v>339</v>
      </c>
      <c r="Q191" s="81" t="s">
        <v>340</v>
      </c>
      <c r="R191" s="81" t="s">
        <v>527</v>
      </c>
      <c r="S191" s="81"/>
      <c r="T191" s="81"/>
      <c r="U191" s="81" t="s">
        <v>243</v>
      </c>
    </row>
    <row r="192" spans="1:21">
      <c r="A192" s="81" t="s">
        <v>540</v>
      </c>
      <c r="B192" s="81" t="s">
        <v>77</v>
      </c>
      <c r="C192" s="81" t="s">
        <v>399</v>
      </c>
      <c r="D192" s="81" t="s">
        <v>203</v>
      </c>
      <c r="E192" s="81" t="s">
        <v>483</v>
      </c>
      <c r="F192" s="81" t="s">
        <v>484</v>
      </c>
      <c r="G192" s="81" t="s">
        <v>419</v>
      </c>
      <c r="H192" s="81" t="s">
        <v>138</v>
      </c>
      <c r="I192" s="81" t="s">
        <v>138</v>
      </c>
      <c r="J192" s="81" t="s">
        <v>402</v>
      </c>
      <c r="K192" s="81" t="s">
        <v>541</v>
      </c>
      <c r="L192" s="81" t="s">
        <v>541</v>
      </c>
      <c r="M192" s="81" t="s">
        <v>542</v>
      </c>
      <c r="N192" s="81" t="s">
        <v>543</v>
      </c>
      <c r="O192" s="81" t="s">
        <v>544</v>
      </c>
      <c r="P192" s="81" t="s">
        <v>339</v>
      </c>
      <c r="Q192" s="81" t="s">
        <v>340</v>
      </c>
      <c r="R192" s="81" t="s">
        <v>527</v>
      </c>
      <c r="S192" s="81">
        <v>1.9</v>
      </c>
      <c r="T192" s="81">
        <v>43.4</v>
      </c>
      <c r="U192" s="81" t="s">
        <v>545</v>
      </c>
    </row>
    <row r="193" spans="1:21">
      <c r="A193" s="81" t="s">
        <v>546</v>
      </c>
      <c r="B193" s="81" t="s">
        <v>77</v>
      </c>
      <c r="C193" s="81" t="s">
        <v>399</v>
      </c>
      <c r="D193" s="81" t="s">
        <v>203</v>
      </c>
      <c r="E193" s="81" t="s">
        <v>483</v>
      </c>
      <c r="F193" s="81" t="s">
        <v>484</v>
      </c>
      <c r="G193" s="81" t="s">
        <v>336</v>
      </c>
      <c r="H193" s="81" t="s">
        <v>138</v>
      </c>
      <c r="I193" s="81" t="s">
        <v>138</v>
      </c>
      <c r="J193" s="81"/>
      <c r="K193" s="81"/>
      <c r="L193" s="81" t="s">
        <v>138</v>
      </c>
      <c r="M193" s="81"/>
      <c r="N193" s="81"/>
      <c r="O193" s="81"/>
      <c r="P193" s="81" t="s">
        <v>368</v>
      </c>
      <c r="Q193" s="81" t="s">
        <v>340</v>
      </c>
      <c r="R193" s="81" t="s">
        <v>527</v>
      </c>
      <c r="S193" s="81"/>
      <c r="T193" s="81"/>
      <c r="U193" s="81" t="s">
        <v>243</v>
      </c>
    </row>
    <row r="194" spans="1:21">
      <c r="A194" s="81" t="s">
        <v>547</v>
      </c>
      <c r="B194" s="81" t="s">
        <v>77</v>
      </c>
      <c r="C194" s="81" t="s">
        <v>399</v>
      </c>
      <c r="D194" s="81" t="s">
        <v>203</v>
      </c>
      <c r="E194" s="81" t="s">
        <v>483</v>
      </c>
      <c r="F194" s="81" t="s">
        <v>484</v>
      </c>
      <c r="G194" s="81" t="s">
        <v>430</v>
      </c>
      <c r="H194" s="81" t="s">
        <v>138</v>
      </c>
      <c r="I194" s="81" t="s">
        <v>138</v>
      </c>
      <c r="J194" s="81"/>
      <c r="K194" s="81"/>
      <c r="L194" s="81" t="s">
        <v>138</v>
      </c>
      <c r="M194" s="81"/>
      <c r="N194" s="81"/>
      <c r="O194" s="81"/>
      <c r="P194" s="81" t="s">
        <v>368</v>
      </c>
      <c r="Q194" s="81" t="s">
        <v>340</v>
      </c>
      <c r="R194" s="81" t="s">
        <v>527</v>
      </c>
      <c r="S194" s="81"/>
      <c r="T194" s="81"/>
      <c r="U194" s="81" t="s">
        <v>243</v>
      </c>
    </row>
    <row r="195" spans="1:21">
      <c r="A195" s="81" t="s">
        <v>548</v>
      </c>
      <c r="B195" s="81" t="s">
        <v>77</v>
      </c>
      <c r="C195" s="81" t="s">
        <v>399</v>
      </c>
      <c r="D195" s="81" t="s">
        <v>203</v>
      </c>
      <c r="E195" s="81" t="s">
        <v>483</v>
      </c>
      <c r="F195" s="81" t="s">
        <v>484</v>
      </c>
      <c r="G195" s="81" t="s">
        <v>419</v>
      </c>
      <c r="H195" s="81" t="s">
        <v>138</v>
      </c>
      <c r="I195" s="81" t="s">
        <v>138</v>
      </c>
      <c r="J195" s="81" t="s">
        <v>402</v>
      </c>
      <c r="K195" s="81" t="s">
        <v>541</v>
      </c>
      <c r="L195" s="81" t="s">
        <v>541</v>
      </c>
      <c r="M195" s="81" t="s">
        <v>542</v>
      </c>
      <c r="N195" s="81" t="s">
        <v>543</v>
      </c>
      <c r="O195" s="81" t="s">
        <v>544</v>
      </c>
      <c r="P195" s="81" t="s">
        <v>368</v>
      </c>
      <c r="Q195" s="81" t="s">
        <v>340</v>
      </c>
      <c r="R195" s="81" t="s">
        <v>527</v>
      </c>
      <c r="S195" s="81">
        <v>1.9</v>
      </c>
      <c r="T195" s="81">
        <v>43.4</v>
      </c>
      <c r="U195" s="81" t="s">
        <v>545</v>
      </c>
    </row>
    <row r="196" spans="1:21">
      <c r="A196" s="81" t="s">
        <v>549</v>
      </c>
      <c r="B196" s="81" t="s">
        <v>77</v>
      </c>
      <c r="C196" s="81" t="s">
        <v>399</v>
      </c>
      <c r="D196" s="81" t="s">
        <v>203</v>
      </c>
      <c r="E196" s="81" t="s">
        <v>483</v>
      </c>
      <c r="F196" s="81" t="s">
        <v>484</v>
      </c>
      <c r="G196" s="81" t="s">
        <v>417</v>
      </c>
      <c r="H196" s="81" t="s">
        <v>138</v>
      </c>
      <c r="I196" s="81" t="s">
        <v>138</v>
      </c>
      <c r="J196" s="81"/>
      <c r="K196" s="81"/>
      <c r="L196" s="81" t="s">
        <v>138</v>
      </c>
      <c r="M196" s="81"/>
      <c r="N196" s="81"/>
      <c r="O196" s="81"/>
      <c r="P196" s="81" t="s">
        <v>368</v>
      </c>
      <c r="Q196" s="81" t="s">
        <v>340</v>
      </c>
      <c r="R196" s="81" t="s">
        <v>527</v>
      </c>
      <c r="S196" s="81"/>
      <c r="T196" s="81"/>
      <c r="U196" s="81" t="s">
        <v>243</v>
      </c>
    </row>
    <row r="197" spans="1:21">
      <c r="A197" s="81" t="s">
        <v>550</v>
      </c>
      <c r="B197" s="81" t="s">
        <v>77</v>
      </c>
      <c r="C197" s="81" t="s">
        <v>399</v>
      </c>
      <c r="D197" s="81" t="s">
        <v>203</v>
      </c>
      <c r="E197" s="81" t="s">
        <v>483</v>
      </c>
      <c r="F197" s="81" t="s">
        <v>484</v>
      </c>
      <c r="G197" s="81" t="s">
        <v>417</v>
      </c>
      <c r="H197" s="81" t="s">
        <v>138</v>
      </c>
      <c r="I197" s="81" t="s">
        <v>138</v>
      </c>
      <c r="J197" s="81"/>
      <c r="K197" s="81"/>
      <c r="L197" s="81" t="s">
        <v>138</v>
      </c>
      <c r="M197" s="81"/>
      <c r="N197" s="81"/>
      <c r="O197" s="81"/>
      <c r="P197" s="81" t="s">
        <v>368</v>
      </c>
      <c r="Q197" s="81" t="s">
        <v>340</v>
      </c>
      <c r="R197" s="81" t="s">
        <v>527</v>
      </c>
      <c r="S197" s="81"/>
      <c r="T197" s="81"/>
      <c r="U197" s="81" t="s">
        <v>243</v>
      </c>
    </row>
    <row r="198" spans="1:21">
      <c r="A198" s="81" t="s">
        <v>551</v>
      </c>
      <c r="B198" s="81" t="s">
        <v>77</v>
      </c>
      <c r="C198" s="81" t="s">
        <v>399</v>
      </c>
      <c r="D198" s="81" t="s">
        <v>203</v>
      </c>
      <c r="E198" s="81" t="s">
        <v>552</v>
      </c>
      <c r="F198" s="81" t="s">
        <v>553</v>
      </c>
      <c r="G198" s="81" t="s">
        <v>238</v>
      </c>
      <c r="H198" s="81" t="s">
        <v>138</v>
      </c>
      <c r="I198" s="81" t="s">
        <v>138</v>
      </c>
      <c r="J198" s="81" t="s">
        <v>239</v>
      </c>
      <c r="K198" s="81" t="s">
        <v>117</v>
      </c>
      <c r="L198" s="81" t="s">
        <v>117</v>
      </c>
      <c r="M198" s="81" t="s">
        <v>554</v>
      </c>
      <c r="N198" s="81" t="s">
        <v>253</v>
      </c>
      <c r="O198" s="81" t="s">
        <v>338</v>
      </c>
      <c r="P198" s="81" t="s">
        <v>368</v>
      </c>
      <c r="Q198" s="81" t="s">
        <v>340</v>
      </c>
      <c r="R198" s="81" t="s">
        <v>527</v>
      </c>
      <c r="S198" s="81">
        <v>0</v>
      </c>
      <c r="T198" s="81">
        <v>22.3</v>
      </c>
      <c r="U198" s="81" t="s">
        <v>341</v>
      </c>
    </row>
    <row r="199" spans="1:21">
      <c r="A199" s="81" t="s">
        <v>555</v>
      </c>
      <c r="B199" s="81" t="s">
        <v>77</v>
      </c>
      <c r="C199" s="81" t="s">
        <v>399</v>
      </c>
      <c r="D199" s="81" t="s">
        <v>203</v>
      </c>
      <c r="E199" s="81" t="s">
        <v>362</v>
      </c>
      <c r="F199" s="81" t="s">
        <v>363</v>
      </c>
      <c r="G199" s="81" t="s">
        <v>238</v>
      </c>
      <c r="H199" s="81" t="s">
        <v>138</v>
      </c>
      <c r="I199" s="81" t="s">
        <v>138</v>
      </c>
      <c r="J199" s="81" t="s">
        <v>402</v>
      </c>
      <c r="K199" s="81" t="s">
        <v>365</v>
      </c>
      <c r="L199" s="81" t="s">
        <v>366</v>
      </c>
      <c r="M199" s="81" t="s">
        <v>556</v>
      </c>
      <c r="N199" s="81" t="s">
        <v>253</v>
      </c>
      <c r="O199" s="81" t="s">
        <v>414</v>
      </c>
      <c r="P199" s="81" t="s">
        <v>339</v>
      </c>
      <c r="Q199" s="81" t="s">
        <v>340</v>
      </c>
      <c r="R199" s="81" t="s">
        <v>527</v>
      </c>
      <c r="S199" s="81"/>
      <c r="T199" s="81"/>
      <c r="U199" s="81" t="s">
        <v>243</v>
      </c>
    </row>
    <row r="200" spans="1:21">
      <c r="A200" s="81" t="s">
        <v>557</v>
      </c>
      <c r="B200" s="81" t="s">
        <v>77</v>
      </c>
      <c r="C200" s="81" t="s">
        <v>399</v>
      </c>
      <c r="D200" s="81" t="s">
        <v>203</v>
      </c>
      <c r="E200" s="81" t="s">
        <v>483</v>
      </c>
      <c r="F200" s="81" t="s">
        <v>484</v>
      </c>
      <c r="G200" s="81" t="s">
        <v>430</v>
      </c>
      <c r="H200" s="81" t="s">
        <v>138</v>
      </c>
      <c r="I200" s="81" t="s">
        <v>138</v>
      </c>
      <c r="J200" s="81" t="s">
        <v>248</v>
      </c>
      <c r="K200" s="81" t="s">
        <v>365</v>
      </c>
      <c r="L200" s="81" t="s">
        <v>366</v>
      </c>
      <c r="M200" s="81" t="s">
        <v>367</v>
      </c>
      <c r="N200" s="81" t="s">
        <v>253</v>
      </c>
      <c r="O200" s="81" t="s">
        <v>414</v>
      </c>
      <c r="P200" s="81" t="s">
        <v>368</v>
      </c>
      <c r="Q200" s="81" t="s">
        <v>340</v>
      </c>
      <c r="R200" s="81" t="s">
        <v>558</v>
      </c>
      <c r="S200" s="81"/>
      <c r="T200" s="81"/>
      <c r="U200" s="81" t="s">
        <v>243</v>
      </c>
    </row>
    <row r="201" spans="1:21">
      <c r="A201" s="81" t="s">
        <v>559</v>
      </c>
      <c r="B201" s="81" t="s">
        <v>77</v>
      </c>
      <c r="C201" s="81" t="s">
        <v>399</v>
      </c>
      <c r="D201" s="81" t="s">
        <v>203</v>
      </c>
      <c r="E201" s="81" t="s">
        <v>560</v>
      </c>
      <c r="F201" s="81" t="s">
        <v>561</v>
      </c>
      <c r="G201" s="81" t="s">
        <v>336</v>
      </c>
      <c r="H201" s="81" t="s">
        <v>138</v>
      </c>
      <c r="I201" s="81" t="s">
        <v>138</v>
      </c>
      <c r="J201" s="81" t="s">
        <v>248</v>
      </c>
      <c r="K201" s="81" t="s">
        <v>365</v>
      </c>
      <c r="L201" s="81" t="s">
        <v>366</v>
      </c>
      <c r="M201" s="81" t="s">
        <v>367</v>
      </c>
      <c r="N201" s="81" t="s">
        <v>253</v>
      </c>
      <c r="O201" s="81" t="s">
        <v>414</v>
      </c>
      <c r="P201" s="81" t="s">
        <v>368</v>
      </c>
      <c r="Q201" s="81" t="s">
        <v>340</v>
      </c>
      <c r="R201" s="81" t="s">
        <v>558</v>
      </c>
      <c r="S201" s="81"/>
      <c r="T201" s="81"/>
      <c r="U201" s="81" t="s">
        <v>243</v>
      </c>
    </row>
    <row r="202" spans="1:21">
      <c r="A202" s="81" t="s">
        <v>562</v>
      </c>
      <c r="B202" s="81" t="s">
        <v>77</v>
      </c>
      <c r="C202" s="81" t="s">
        <v>399</v>
      </c>
      <c r="D202" s="81" t="s">
        <v>203</v>
      </c>
      <c r="E202" s="81" t="s">
        <v>449</v>
      </c>
      <c r="F202" s="81" t="s">
        <v>450</v>
      </c>
      <c r="G202" s="81" t="s">
        <v>480</v>
      </c>
      <c r="H202" s="81" t="s">
        <v>138</v>
      </c>
      <c r="I202" s="81" t="s">
        <v>138</v>
      </c>
      <c r="J202" s="81" t="s">
        <v>460</v>
      </c>
      <c r="K202" s="81" t="s">
        <v>365</v>
      </c>
      <c r="L202" s="81" t="s">
        <v>366</v>
      </c>
      <c r="M202" s="81" t="s">
        <v>367</v>
      </c>
      <c r="N202" s="81" t="s">
        <v>253</v>
      </c>
      <c r="O202" s="81" t="s">
        <v>414</v>
      </c>
      <c r="P202" s="81" t="s">
        <v>368</v>
      </c>
      <c r="Q202" s="81" t="s">
        <v>340</v>
      </c>
      <c r="R202" s="81" t="s">
        <v>558</v>
      </c>
      <c r="S202" s="81"/>
      <c r="T202" s="81"/>
      <c r="U202" s="81" t="s">
        <v>243</v>
      </c>
    </row>
    <row r="203" spans="1:21">
      <c r="A203" s="81" t="s">
        <v>563</v>
      </c>
      <c r="B203" s="81" t="s">
        <v>77</v>
      </c>
      <c r="C203" s="81" t="s">
        <v>399</v>
      </c>
      <c r="D203" s="81" t="s">
        <v>203</v>
      </c>
      <c r="E203" s="81" t="s">
        <v>560</v>
      </c>
      <c r="F203" s="81" t="s">
        <v>561</v>
      </c>
      <c r="G203" s="81" t="s">
        <v>336</v>
      </c>
      <c r="H203" s="81" t="s">
        <v>138</v>
      </c>
      <c r="I203" s="81" t="s">
        <v>138</v>
      </c>
      <c r="J203" s="81" t="s">
        <v>248</v>
      </c>
      <c r="K203" s="81" t="s">
        <v>365</v>
      </c>
      <c r="L203" s="81" t="s">
        <v>366</v>
      </c>
      <c r="M203" s="81" t="s">
        <v>367</v>
      </c>
      <c r="N203" s="81" t="s">
        <v>253</v>
      </c>
      <c r="O203" s="81" t="s">
        <v>414</v>
      </c>
      <c r="P203" s="81" t="s">
        <v>368</v>
      </c>
      <c r="Q203" s="81" t="s">
        <v>340</v>
      </c>
      <c r="R203" s="81" t="s">
        <v>558</v>
      </c>
      <c r="S203" s="81"/>
      <c r="T203" s="81"/>
      <c r="U203" s="81" t="s">
        <v>243</v>
      </c>
    </row>
    <row r="204" spans="1:21">
      <c r="A204" s="81" t="s">
        <v>564</v>
      </c>
      <c r="B204" s="81" t="s">
        <v>77</v>
      </c>
      <c r="C204" s="81" t="s">
        <v>399</v>
      </c>
      <c r="D204" s="81" t="s">
        <v>203</v>
      </c>
      <c r="E204" s="81" t="s">
        <v>483</v>
      </c>
      <c r="F204" s="81" t="s">
        <v>484</v>
      </c>
      <c r="G204" s="81" t="s">
        <v>419</v>
      </c>
      <c r="H204" s="81" t="s">
        <v>138</v>
      </c>
      <c r="I204" s="81" t="s">
        <v>138</v>
      </c>
      <c r="J204" s="81" t="s">
        <v>275</v>
      </c>
      <c r="K204" s="81" t="s">
        <v>365</v>
      </c>
      <c r="L204" s="81" t="s">
        <v>366</v>
      </c>
      <c r="M204" s="81" t="s">
        <v>367</v>
      </c>
      <c r="N204" s="81" t="s">
        <v>253</v>
      </c>
      <c r="O204" s="81" t="s">
        <v>414</v>
      </c>
      <c r="P204" s="81" t="s">
        <v>368</v>
      </c>
      <c r="Q204" s="81" t="s">
        <v>340</v>
      </c>
      <c r="R204" s="81" t="s">
        <v>558</v>
      </c>
      <c r="S204" s="81"/>
      <c r="T204" s="81"/>
      <c r="U204" s="81" t="s">
        <v>243</v>
      </c>
    </row>
    <row r="205" spans="1:21">
      <c r="A205" s="81" t="s">
        <v>565</v>
      </c>
      <c r="B205" s="81" t="s">
        <v>77</v>
      </c>
      <c r="C205" s="81" t="s">
        <v>399</v>
      </c>
      <c r="D205" s="81" t="s">
        <v>203</v>
      </c>
      <c r="E205" s="81" t="s">
        <v>483</v>
      </c>
      <c r="F205" s="81" t="s">
        <v>484</v>
      </c>
      <c r="G205" s="81" t="s">
        <v>419</v>
      </c>
      <c r="H205" s="81" t="s">
        <v>138</v>
      </c>
      <c r="I205" s="81" t="s">
        <v>138</v>
      </c>
      <c r="J205" s="81" t="s">
        <v>248</v>
      </c>
      <c r="K205" s="81" t="s">
        <v>365</v>
      </c>
      <c r="L205" s="81" t="s">
        <v>366</v>
      </c>
      <c r="M205" s="81" t="s">
        <v>367</v>
      </c>
      <c r="N205" s="81" t="s">
        <v>253</v>
      </c>
      <c r="O205" s="81" t="s">
        <v>414</v>
      </c>
      <c r="P205" s="81" t="s">
        <v>368</v>
      </c>
      <c r="Q205" s="81" t="s">
        <v>340</v>
      </c>
      <c r="R205" s="81" t="s">
        <v>558</v>
      </c>
      <c r="S205" s="81"/>
      <c r="T205" s="81"/>
      <c r="U205" s="81" t="s">
        <v>243</v>
      </c>
    </row>
    <row r="206" spans="1:21">
      <c r="A206" s="81" t="s">
        <v>566</v>
      </c>
      <c r="B206" s="81" t="s">
        <v>77</v>
      </c>
      <c r="C206" s="81" t="s">
        <v>399</v>
      </c>
      <c r="D206" s="81" t="s">
        <v>203</v>
      </c>
      <c r="E206" s="81" t="s">
        <v>483</v>
      </c>
      <c r="F206" s="81" t="s">
        <v>484</v>
      </c>
      <c r="G206" s="81" t="s">
        <v>419</v>
      </c>
      <c r="H206" s="81" t="s">
        <v>138</v>
      </c>
      <c r="I206" s="81" t="s">
        <v>138</v>
      </c>
      <c r="J206" s="81" t="s">
        <v>248</v>
      </c>
      <c r="K206" s="81" t="s">
        <v>365</v>
      </c>
      <c r="L206" s="81" t="s">
        <v>366</v>
      </c>
      <c r="M206" s="81" t="s">
        <v>367</v>
      </c>
      <c r="N206" s="81" t="s">
        <v>253</v>
      </c>
      <c r="O206" s="81" t="s">
        <v>414</v>
      </c>
      <c r="P206" s="81" t="s">
        <v>368</v>
      </c>
      <c r="Q206" s="81" t="s">
        <v>340</v>
      </c>
      <c r="R206" s="81" t="s">
        <v>558</v>
      </c>
      <c r="S206" s="81"/>
      <c r="T206" s="81"/>
      <c r="U206" s="81" t="s">
        <v>243</v>
      </c>
    </row>
    <row r="207" spans="1:21">
      <c r="A207" s="81" t="s">
        <v>567</v>
      </c>
      <c r="B207" s="81" t="s">
        <v>77</v>
      </c>
      <c r="C207" s="81" t="s">
        <v>399</v>
      </c>
      <c r="D207" s="81" t="s">
        <v>203</v>
      </c>
      <c r="E207" s="81" t="s">
        <v>449</v>
      </c>
      <c r="F207" s="81" t="s">
        <v>450</v>
      </c>
      <c r="G207" s="81" t="s">
        <v>568</v>
      </c>
      <c r="H207" s="81" t="s">
        <v>138</v>
      </c>
      <c r="I207" s="81" t="s">
        <v>138</v>
      </c>
      <c r="J207" s="81" t="s">
        <v>460</v>
      </c>
      <c r="K207" s="81" t="s">
        <v>365</v>
      </c>
      <c r="L207" s="81" t="s">
        <v>366</v>
      </c>
      <c r="M207" s="81" t="s">
        <v>367</v>
      </c>
      <c r="N207" s="81" t="s">
        <v>253</v>
      </c>
      <c r="O207" s="81" t="s">
        <v>414</v>
      </c>
      <c r="P207" s="81" t="s">
        <v>368</v>
      </c>
      <c r="Q207" s="81" t="s">
        <v>340</v>
      </c>
      <c r="R207" s="81" t="s">
        <v>558</v>
      </c>
      <c r="S207" s="81"/>
      <c r="T207" s="81"/>
      <c r="U207" s="81" t="s">
        <v>243</v>
      </c>
    </row>
    <row r="208" spans="1:21">
      <c r="A208" s="81" t="s">
        <v>569</v>
      </c>
      <c r="B208" s="81" t="s">
        <v>77</v>
      </c>
      <c r="C208" s="81" t="s">
        <v>399</v>
      </c>
      <c r="D208" s="81" t="s">
        <v>203</v>
      </c>
      <c r="E208" s="81" t="s">
        <v>560</v>
      </c>
      <c r="F208" s="81" t="s">
        <v>561</v>
      </c>
      <c r="G208" s="81" t="s">
        <v>336</v>
      </c>
      <c r="H208" s="81" t="s">
        <v>138</v>
      </c>
      <c r="I208" s="81" t="s">
        <v>138</v>
      </c>
      <c r="J208" s="81" t="s">
        <v>248</v>
      </c>
      <c r="K208" s="81" t="s">
        <v>365</v>
      </c>
      <c r="L208" s="81" t="s">
        <v>366</v>
      </c>
      <c r="M208" s="81" t="s">
        <v>367</v>
      </c>
      <c r="N208" s="81" t="s">
        <v>253</v>
      </c>
      <c r="O208" s="81" t="s">
        <v>414</v>
      </c>
      <c r="P208" s="81" t="s">
        <v>368</v>
      </c>
      <c r="Q208" s="81" t="s">
        <v>340</v>
      </c>
      <c r="R208" s="81" t="s">
        <v>558</v>
      </c>
      <c r="S208" s="81"/>
      <c r="T208" s="81"/>
      <c r="U208" s="81" t="s">
        <v>243</v>
      </c>
    </row>
    <row r="209" spans="1:21">
      <c r="A209" s="81" t="s">
        <v>570</v>
      </c>
      <c r="B209" s="81" t="s">
        <v>77</v>
      </c>
      <c r="C209" s="81" t="s">
        <v>399</v>
      </c>
      <c r="D209" s="81" t="s">
        <v>203</v>
      </c>
      <c r="E209" s="81" t="s">
        <v>449</v>
      </c>
      <c r="F209" s="81" t="s">
        <v>450</v>
      </c>
      <c r="G209" s="81" t="s">
        <v>460</v>
      </c>
      <c r="H209" s="81" t="s">
        <v>138</v>
      </c>
      <c r="I209" s="81" t="s">
        <v>138</v>
      </c>
      <c r="J209" s="81" t="s">
        <v>571</v>
      </c>
      <c r="K209" s="81" t="s">
        <v>365</v>
      </c>
      <c r="L209" s="81" t="s">
        <v>366</v>
      </c>
      <c r="M209" s="81" t="s">
        <v>506</v>
      </c>
      <c r="N209" s="81" t="s">
        <v>253</v>
      </c>
      <c r="O209" s="81" t="s">
        <v>414</v>
      </c>
      <c r="P209" s="81" t="s">
        <v>572</v>
      </c>
      <c r="Q209" s="81" t="s">
        <v>340</v>
      </c>
      <c r="R209" s="81" t="s">
        <v>558</v>
      </c>
      <c r="S209" s="81"/>
      <c r="T209" s="81"/>
      <c r="U209" s="81" t="s">
        <v>243</v>
      </c>
    </row>
    <row r="210" spans="1:21">
      <c r="A210" s="81" t="s">
        <v>573</v>
      </c>
      <c r="B210" s="81" t="s">
        <v>77</v>
      </c>
      <c r="C210" s="81" t="s">
        <v>399</v>
      </c>
      <c r="D210" s="81" t="s">
        <v>203</v>
      </c>
      <c r="E210" s="81" t="s">
        <v>449</v>
      </c>
      <c r="F210" s="81" t="s">
        <v>450</v>
      </c>
      <c r="G210" s="81" t="s">
        <v>516</v>
      </c>
      <c r="H210" s="81" t="s">
        <v>138</v>
      </c>
      <c r="I210" s="81" t="s">
        <v>138</v>
      </c>
      <c r="J210" s="81" t="s">
        <v>497</v>
      </c>
      <c r="K210" s="81" t="s">
        <v>365</v>
      </c>
      <c r="L210" s="81" t="s">
        <v>366</v>
      </c>
      <c r="M210" s="81" t="s">
        <v>506</v>
      </c>
      <c r="N210" s="81" t="s">
        <v>253</v>
      </c>
      <c r="O210" s="81" t="s">
        <v>414</v>
      </c>
      <c r="P210" s="81" t="s">
        <v>572</v>
      </c>
      <c r="Q210" s="81" t="s">
        <v>340</v>
      </c>
      <c r="R210" s="81" t="s">
        <v>558</v>
      </c>
      <c r="S210" s="81"/>
      <c r="T210" s="81"/>
      <c r="U210" s="81" t="s">
        <v>243</v>
      </c>
    </row>
    <row r="211" spans="1:21">
      <c r="A211" s="81" t="s">
        <v>574</v>
      </c>
      <c r="B211" s="81" t="s">
        <v>77</v>
      </c>
      <c r="C211" s="81" t="s">
        <v>399</v>
      </c>
      <c r="D211" s="81" t="s">
        <v>203</v>
      </c>
      <c r="E211" s="81" t="s">
        <v>449</v>
      </c>
      <c r="F211" s="81" t="s">
        <v>450</v>
      </c>
      <c r="G211" s="81" t="s">
        <v>460</v>
      </c>
      <c r="H211" s="81" t="s">
        <v>138</v>
      </c>
      <c r="I211" s="81" t="s">
        <v>138</v>
      </c>
      <c r="J211" s="81" t="s">
        <v>497</v>
      </c>
      <c r="K211" s="81" t="s">
        <v>365</v>
      </c>
      <c r="L211" s="81" t="s">
        <v>366</v>
      </c>
      <c r="M211" s="81" t="s">
        <v>506</v>
      </c>
      <c r="N211" s="81" t="s">
        <v>253</v>
      </c>
      <c r="O211" s="81" t="s">
        <v>414</v>
      </c>
      <c r="P211" s="81" t="s">
        <v>572</v>
      </c>
      <c r="Q211" s="81" t="s">
        <v>340</v>
      </c>
      <c r="R211" s="81" t="s">
        <v>558</v>
      </c>
      <c r="S211" s="81"/>
      <c r="T211" s="81"/>
      <c r="U211" s="81" t="s">
        <v>243</v>
      </c>
    </row>
    <row r="212" spans="1:21">
      <c r="A212" s="81" t="s">
        <v>575</v>
      </c>
      <c r="B212" s="81" t="s">
        <v>77</v>
      </c>
      <c r="C212" s="81" t="s">
        <v>399</v>
      </c>
      <c r="D212" s="81" t="s">
        <v>203</v>
      </c>
      <c r="E212" s="81" t="s">
        <v>449</v>
      </c>
      <c r="F212" s="81" t="s">
        <v>450</v>
      </c>
      <c r="G212" s="81" t="s">
        <v>417</v>
      </c>
      <c r="H212" s="81" t="s">
        <v>138</v>
      </c>
      <c r="I212" s="81" t="s">
        <v>138</v>
      </c>
      <c r="J212" s="81"/>
      <c r="K212" s="81"/>
      <c r="L212" s="81" t="s">
        <v>138</v>
      </c>
      <c r="M212" s="81"/>
      <c r="N212" s="81"/>
      <c r="O212" s="81"/>
      <c r="P212" s="81" t="s">
        <v>368</v>
      </c>
      <c r="Q212" s="81" t="s">
        <v>340</v>
      </c>
      <c r="R212" s="81" t="s">
        <v>576</v>
      </c>
      <c r="S212" s="81"/>
      <c r="T212" s="81"/>
      <c r="U212" s="81" t="s">
        <v>243</v>
      </c>
    </row>
    <row r="213" spans="1:21">
      <c r="A213" s="81" t="s">
        <v>577</v>
      </c>
      <c r="B213" s="81" t="s">
        <v>77</v>
      </c>
      <c r="C213" s="81" t="s">
        <v>399</v>
      </c>
      <c r="D213" s="81" t="s">
        <v>203</v>
      </c>
      <c r="E213" s="81" t="s">
        <v>449</v>
      </c>
      <c r="F213" s="81" t="s">
        <v>450</v>
      </c>
      <c r="G213" s="81" t="s">
        <v>413</v>
      </c>
      <c r="H213" s="81" t="s">
        <v>138</v>
      </c>
      <c r="I213" s="81" t="s">
        <v>138</v>
      </c>
      <c r="J213" s="81"/>
      <c r="K213" s="81"/>
      <c r="L213" s="81" t="s">
        <v>138</v>
      </c>
      <c r="M213" s="81"/>
      <c r="N213" s="81"/>
      <c r="O213" s="81"/>
      <c r="P213" s="81" t="s">
        <v>368</v>
      </c>
      <c r="Q213" s="81" t="s">
        <v>340</v>
      </c>
      <c r="R213" s="81" t="s">
        <v>576</v>
      </c>
      <c r="S213" s="81"/>
      <c r="T213" s="81"/>
      <c r="U213" s="81" t="s">
        <v>243</v>
      </c>
    </row>
    <row r="214" spans="1:21">
      <c r="A214" s="81" t="s">
        <v>578</v>
      </c>
      <c r="B214" s="81" t="s">
        <v>77</v>
      </c>
      <c r="C214" s="81" t="s">
        <v>399</v>
      </c>
      <c r="D214" s="81" t="s">
        <v>203</v>
      </c>
      <c r="E214" s="81" t="s">
        <v>449</v>
      </c>
      <c r="F214" s="81" t="s">
        <v>450</v>
      </c>
      <c r="G214" s="81" t="s">
        <v>437</v>
      </c>
      <c r="H214" s="81" t="s">
        <v>138</v>
      </c>
      <c r="I214" s="81" t="s">
        <v>138</v>
      </c>
      <c r="J214" s="81"/>
      <c r="K214" s="81"/>
      <c r="L214" s="81" t="s">
        <v>138</v>
      </c>
      <c r="M214" s="81"/>
      <c r="N214" s="81"/>
      <c r="O214" s="81"/>
      <c r="P214" s="81" t="s">
        <v>368</v>
      </c>
      <c r="Q214" s="81" t="s">
        <v>340</v>
      </c>
      <c r="R214" s="81" t="s">
        <v>576</v>
      </c>
      <c r="S214" s="81"/>
      <c r="T214" s="81"/>
      <c r="U214" s="81" t="s">
        <v>243</v>
      </c>
    </row>
    <row r="215" spans="1:21">
      <c r="A215" s="81" t="s">
        <v>579</v>
      </c>
      <c r="B215" s="81" t="s">
        <v>77</v>
      </c>
      <c r="C215" s="81" t="s">
        <v>399</v>
      </c>
      <c r="D215" s="81" t="s">
        <v>203</v>
      </c>
      <c r="E215" s="81" t="s">
        <v>449</v>
      </c>
      <c r="F215" s="81" t="s">
        <v>450</v>
      </c>
      <c r="G215" s="81" t="s">
        <v>285</v>
      </c>
      <c r="H215" s="81" t="s">
        <v>138</v>
      </c>
      <c r="I215" s="81" t="s">
        <v>138</v>
      </c>
      <c r="J215" s="81"/>
      <c r="K215" s="81"/>
      <c r="L215" s="81" t="s">
        <v>138</v>
      </c>
      <c r="M215" s="81"/>
      <c r="N215" s="81"/>
      <c r="O215" s="81"/>
      <c r="P215" s="81" t="s">
        <v>368</v>
      </c>
      <c r="Q215" s="81" t="s">
        <v>340</v>
      </c>
      <c r="R215" s="81" t="s">
        <v>576</v>
      </c>
      <c r="S215" s="81"/>
      <c r="T215" s="81"/>
      <c r="U215" s="81" t="s">
        <v>243</v>
      </c>
    </row>
    <row r="216" spans="1:21">
      <c r="A216" s="81" t="s">
        <v>580</v>
      </c>
      <c r="B216" s="81" t="s">
        <v>77</v>
      </c>
      <c r="C216" s="81" t="s">
        <v>399</v>
      </c>
      <c r="D216" s="81" t="s">
        <v>203</v>
      </c>
      <c r="E216" s="81" t="s">
        <v>449</v>
      </c>
      <c r="F216" s="81" t="s">
        <v>450</v>
      </c>
      <c r="G216" s="81" t="s">
        <v>285</v>
      </c>
      <c r="H216" s="81" t="s">
        <v>138</v>
      </c>
      <c r="I216" s="81" t="s">
        <v>138</v>
      </c>
      <c r="J216" s="81"/>
      <c r="K216" s="81"/>
      <c r="L216" s="81" t="s">
        <v>138</v>
      </c>
      <c r="M216" s="81"/>
      <c r="N216" s="81"/>
      <c r="O216" s="81"/>
      <c r="P216" s="81" t="s">
        <v>368</v>
      </c>
      <c r="Q216" s="81" t="s">
        <v>340</v>
      </c>
      <c r="R216" s="81" t="s">
        <v>576</v>
      </c>
      <c r="S216" s="81"/>
      <c r="T216" s="81"/>
      <c r="U216" s="81" t="s">
        <v>243</v>
      </c>
    </row>
    <row r="217" spans="1:21">
      <c r="A217" s="81" t="s">
        <v>581</v>
      </c>
      <c r="B217" s="81" t="s">
        <v>77</v>
      </c>
      <c r="C217" s="81" t="s">
        <v>399</v>
      </c>
      <c r="D217" s="81" t="s">
        <v>203</v>
      </c>
      <c r="E217" s="81" t="s">
        <v>449</v>
      </c>
      <c r="F217" s="81" t="s">
        <v>450</v>
      </c>
      <c r="G217" s="81" t="s">
        <v>285</v>
      </c>
      <c r="H217" s="81" t="s">
        <v>138</v>
      </c>
      <c r="I217" s="81" t="s">
        <v>138</v>
      </c>
      <c r="J217" s="81"/>
      <c r="K217" s="81"/>
      <c r="L217" s="81" t="s">
        <v>138</v>
      </c>
      <c r="M217" s="81"/>
      <c r="N217" s="81"/>
      <c r="O217" s="81"/>
      <c r="P217" s="81" t="s">
        <v>368</v>
      </c>
      <c r="Q217" s="81" t="s">
        <v>340</v>
      </c>
      <c r="R217" s="81" t="s">
        <v>576</v>
      </c>
      <c r="S217" s="81"/>
      <c r="T217" s="81"/>
      <c r="U217" s="81" t="s">
        <v>243</v>
      </c>
    </row>
    <row r="218" spans="1:21">
      <c r="A218" s="81" t="s">
        <v>582</v>
      </c>
      <c r="B218" s="81" t="s">
        <v>77</v>
      </c>
      <c r="C218" s="81" t="s">
        <v>399</v>
      </c>
      <c r="D218" s="81" t="s">
        <v>203</v>
      </c>
      <c r="E218" s="81" t="s">
        <v>449</v>
      </c>
      <c r="F218" s="81" t="s">
        <v>450</v>
      </c>
      <c r="G218" s="81" t="s">
        <v>285</v>
      </c>
      <c r="H218" s="81" t="s">
        <v>138</v>
      </c>
      <c r="I218" s="81" t="s">
        <v>138</v>
      </c>
      <c r="J218" s="81"/>
      <c r="K218" s="81"/>
      <c r="L218" s="81" t="s">
        <v>138</v>
      </c>
      <c r="M218" s="81"/>
      <c r="N218" s="81"/>
      <c r="O218" s="81"/>
      <c r="P218" s="81" t="s">
        <v>368</v>
      </c>
      <c r="Q218" s="81" t="s">
        <v>340</v>
      </c>
      <c r="R218" s="81" t="s">
        <v>576</v>
      </c>
      <c r="S218" s="81"/>
      <c r="T218" s="81"/>
      <c r="U218" s="81" t="s">
        <v>243</v>
      </c>
    </row>
    <row r="219" spans="1:21">
      <c r="A219" s="81" t="s">
        <v>583</v>
      </c>
      <c r="B219" s="81" t="s">
        <v>77</v>
      </c>
      <c r="C219" s="81" t="s">
        <v>399</v>
      </c>
      <c r="D219" s="81" t="s">
        <v>203</v>
      </c>
      <c r="E219" s="81" t="s">
        <v>449</v>
      </c>
      <c r="F219" s="81" t="s">
        <v>450</v>
      </c>
      <c r="G219" s="81" t="s">
        <v>239</v>
      </c>
      <c r="H219" s="81" t="s">
        <v>138</v>
      </c>
      <c r="I219" s="81" t="s">
        <v>138</v>
      </c>
      <c r="J219" s="81" t="s">
        <v>248</v>
      </c>
      <c r="K219" s="81" t="s">
        <v>541</v>
      </c>
      <c r="L219" s="81" t="s">
        <v>541</v>
      </c>
      <c r="M219" s="81" t="s">
        <v>542</v>
      </c>
      <c r="N219" s="81" t="s">
        <v>543</v>
      </c>
      <c r="O219" s="81" t="s">
        <v>544</v>
      </c>
      <c r="P219" s="81" t="s">
        <v>368</v>
      </c>
      <c r="Q219" s="81" t="s">
        <v>340</v>
      </c>
      <c r="R219" s="81" t="s">
        <v>576</v>
      </c>
      <c r="S219" s="81">
        <v>0</v>
      </c>
      <c r="T219" s="81">
        <v>2</v>
      </c>
      <c r="U219" s="81" t="s">
        <v>545</v>
      </c>
    </row>
    <row r="220" spans="1:21">
      <c r="A220" s="81" t="s">
        <v>584</v>
      </c>
      <c r="B220" s="81" t="s">
        <v>77</v>
      </c>
      <c r="C220" s="81" t="s">
        <v>399</v>
      </c>
      <c r="D220" s="81" t="s">
        <v>203</v>
      </c>
      <c r="E220" s="81" t="s">
        <v>449</v>
      </c>
      <c r="F220" s="81" t="s">
        <v>450</v>
      </c>
      <c r="G220" s="81" t="s">
        <v>239</v>
      </c>
      <c r="H220" s="81" t="s">
        <v>138</v>
      </c>
      <c r="I220" s="81" t="s">
        <v>138</v>
      </c>
      <c r="J220" s="81"/>
      <c r="K220" s="81"/>
      <c r="L220" s="81" t="s">
        <v>138</v>
      </c>
      <c r="M220" s="81"/>
      <c r="N220" s="81"/>
      <c r="O220" s="81"/>
      <c r="P220" s="81" t="s">
        <v>368</v>
      </c>
      <c r="Q220" s="81" t="s">
        <v>340</v>
      </c>
      <c r="R220" s="81" t="s">
        <v>576</v>
      </c>
      <c r="S220" s="81">
        <v>0</v>
      </c>
      <c r="T220" s="81">
        <v>2</v>
      </c>
      <c r="U220" s="81" t="s">
        <v>243</v>
      </c>
    </row>
    <row r="221" spans="1:21">
      <c r="A221" s="81" t="s">
        <v>585</v>
      </c>
      <c r="B221" s="81" t="s">
        <v>77</v>
      </c>
      <c r="C221" s="81" t="s">
        <v>399</v>
      </c>
      <c r="D221" s="81" t="s">
        <v>203</v>
      </c>
      <c r="E221" s="81" t="s">
        <v>449</v>
      </c>
      <c r="F221" s="81" t="s">
        <v>450</v>
      </c>
      <c r="G221" s="81" t="s">
        <v>405</v>
      </c>
      <c r="H221" s="81" t="s">
        <v>138</v>
      </c>
      <c r="I221" s="81" t="s">
        <v>138</v>
      </c>
      <c r="J221" s="81"/>
      <c r="K221" s="81"/>
      <c r="L221" s="81" t="s">
        <v>138</v>
      </c>
      <c r="M221" s="81"/>
      <c r="N221" s="81"/>
      <c r="O221" s="81"/>
      <c r="P221" s="81" t="s">
        <v>368</v>
      </c>
      <c r="Q221" s="81" t="s">
        <v>340</v>
      </c>
      <c r="R221" s="81" t="s">
        <v>576</v>
      </c>
      <c r="S221" s="81"/>
      <c r="T221" s="81"/>
      <c r="U221" s="81" t="s">
        <v>243</v>
      </c>
    </row>
    <row r="222" spans="1:21">
      <c r="A222" s="81" t="s">
        <v>586</v>
      </c>
      <c r="B222" s="81" t="s">
        <v>77</v>
      </c>
      <c r="C222" s="81" t="s">
        <v>399</v>
      </c>
      <c r="D222" s="81" t="s">
        <v>203</v>
      </c>
      <c r="E222" s="81" t="s">
        <v>449</v>
      </c>
      <c r="F222" s="81" t="s">
        <v>450</v>
      </c>
      <c r="G222" s="81" t="s">
        <v>267</v>
      </c>
      <c r="H222" s="81" t="s">
        <v>138</v>
      </c>
      <c r="I222" s="81" t="s">
        <v>138</v>
      </c>
      <c r="J222" s="81" t="s">
        <v>248</v>
      </c>
      <c r="K222" s="81" t="s">
        <v>541</v>
      </c>
      <c r="L222" s="81" t="s">
        <v>541</v>
      </c>
      <c r="M222" s="81" t="s">
        <v>542</v>
      </c>
      <c r="N222" s="81" t="s">
        <v>543</v>
      </c>
      <c r="O222" s="81" t="s">
        <v>544</v>
      </c>
      <c r="P222" s="81" t="s">
        <v>368</v>
      </c>
      <c r="Q222" s="81" t="s">
        <v>340</v>
      </c>
      <c r="R222" s="81" t="s">
        <v>576</v>
      </c>
      <c r="S222" s="81">
        <v>0</v>
      </c>
      <c r="T222" s="81">
        <v>2</v>
      </c>
      <c r="U222" s="81" t="s">
        <v>545</v>
      </c>
    </row>
    <row r="223" spans="1:21">
      <c r="A223" s="81" t="s">
        <v>587</v>
      </c>
      <c r="B223" s="81" t="s">
        <v>77</v>
      </c>
      <c r="C223" s="81" t="s">
        <v>399</v>
      </c>
      <c r="D223" s="81" t="s">
        <v>203</v>
      </c>
      <c r="E223" s="81" t="s">
        <v>449</v>
      </c>
      <c r="F223" s="81" t="s">
        <v>450</v>
      </c>
      <c r="G223" s="81" t="s">
        <v>267</v>
      </c>
      <c r="H223" s="81" t="s">
        <v>138</v>
      </c>
      <c r="I223" s="81" t="s">
        <v>138</v>
      </c>
      <c r="J223" s="81"/>
      <c r="K223" s="81"/>
      <c r="L223" s="81" t="s">
        <v>138</v>
      </c>
      <c r="M223" s="81"/>
      <c r="N223" s="81"/>
      <c r="O223" s="81"/>
      <c r="P223" s="81" t="s">
        <v>368</v>
      </c>
      <c r="Q223" s="81" t="s">
        <v>340</v>
      </c>
      <c r="R223" s="81" t="s">
        <v>576</v>
      </c>
      <c r="S223" s="81">
        <v>0</v>
      </c>
      <c r="T223" s="81">
        <v>2</v>
      </c>
      <c r="U223" s="81" t="s">
        <v>243</v>
      </c>
    </row>
    <row r="224" spans="1:21">
      <c r="A224" s="81" t="s">
        <v>588</v>
      </c>
      <c r="B224" s="81" t="s">
        <v>77</v>
      </c>
      <c r="C224" s="81" t="s">
        <v>399</v>
      </c>
      <c r="D224" s="81" t="s">
        <v>203</v>
      </c>
      <c r="E224" s="81" t="s">
        <v>449</v>
      </c>
      <c r="F224" s="81" t="s">
        <v>450</v>
      </c>
      <c r="G224" s="81" t="s">
        <v>251</v>
      </c>
      <c r="H224" s="81" t="s">
        <v>138</v>
      </c>
      <c r="I224" s="81" t="s">
        <v>138</v>
      </c>
      <c r="J224" s="81" t="s">
        <v>248</v>
      </c>
      <c r="K224" s="81" t="s">
        <v>541</v>
      </c>
      <c r="L224" s="81" t="s">
        <v>541</v>
      </c>
      <c r="M224" s="81" t="s">
        <v>542</v>
      </c>
      <c r="N224" s="81" t="s">
        <v>543</v>
      </c>
      <c r="O224" s="81" t="s">
        <v>544</v>
      </c>
      <c r="P224" s="81" t="s">
        <v>368</v>
      </c>
      <c r="Q224" s="81" t="s">
        <v>340</v>
      </c>
      <c r="R224" s="81" t="s">
        <v>576</v>
      </c>
      <c r="S224" s="81">
        <v>0</v>
      </c>
      <c r="T224" s="81">
        <v>2</v>
      </c>
      <c r="U224" s="81" t="s">
        <v>545</v>
      </c>
    </row>
    <row r="225" spans="1:21">
      <c r="A225" s="81" t="s">
        <v>589</v>
      </c>
      <c r="B225" s="81" t="s">
        <v>77</v>
      </c>
      <c r="C225" s="81" t="s">
        <v>399</v>
      </c>
      <c r="D225" s="81" t="s">
        <v>203</v>
      </c>
      <c r="E225" s="81" t="s">
        <v>449</v>
      </c>
      <c r="F225" s="81" t="s">
        <v>450</v>
      </c>
      <c r="G225" s="81" t="s">
        <v>251</v>
      </c>
      <c r="H225" s="81" t="s">
        <v>138</v>
      </c>
      <c r="I225" s="81" t="s">
        <v>138</v>
      </c>
      <c r="J225" s="81" t="s">
        <v>248</v>
      </c>
      <c r="K225" s="81" t="s">
        <v>541</v>
      </c>
      <c r="L225" s="81" t="s">
        <v>541</v>
      </c>
      <c r="M225" s="81" t="s">
        <v>542</v>
      </c>
      <c r="N225" s="81" t="s">
        <v>543</v>
      </c>
      <c r="O225" s="81" t="s">
        <v>544</v>
      </c>
      <c r="P225" s="81" t="s">
        <v>368</v>
      </c>
      <c r="Q225" s="81" t="s">
        <v>340</v>
      </c>
      <c r="R225" s="81" t="s">
        <v>576</v>
      </c>
      <c r="S225" s="81">
        <v>0</v>
      </c>
      <c r="T225" s="81">
        <v>2</v>
      </c>
      <c r="U225" s="81" t="s">
        <v>545</v>
      </c>
    </row>
    <row r="226" spans="1:21">
      <c r="A226" s="81" t="s">
        <v>590</v>
      </c>
      <c r="B226" s="81" t="s">
        <v>77</v>
      </c>
      <c r="C226" s="81" t="s">
        <v>399</v>
      </c>
      <c r="D226" s="81" t="s">
        <v>203</v>
      </c>
      <c r="E226" s="81" t="s">
        <v>449</v>
      </c>
      <c r="F226" s="81" t="s">
        <v>450</v>
      </c>
      <c r="G226" s="81" t="s">
        <v>238</v>
      </c>
      <c r="H226" s="81" t="s">
        <v>138</v>
      </c>
      <c r="I226" s="81" t="s">
        <v>138</v>
      </c>
      <c r="J226" s="81" t="s">
        <v>402</v>
      </c>
      <c r="K226" s="81" t="s">
        <v>541</v>
      </c>
      <c r="L226" s="81" t="s">
        <v>541</v>
      </c>
      <c r="M226" s="81" t="s">
        <v>542</v>
      </c>
      <c r="N226" s="81" t="s">
        <v>543</v>
      </c>
      <c r="O226" s="81" t="s">
        <v>544</v>
      </c>
      <c r="P226" s="81" t="s">
        <v>368</v>
      </c>
      <c r="Q226" s="81" t="s">
        <v>340</v>
      </c>
      <c r="R226" s="81" t="s">
        <v>576</v>
      </c>
      <c r="S226" s="81"/>
      <c r="T226" s="81"/>
      <c r="U226" s="81" t="s">
        <v>545</v>
      </c>
    </row>
    <row r="227" spans="1:21">
      <c r="A227" s="81" t="s">
        <v>591</v>
      </c>
      <c r="B227" s="81" t="s">
        <v>77</v>
      </c>
      <c r="C227" s="81" t="s">
        <v>399</v>
      </c>
      <c r="D227" s="81" t="s">
        <v>203</v>
      </c>
      <c r="E227" s="81" t="s">
        <v>449</v>
      </c>
      <c r="F227" s="81" t="s">
        <v>450</v>
      </c>
      <c r="G227" s="81" t="s">
        <v>251</v>
      </c>
      <c r="H227" s="81" t="s">
        <v>138</v>
      </c>
      <c r="I227" s="81" t="s">
        <v>138</v>
      </c>
      <c r="J227" s="81" t="s">
        <v>248</v>
      </c>
      <c r="K227" s="81" t="s">
        <v>541</v>
      </c>
      <c r="L227" s="81" t="s">
        <v>541</v>
      </c>
      <c r="M227" s="81" t="s">
        <v>542</v>
      </c>
      <c r="N227" s="81" t="s">
        <v>543</v>
      </c>
      <c r="O227" s="81" t="s">
        <v>544</v>
      </c>
      <c r="P227" s="81" t="s">
        <v>368</v>
      </c>
      <c r="Q227" s="81" t="s">
        <v>340</v>
      </c>
      <c r="R227" s="81" t="s">
        <v>576</v>
      </c>
      <c r="S227" s="81">
        <v>0</v>
      </c>
      <c r="T227" s="81">
        <v>2</v>
      </c>
      <c r="U227" s="81" t="s">
        <v>545</v>
      </c>
    </row>
    <row r="228" spans="1:21">
      <c r="A228" s="81" t="s">
        <v>592</v>
      </c>
      <c r="B228" s="81" t="s">
        <v>77</v>
      </c>
      <c r="C228" s="81" t="s">
        <v>399</v>
      </c>
      <c r="D228" s="81" t="s">
        <v>203</v>
      </c>
      <c r="E228" s="81" t="s">
        <v>449</v>
      </c>
      <c r="F228" s="81" t="s">
        <v>450</v>
      </c>
      <c r="G228" s="81" t="s">
        <v>251</v>
      </c>
      <c r="H228" s="81" t="s">
        <v>138</v>
      </c>
      <c r="I228" s="81" t="s">
        <v>138</v>
      </c>
      <c r="J228" s="81" t="s">
        <v>248</v>
      </c>
      <c r="K228" s="81" t="s">
        <v>541</v>
      </c>
      <c r="L228" s="81" t="s">
        <v>541</v>
      </c>
      <c r="M228" s="81" t="s">
        <v>542</v>
      </c>
      <c r="N228" s="81" t="s">
        <v>543</v>
      </c>
      <c r="O228" s="81" t="s">
        <v>544</v>
      </c>
      <c r="P228" s="81" t="s">
        <v>368</v>
      </c>
      <c r="Q228" s="81" t="s">
        <v>340</v>
      </c>
      <c r="R228" s="81" t="s">
        <v>576</v>
      </c>
      <c r="S228" s="81">
        <v>0</v>
      </c>
      <c r="T228" s="81">
        <v>2</v>
      </c>
      <c r="U228" s="81" t="s">
        <v>545</v>
      </c>
    </row>
    <row r="229" spans="1:21">
      <c r="A229" s="81" t="s">
        <v>593</v>
      </c>
      <c r="B229" s="81" t="s">
        <v>77</v>
      </c>
      <c r="C229" s="81" t="s">
        <v>399</v>
      </c>
      <c r="D229" s="81" t="s">
        <v>203</v>
      </c>
      <c r="E229" s="81" t="s">
        <v>449</v>
      </c>
      <c r="F229" s="81" t="s">
        <v>450</v>
      </c>
      <c r="G229" s="81" t="s">
        <v>274</v>
      </c>
      <c r="H229" s="81" t="s">
        <v>138</v>
      </c>
      <c r="I229" s="81" t="s">
        <v>138</v>
      </c>
      <c r="J229" s="81" t="s">
        <v>402</v>
      </c>
      <c r="K229" s="81" t="s">
        <v>541</v>
      </c>
      <c r="L229" s="81" t="s">
        <v>541</v>
      </c>
      <c r="M229" s="81" t="s">
        <v>542</v>
      </c>
      <c r="N229" s="81" t="s">
        <v>543</v>
      </c>
      <c r="O229" s="81" t="s">
        <v>544</v>
      </c>
      <c r="P229" s="81" t="s">
        <v>368</v>
      </c>
      <c r="Q229" s="81" t="s">
        <v>340</v>
      </c>
      <c r="R229" s="81" t="s">
        <v>576</v>
      </c>
      <c r="S229" s="81"/>
      <c r="T229" s="81"/>
      <c r="U229" s="81" t="s">
        <v>545</v>
      </c>
    </row>
    <row r="230" spans="1:21">
      <c r="A230" s="81" t="s">
        <v>594</v>
      </c>
      <c r="B230" s="81" t="s">
        <v>77</v>
      </c>
      <c r="C230" s="81" t="s">
        <v>399</v>
      </c>
      <c r="D230" s="81" t="s">
        <v>203</v>
      </c>
      <c r="E230" s="81" t="s">
        <v>449</v>
      </c>
      <c r="F230" s="81" t="s">
        <v>450</v>
      </c>
      <c r="G230" s="81" t="s">
        <v>442</v>
      </c>
      <c r="H230" s="81" t="s">
        <v>138</v>
      </c>
      <c r="I230" s="81" t="s">
        <v>138</v>
      </c>
      <c r="J230" s="81"/>
      <c r="K230" s="81"/>
      <c r="L230" s="81" t="s">
        <v>138</v>
      </c>
      <c r="M230" s="81"/>
      <c r="N230" s="81"/>
      <c r="O230" s="81"/>
      <c r="P230" s="81" t="s">
        <v>368</v>
      </c>
      <c r="Q230" s="81" t="s">
        <v>340</v>
      </c>
      <c r="R230" s="81" t="s">
        <v>576</v>
      </c>
      <c r="S230" s="81"/>
      <c r="T230" s="81"/>
      <c r="U230" s="81" t="s">
        <v>243</v>
      </c>
    </row>
    <row r="231" spans="1:21">
      <c r="A231" s="81" t="s">
        <v>595</v>
      </c>
      <c r="B231" s="81" t="s">
        <v>77</v>
      </c>
      <c r="C231" s="81" t="s">
        <v>399</v>
      </c>
      <c r="D231" s="81" t="s">
        <v>203</v>
      </c>
      <c r="E231" s="81" t="s">
        <v>449</v>
      </c>
      <c r="F231" s="81" t="s">
        <v>450</v>
      </c>
      <c r="G231" s="81" t="s">
        <v>442</v>
      </c>
      <c r="H231" s="81" t="s">
        <v>138</v>
      </c>
      <c r="I231" s="81" t="s">
        <v>138</v>
      </c>
      <c r="J231" s="81"/>
      <c r="K231" s="81"/>
      <c r="L231" s="81" t="s">
        <v>138</v>
      </c>
      <c r="M231" s="81"/>
      <c r="N231" s="81"/>
      <c r="O231" s="81"/>
      <c r="P231" s="81" t="s">
        <v>368</v>
      </c>
      <c r="Q231" s="81" t="s">
        <v>340</v>
      </c>
      <c r="R231" s="81" t="s">
        <v>576</v>
      </c>
      <c r="S231" s="81">
        <v>7</v>
      </c>
      <c r="T231" s="81">
        <v>2.4</v>
      </c>
      <c r="U231" s="81" t="s">
        <v>243</v>
      </c>
    </row>
    <row r="232" spans="1:21">
      <c r="A232" s="81" t="s">
        <v>596</v>
      </c>
      <c r="B232" s="81" t="s">
        <v>77</v>
      </c>
      <c r="C232" s="81" t="s">
        <v>399</v>
      </c>
      <c r="D232" s="81" t="s">
        <v>203</v>
      </c>
      <c r="E232" s="81" t="s">
        <v>449</v>
      </c>
      <c r="F232" s="81" t="s">
        <v>450</v>
      </c>
      <c r="G232" s="81" t="s">
        <v>364</v>
      </c>
      <c r="H232" s="81" t="s">
        <v>138</v>
      </c>
      <c r="I232" s="81" t="s">
        <v>138</v>
      </c>
      <c r="J232" s="81"/>
      <c r="K232" s="81"/>
      <c r="L232" s="81" t="s">
        <v>138</v>
      </c>
      <c r="M232" s="81"/>
      <c r="N232" s="81"/>
      <c r="O232" s="81"/>
      <c r="P232" s="81" t="s">
        <v>368</v>
      </c>
      <c r="Q232" s="81" t="s">
        <v>340</v>
      </c>
      <c r="R232" s="81" t="s">
        <v>576</v>
      </c>
      <c r="S232" s="81"/>
      <c r="T232" s="81"/>
      <c r="U232" s="81" t="s">
        <v>243</v>
      </c>
    </row>
    <row r="233" spans="1:21">
      <c r="A233" s="81" t="s">
        <v>597</v>
      </c>
      <c r="B233" s="81" t="s">
        <v>77</v>
      </c>
      <c r="C233" s="81" t="s">
        <v>399</v>
      </c>
      <c r="D233" s="81" t="s">
        <v>203</v>
      </c>
      <c r="E233" s="81" t="s">
        <v>449</v>
      </c>
      <c r="F233" s="81" t="s">
        <v>450</v>
      </c>
      <c r="G233" s="81" t="s">
        <v>364</v>
      </c>
      <c r="H233" s="81" t="s">
        <v>138</v>
      </c>
      <c r="I233" s="81" t="s">
        <v>138</v>
      </c>
      <c r="J233" s="81"/>
      <c r="K233" s="81"/>
      <c r="L233" s="81" t="s">
        <v>138</v>
      </c>
      <c r="M233" s="81"/>
      <c r="N233" s="81"/>
      <c r="O233" s="81"/>
      <c r="P233" s="81" t="s">
        <v>368</v>
      </c>
      <c r="Q233" s="81" t="s">
        <v>340</v>
      </c>
      <c r="R233" s="81" t="s">
        <v>576</v>
      </c>
      <c r="S233" s="81">
        <v>6</v>
      </c>
      <c r="T233" s="81">
        <v>2.4</v>
      </c>
      <c r="U233" s="81" t="s">
        <v>243</v>
      </c>
    </row>
    <row r="234" spans="1:21">
      <c r="A234" s="81" t="s">
        <v>598</v>
      </c>
      <c r="B234" s="81" t="s">
        <v>77</v>
      </c>
      <c r="C234" s="81" t="s">
        <v>399</v>
      </c>
      <c r="D234" s="81" t="s">
        <v>203</v>
      </c>
      <c r="E234" s="81" t="s">
        <v>449</v>
      </c>
      <c r="F234" s="81" t="s">
        <v>450</v>
      </c>
      <c r="G234" s="81" t="s">
        <v>417</v>
      </c>
      <c r="H234" s="81" t="s">
        <v>138</v>
      </c>
      <c r="I234" s="81" t="s">
        <v>138</v>
      </c>
      <c r="J234" s="81"/>
      <c r="K234" s="81"/>
      <c r="L234" s="81" t="s">
        <v>138</v>
      </c>
      <c r="M234" s="81"/>
      <c r="N234" s="81"/>
      <c r="O234" s="81"/>
      <c r="P234" s="81" t="s">
        <v>368</v>
      </c>
      <c r="Q234" s="81" t="s">
        <v>340</v>
      </c>
      <c r="R234" s="81" t="s">
        <v>576</v>
      </c>
      <c r="S234" s="81"/>
      <c r="T234" s="81"/>
      <c r="U234" s="81" t="s">
        <v>243</v>
      </c>
    </row>
    <row r="235" spans="1:21">
      <c r="A235" s="81" t="s">
        <v>599</v>
      </c>
      <c r="B235" s="81" t="s">
        <v>77</v>
      </c>
      <c r="C235" s="81" t="s">
        <v>399</v>
      </c>
      <c r="D235" s="81" t="s">
        <v>203</v>
      </c>
      <c r="E235" s="81" t="s">
        <v>449</v>
      </c>
      <c r="F235" s="81" t="s">
        <v>450</v>
      </c>
      <c r="G235" s="81" t="s">
        <v>417</v>
      </c>
      <c r="H235" s="81" t="s">
        <v>138</v>
      </c>
      <c r="I235" s="81" t="s">
        <v>138</v>
      </c>
      <c r="J235" s="81"/>
      <c r="K235" s="81"/>
      <c r="L235" s="81" t="s">
        <v>138</v>
      </c>
      <c r="M235" s="81"/>
      <c r="N235" s="81"/>
      <c r="O235" s="81"/>
      <c r="P235" s="81" t="s">
        <v>368</v>
      </c>
      <c r="Q235" s="81" t="s">
        <v>340</v>
      </c>
      <c r="R235" s="81" t="s">
        <v>576</v>
      </c>
      <c r="S235" s="81">
        <v>4</v>
      </c>
      <c r="T235" s="81">
        <v>2.4</v>
      </c>
      <c r="U235" s="81" t="s">
        <v>243</v>
      </c>
    </row>
    <row r="236" spans="1:21">
      <c r="A236" s="81" t="s">
        <v>600</v>
      </c>
      <c r="B236" s="81" t="s">
        <v>77</v>
      </c>
      <c r="C236" s="81" t="s">
        <v>399</v>
      </c>
      <c r="D236" s="81" t="s">
        <v>203</v>
      </c>
      <c r="E236" s="81" t="s">
        <v>449</v>
      </c>
      <c r="F236" s="81" t="s">
        <v>450</v>
      </c>
      <c r="G236" s="81" t="s">
        <v>413</v>
      </c>
      <c r="H236" s="81" t="s">
        <v>138</v>
      </c>
      <c r="I236" s="81" t="s">
        <v>138</v>
      </c>
      <c r="J236" s="81"/>
      <c r="K236" s="81"/>
      <c r="L236" s="81" t="s">
        <v>138</v>
      </c>
      <c r="M236" s="81"/>
      <c r="N236" s="81"/>
      <c r="O236" s="81"/>
      <c r="P236" s="81" t="s">
        <v>368</v>
      </c>
      <c r="Q236" s="81" t="s">
        <v>340</v>
      </c>
      <c r="R236" s="81" t="s">
        <v>576</v>
      </c>
      <c r="S236" s="81"/>
      <c r="T236" s="81"/>
      <c r="U236" s="81" t="s">
        <v>243</v>
      </c>
    </row>
    <row r="237" spans="1:21">
      <c r="A237" s="81" t="s">
        <v>601</v>
      </c>
      <c r="B237" s="81" t="s">
        <v>77</v>
      </c>
      <c r="C237" s="81" t="s">
        <v>399</v>
      </c>
      <c r="D237" s="81" t="s">
        <v>203</v>
      </c>
      <c r="E237" s="81" t="s">
        <v>449</v>
      </c>
      <c r="F237" s="81" t="s">
        <v>450</v>
      </c>
      <c r="G237" s="81" t="s">
        <v>413</v>
      </c>
      <c r="H237" s="81" t="s">
        <v>138</v>
      </c>
      <c r="I237" s="81" t="s">
        <v>138</v>
      </c>
      <c r="J237" s="81"/>
      <c r="K237" s="81"/>
      <c r="L237" s="81" t="s">
        <v>138</v>
      </c>
      <c r="M237" s="81"/>
      <c r="N237" s="81"/>
      <c r="O237" s="81"/>
      <c r="P237" s="81" t="s">
        <v>368</v>
      </c>
      <c r="Q237" s="81" t="s">
        <v>340</v>
      </c>
      <c r="R237" s="81" t="s">
        <v>576</v>
      </c>
      <c r="S237" s="81">
        <v>5</v>
      </c>
      <c r="T237" s="81">
        <v>2.4</v>
      </c>
      <c r="U237" s="81" t="s">
        <v>243</v>
      </c>
    </row>
    <row r="238" spans="1:21">
      <c r="A238" s="81" t="s">
        <v>602</v>
      </c>
      <c r="B238" s="81" t="s">
        <v>77</v>
      </c>
      <c r="C238" s="81" t="s">
        <v>399</v>
      </c>
      <c r="D238" s="81" t="s">
        <v>203</v>
      </c>
      <c r="E238" s="81" t="s">
        <v>449</v>
      </c>
      <c r="F238" s="81" t="s">
        <v>450</v>
      </c>
      <c r="G238" s="81" t="s">
        <v>285</v>
      </c>
      <c r="H238" s="81" t="s">
        <v>138</v>
      </c>
      <c r="I238" s="81" t="s">
        <v>138</v>
      </c>
      <c r="J238" s="81"/>
      <c r="K238" s="81"/>
      <c r="L238" s="81" t="s">
        <v>138</v>
      </c>
      <c r="M238" s="81"/>
      <c r="N238" s="81"/>
      <c r="O238" s="81"/>
      <c r="P238" s="81" t="s">
        <v>368</v>
      </c>
      <c r="Q238" s="81" t="s">
        <v>340</v>
      </c>
      <c r="R238" s="81" t="s">
        <v>603</v>
      </c>
      <c r="S238" s="81"/>
      <c r="T238" s="81"/>
      <c r="U238" s="81" t="s">
        <v>243</v>
      </c>
    </row>
    <row r="239" spans="1:21">
      <c r="A239" s="81" t="s">
        <v>604</v>
      </c>
      <c r="B239" s="81" t="s">
        <v>77</v>
      </c>
      <c r="C239" s="81" t="s">
        <v>399</v>
      </c>
      <c r="D239" s="81" t="s">
        <v>203</v>
      </c>
      <c r="E239" s="81" t="s">
        <v>392</v>
      </c>
      <c r="F239" s="81" t="s">
        <v>393</v>
      </c>
      <c r="G239" s="81" t="s">
        <v>336</v>
      </c>
      <c r="H239" s="81" t="s">
        <v>138</v>
      </c>
      <c r="I239" s="81" t="s">
        <v>138</v>
      </c>
      <c r="J239" s="81" t="s">
        <v>274</v>
      </c>
      <c r="K239" s="81" t="s">
        <v>117</v>
      </c>
      <c r="L239" s="81" t="s">
        <v>117</v>
      </c>
      <c r="M239" s="81" t="s">
        <v>605</v>
      </c>
      <c r="N239" s="81" t="s">
        <v>253</v>
      </c>
      <c r="O239" s="81" t="s">
        <v>338</v>
      </c>
      <c r="P239" s="81" t="s">
        <v>339</v>
      </c>
      <c r="Q239" s="81" t="s">
        <v>340</v>
      </c>
      <c r="R239" s="81" t="s">
        <v>606</v>
      </c>
      <c r="S239" s="81">
        <v>3</v>
      </c>
      <c r="T239" s="81">
        <v>43.4</v>
      </c>
      <c r="U239" s="81" t="s">
        <v>341</v>
      </c>
    </row>
    <row r="240" spans="1:21">
      <c r="A240" s="81" t="s">
        <v>607</v>
      </c>
      <c r="B240" s="81" t="s">
        <v>77</v>
      </c>
      <c r="C240" s="81" t="s">
        <v>399</v>
      </c>
      <c r="D240" s="81" t="s">
        <v>203</v>
      </c>
      <c r="E240" s="81" t="s">
        <v>392</v>
      </c>
      <c r="F240" s="81" t="s">
        <v>393</v>
      </c>
      <c r="G240" s="81" t="s">
        <v>336</v>
      </c>
      <c r="H240" s="81" t="s">
        <v>138</v>
      </c>
      <c r="I240" s="81" t="s">
        <v>138</v>
      </c>
      <c r="J240" s="81" t="s">
        <v>248</v>
      </c>
      <c r="K240" s="81" t="s">
        <v>117</v>
      </c>
      <c r="L240" s="81" t="s">
        <v>117</v>
      </c>
      <c r="M240" s="81" t="s">
        <v>337</v>
      </c>
      <c r="N240" s="81" t="s">
        <v>253</v>
      </c>
      <c r="O240" s="81" t="s">
        <v>338</v>
      </c>
      <c r="P240" s="81" t="s">
        <v>339</v>
      </c>
      <c r="Q240" s="81" t="s">
        <v>340</v>
      </c>
      <c r="R240" s="81" t="s">
        <v>606</v>
      </c>
      <c r="S240" s="81"/>
      <c r="T240" s="81"/>
      <c r="U240" s="81" t="s">
        <v>341</v>
      </c>
    </row>
    <row r="241" spans="1:21">
      <c r="A241" s="81" t="s">
        <v>608</v>
      </c>
      <c r="B241" s="81" t="s">
        <v>77</v>
      </c>
      <c r="C241" s="81" t="s">
        <v>399</v>
      </c>
      <c r="D241" s="81" t="s">
        <v>203</v>
      </c>
      <c r="E241" s="81" t="s">
        <v>392</v>
      </c>
      <c r="F241" s="81" t="s">
        <v>393</v>
      </c>
      <c r="G241" s="81" t="s">
        <v>336</v>
      </c>
      <c r="H241" s="81" t="s">
        <v>138</v>
      </c>
      <c r="I241" s="81" t="s">
        <v>138</v>
      </c>
      <c r="J241" s="81" t="s">
        <v>344</v>
      </c>
      <c r="K241" s="81" t="s">
        <v>117</v>
      </c>
      <c r="L241" s="81" t="s">
        <v>117</v>
      </c>
      <c r="M241" s="81" t="s">
        <v>605</v>
      </c>
      <c r="N241" s="81" t="s">
        <v>253</v>
      </c>
      <c r="O241" s="81" t="s">
        <v>338</v>
      </c>
      <c r="P241" s="81" t="s">
        <v>339</v>
      </c>
      <c r="Q241" s="81" t="s">
        <v>340</v>
      </c>
      <c r="R241" s="81" t="s">
        <v>606</v>
      </c>
      <c r="S241" s="81"/>
      <c r="T241" s="81"/>
      <c r="U241" s="81" t="s">
        <v>341</v>
      </c>
    </row>
    <row r="242" spans="1:21">
      <c r="A242" s="81" t="s">
        <v>609</v>
      </c>
      <c r="B242" s="81" t="s">
        <v>77</v>
      </c>
      <c r="C242" s="81" t="s">
        <v>399</v>
      </c>
      <c r="D242" s="81" t="s">
        <v>203</v>
      </c>
      <c r="E242" s="81" t="s">
        <v>392</v>
      </c>
      <c r="F242" s="81" t="s">
        <v>393</v>
      </c>
      <c r="G242" s="81" t="s">
        <v>336</v>
      </c>
      <c r="H242" s="81" t="s">
        <v>138</v>
      </c>
      <c r="I242" s="81" t="s">
        <v>138</v>
      </c>
      <c r="J242" s="81" t="s">
        <v>274</v>
      </c>
      <c r="K242" s="81" t="s">
        <v>117</v>
      </c>
      <c r="L242" s="81" t="s">
        <v>117</v>
      </c>
      <c r="M242" s="81" t="s">
        <v>605</v>
      </c>
      <c r="N242" s="81" t="s">
        <v>253</v>
      </c>
      <c r="O242" s="81" t="s">
        <v>338</v>
      </c>
      <c r="P242" s="81" t="s">
        <v>339</v>
      </c>
      <c r="Q242" s="81" t="s">
        <v>340</v>
      </c>
      <c r="R242" s="81" t="s">
        <v>606</v>
      </c>
      <c r="S242" s="81">
        <v>3</v>
      </c>
      <c r="T242" s="81">
        <v>43.4</v>
      </c>
      <c r="U242" s="81" t="s">
        <v>341</v>
      </c>
    </row>
    <row r="243" spans="1:21">
      <c r="A243" s="81" t="s">
        <v>610</v>
      </c>
      <c r="B243" s="81" t="s">
        <v>77</v>
      </c>
      <c r="C243" s="81" t="s">
        <v>399</v>
      </c>
      <c r="D243" s="81" t="s">
        <v>203</v>
      </c>
      <c r="E243" s="81" t="s">
        <v>392</v>
      </c>
      <c r="F243" s="81" t="s">
        <v>393</v>
      </c>
      <c r="G243" s="81" t="s">
        <v>336</v>
      </c>
      <c r="H243" s="81" t="s">
        <v>138</v>
      </c>
      <c r="I243" s="81" t="s">
        <v>138</v>
      </c>
      <c r="J243" s="81" t="s">
        <v>248</v>
      </c>
      <c r="K243" s="81" t="s">
        <v>117</v>
      </c>
      <c r="L243" s="81" t="s">
        <v>117</v>
      </c>
      <c r="M243" s="81" t="s">
        <v>337</v>
      </c>
      <c r="N243" s="81" t="s">
        <v>253</v>
      </c>
      <c r="O243" s="81" t="s">
        <v>338</v>
      </c>
      <c r="P243" s="81" t="s">
        <v>339</v>
      </c>
      <c r="Q243" s="81" t="s">
        <v>340</v>
      </c>
      <c r="R243" s="81" t="s">
        <v>606</v>
      </c>
      <c r="S243" s="81"/>
      <c r="T243" s="81"/>
      <c r="U243" s="81" t="s">
        <v>341</v>
      </c>
    </row>
    <row r="244" spans="1:21">
      <c r="A244" s="81" t="s">
        <v>611</v>
      </c>
      <c r="B244" s="81" t="s">
        <v>77</v>
      </c>
      <c r="C244" s="81" t="s">
        <v>399</v>
      </c>
      <c r="D244" s="81" t="s">
        <v>203</v>
      </c>
      <c r="E244" s="81" t="s">
        <v>392</v>
      </c>
      <c r="F244" s="81" t="s">
        <v>393</v>
      </c>
      <c r="G244" s="81" t="s">
        <v>336</v>
      </c>
      <c r="H244" s="81" t="s">
        <v>138</v>
      </c>
      <c r="I244" s="81" t="s">
        <v>138</v>
      </c>
      <c r="J244" s="81" t="s">
        <v>344</v>
      </c>
      <c r="K244" s="81" t="s">
        <v>117</v>
      </c>
      <c r="L244" s="81" t="s">
        <v>117</v>
      </c>
      <c r="M244" s="81" t="s">
        <v>605</v>
      </c>
      <c r="N244" s="81" t="s">
        <v>253</v>
      </c>
      <c r="O244" s="81" t="s">
        <v>338</v>
      </c>
      <c r="P244" s="81" t="s">
        <v>339</v>
      </c>
      <c r="Q244" s="81" t="s">
        <v>340</v>
      </c>
      <c r="R244" s="81" t="s">
        <v>606</v>
      </c>
      <c r="S244" s="81"/>
      <c r="T244" s="81"/>
      <c r="U244" s="81" t="s">
        <v>341</v>
      </c>
    </row>
    <row r="245" spans="1:21">
      <c r="A245" s="81" t="s">
        <v>612</v>
      </c>
      <c r="B245" s="81" t="s">
        <v>77</v>
      </c>
      <c r="C245" s="81" t="s">
        <v>399</v>
      </c>
      <c r="D245" s="81" t="s">
        <v>203</v>
      </c>
      <c r="E245" s="81" t="s">
        <v>392</v>
      </c>
      <c r="F245" s="81" t="s">
        <v>393</v>
      </c>
      <c r="G245" s="81" t="s">
        <v>336</v>
      </c>
      <c r="H245" s="81" t="s">
        <v>138</v>
      </c>
      <c r="I245" s="81" t="s">
        <v>138</v>
      </c>
      <c r="J245" s="81" t="s">
        <v>402</v>
      </c>
      <c r="K245" s="81" t="s">
        <v>117</v>
      </c>
      <c r="L245" s="81" t="s">
        <v>117</v>
      </c>
      <c r="M245" s="81" t="s">
        <v>394</v>
      </c>
      <c r="N245" s="81" t="s">
        <v>253</v>
      </c>
      <c r="O245" s="81" t="s">
        <v>338</v>
      </c>
      <c r="P245" s="81" t="s">
        <v>339</v>
      </c>
      <c r="Q245" s="81" t="s">
        <v>340</v>
      </c>
      <c r="R245" s="81" t="s">
        <v>606</v>
      </c>
      <c r="S245" s="81"/>
      <c r="T245" s="81"/>
      <c r="U245" s="81" t="s">
        <v>341</v>
      </c>
    </row>
    <row r="246" spans="1:21">
      <c r="A246" s="81" t="s">
        <v>613</v>
      </c>
      <c r="B246" s="81" t="s">
        <v>77</v>
      </c>
      <c r="C246" s="81" t="s">
        <v>399</v>
      </c>
      <c r="D246" s="81" t="s">
        <v>203</v>
      </c>
      <c r="E246" s="81" t="s">
        <v>392</v>
      </c>
      <c r="F246" s="81" t="s">
        <v>393</v>
      </c>
      <c r="G246" s="81" t="s">
        <v>336</v>
      </c>
      <c r="H246" s="81" t="s">
        <v>138</v>
      </c>
      <c r="I246" s="81" t="s">
        <v>138</v>
      </c>
      <c r="J246" s="81" t="s">
        <v>402</v>
      </c>
      <c r="K246" s="81" t="s">
        <v>365</v>
      </c>
      <c r="L246" s="81" t="s">
        <v>366</v>
      </c>
      <c r="M246" s="81" t="s">
        <v>367</v>
      </c>
      <c r="N246" s="81" t="s">
        <v>253</v>
      </c>
      <c r="O246" s="81" t="s">
        <v>414</v>
      </c>
      <c r="P246" s="81" t="s">
        <v>339</v>
      </c>
      <c r="Q246" s="81" t="s">
        <v>340</v>
      </c>
      <c r="R246" s="81" t="s">
        <v>606</v>
      </c>
      <c r="S246" s="81"/>
      <c r="T246" s="81"/>
      <c r="U246" s="81" t="s">
        <v>341</v>
      </c>
    </row>
    <row r="247" spans="1:21">
      <c r="A247" s="81" t="s">
        <v>614</v>
      </c>
      <c r="B247" s="81" t="s">
        <v>77</v>
      </c>
      <c r="C247" s="81" t="s">
        <v>399</v>
      </c>
      <c r="D247" s="81" t="s">
        <v>203</v>
      </c>
      <c r="E247" s="81" t="s">
        <v>362</v>
      </c>
      <c r="F247" s="81" t="s">
        <v>363</v>
      </c>
      <c r="G247" s="81" t="s">
        <v>238</v>
      </c>
      <c r="H247" s="81" t="s">
        <v>138</v>
      </c>
      <c r="I247" s="81" t="s">
        <v>138</v>
      </c>
      <c r="J247" s="81" t="s">
        <v>402</v>
      </c>
      <c r="K247" s="81" t="s">
        <v>365</v>
      </c>
      <c r="L247" s="81" t="s">
        <v>366</v>
      </c>
      <c r="M247" s="81" t="s">
        <v>367</v>
      </c>
      <c r="N247" s="81" t="s">
        <v>253</v>
      </c>
      <c r="O247" s="81" t="s">
        <v>414</v>
      </c>
      <c r="P247" s="81" t="s">
        <v>339</v>
      </c>
      <c r="Q247" s="81" t="s">
        <v>340</v>
      </c>
      <c r="R247" s="81" t="s">
        <v>606</v>
      </c>
      <c r="S247" s="81"/>
      <c r="T247" s="81"/>
      <c r="U247" s="81" t="s">
        <v>243</v>
      </c>
    </row>
    <row r="248" spans="1:21">
      <c r="A248" s="81" t="s">
        <v>615</v>
      </c>
      <c r="B248" s="81" t="s">
        <v>77</v>
      </c>
      <c r="C248" s="81" t="s">
        <v>399</v>
      </c>
      <c r="D248" s="81" t="s">
        <v>203</v>
      </c>
      <c r="E248" s="81" t="s">
        <v>392</v>
      </c>
      <c r="F248" s="81" t="s">
        <v>393</v>
      </c>
      <c r="G248" s="81" t="s">
        <v>336</v>
      </c>
      <c r="H248" s="81" t="s">
        <v>138</v>
      </c>
      <c r="I248" s="81" t="s">
        <v>138</v>
      </c>
      <c r="J248" s="81" t="s">
        <v>344</v>
      </c>
      <c r="K248" s="81" t="s">
        <v>117</v>
      </c>
      <c r="L248" s="81" t="s">
        <v>117</v>
      </c>
      <c r="M248" s="81" t="s">
        <v>605</v>
      </c>
      <c r="N248" s="81" t="s">
        <v>253</v>
      </c>
      <c r="O248" s="81" t="s">
        <v>338</v>
      </c>
      <c r="P248" s="81" t="s">
        <v>339</v>
      </c>
      <c r="Q248" s="81" t="s">
        <v>340</v>
      </c>
      <c r="R248" s="81" t="s">
        <v>616</v>
      </c>
      <c r="S248" s="81"/>
      <c r="T248" s="81"/>
      <c r="U248" s="81" t="s">
        <v>341</v>
      </c>
    </row>
    <row r="249" spans="1:21">
      <c r="A249" s="81" t="s">
        <v>617</v>
      </c>
      <c r="B249" s="81" t="s">
        <v>77</v>
      </c>
      <c r="C249" s="81" t="s">
        <v>399</v>
      </c>
      <c r="D249" s="81" t="s">
        <v>203</v>
      </c>
      <c r="E249" s="81" t="s">
        <v>392</v>
      </c>
      <c r="F249" s="81" t="s">
        <v>393</v>
      </c>
      <c r="G249" s="81" t="s">
        <v>336</v>
      </c>
      <c r="H249" s="81" t="s">
        <v>138</v>
      </c>
      <c r="I249" s="81" t="s">
        <v>138</v>
      </c>
      <c r="J249" s="81" t="s">
        <v>256</v>
      </c>
      <c r="K249" s="81" t="s">
        <v>117</v>
      </c>
      <c r="L249" s="81" t="s">
        <v>117</v>
      </c>
      <c r="M249" s="81" t="s">
        <v>394</v>
      </c>
      <c r="N249" s="81" t="s">
        <v>253</v>
      </c>
      <c r="O249" s="81" t="s">
        <v>338</v>
      </c>
      <c r="P249" s="81" t="s">
        <v>339</v>
      </c>
      <c r="Q249" s="81" t="s">
        <v>340</v>
      </c>
      <c r="R249" s="81" t="s">
        <v>616</v>
      </c>
      <c r="S249" s="81"/>
      <c r="T249" s="81"/>
      <c r="U249" s="81" t="s">
        <v>341</v>
      </c>
    </row>
    <row r="250" spans="1:21">
      <c r="A250" s="81" t="s">
        <v>618</v>
      </c>
      <c r="B250" s="81" t="s">
        <v>77</v>
      </c>
      <c r="C250" s="81" t="s">
        <v>399</v>
      </c>
      <c r="D250" s="81" t="s">
        <v>203</v>
      </c>
      <c r="E250" s="81" t="s">
        <v>392</v>
      </c>
      <c r="F250" s="81" t="s">
        <v>393</v>
      </c>
      <c r="G250" s="81" t="s">
        <v>336</v>
      </c>
      <c r="H250" s="81" t="s">
        <v>138</v>
      </c>
      <c r="I250" s="81" t="s">
        <v>138</v>
      </c>
      <c r="J250" s="81" t="s">
        <v>344</v>
      </c>
      <c r="K250" s="81" t="s">
        <v>117</v>
      </c>
      <c r="L250" s="81" t="s">
        <v>117</v>
      </c>
      <c r="M250" s="81" t="s">
        <v>605</v>
      </c>
      <c r="N250" s="81" t="s">
        <v>253</v>
      </c>
      <c r="O250" s="81" t="s">
        <v>338</v>
      </c>
      <c r="P250" s="81" t="s">
        <v>339</v>
      </c>
      <c r="Q250" s="81" t="s">
        <v>340</v>
      </c>
      <c r="R250" s="81" t="s">
        <v>616</v>
      </c>
      <c r="S250" s="81"/>
      <c r="T250" s="81"/>
      <c r="U250" s="81" t="s">
        <v>341</v>
      </c>
    </row>
    <row r="251" spans="1:21">
      <c r="A251" s="81" t="s">
        <v>619</v>
      </c>
      <c r="B251" s="81" t="s">
        <v>77</v>
      </c>
      <c r="C251" s="81" t="s">
        <v>399</v>
      </c>
      <c r="D251" s="81" t="s">
        <v>203</v>
      </c>
      <c r="E251" s="81" t="s">
        <v>392</v>
      </c>
      <c r="F251" s="81" t="s">
        <v>393</v>
      </c>
      <c r="G251" s="81" t="s">
        <v>336</v>
      </c>
      <c r="H251" s="81" t="s">
        <v>138</v>
      </c>
      <c r="I251" s="81" t="s">
        <v>138</v>
      </c>
      <c r="J251" s="81" t="s">
        <v>497</v>
      </c>
      <c r="K251" s="81" t="s">
        <v>117</v>
      </c>
      <c r="L251" s="81" t="s">
        <v>117</v>
      </c>
      <c r="M251" s="81" t="s">
        <v>337</v>
      </c>
      <c r="N251" s="81" t="s">
        <v>253</v>
      </c>
      <c r="O251" s="81" t="s">
        <v>338</v>
      </c>
      <c r="P251" s="81" t="s">
        <v>339</v>
      </c>
      <c r="Q251" s="81" t="s">
        <v>340</v>
      </c>
      <c r="R251" s="81" t="s">
        <v>616</v>
      </c>
      <c r="S251" s="81"/>
      <c r="T251" s="81"/>
      <c r="U251" s="81" t="s">
        <v>341</v>
      </c>
    </row>
    <row r="252" spans="1:21">
      <c r="A252" s="81" t="s">
        <v>620</v>
      </c>
      <c r="B252" s="81" t="s">
        <v>77</v>
      </c>
      <c r="C252" s="81" t="s">
        <v>399</v>
      </c>
      <c r="D252" s="81" t="s">
        <v>203</v>
      </c>
      <c r="E252" s="81" t="s">
        <v>392</v>
      </c>
      <c r="F252" s="81" t="s">
        <v>393</v>
      </c>
      <c r="G252" s="81" t="s">
        <v>336</v>
      </c>
      <c r="H252" s="81" t="s">
        <v>138</v>
      </c>
      <c r="I252" s="81" t="s">
        <v>138</v>
      </c>
      <c r="J252" s="81" t="s">
        <v>344</v>
      </c>
      <c r="K252" s="81" t="s">
        <v>117</v>
      </c>
      <c r="L252" s="81" t="s">
        <v>117</v>
      </c>
      <c r="M252" s="81" t="s">
        <v>605</v>
      </c>
      <c r="N252" s="81" t="s">
        <v>253</v>
      </c>
      <c r="O252" s="81" t="s">
        <v>338</v>
      </c>
      <c r="P252" s="81" t="s">
        <v>339</v>
      </c>
      <c r="Q252" s="81" t="s">
        <v>340</v>
      </c>
      <c r="R252" s="81" t="s">
        <v>616</v>
      </c>
      <c r="S252" s="81">
        <v>1</v>
      </c>
      <c r="T252" s="81">
        <v>0</v>
      </c>
      <c r="U252" s="81" t="s">
        <v>341</v>
      </c>
    </row>
    <row r="253" spans="1:21">
      <c r="A253" s="81" t="s">
        <v>621</v>
      </c>
      <c r="B253" s="81" t="s">
        <v>77</v>
      </c>
      <c r="C253" s="81" t="s">
        <v>399</v>
      </c>
      <c r="D253" s="81" t="s">
        <v>203</v>
      </c>
      <c r="E253" s="81" t="s">
        <v>392</v>
      </c>
      <c r="F253" s="81" t="s">
        <v>393</v>
      </c>
      <c r="G253" s="81" t="s">
        <v>336</v>
      </c>
      <c r="H253" s="81" t="s">
        <v>138</v>
      </c>
      <c r="I253" s="81" t="s">
        <v>138</v>
      </c>
      <c r="J253" s="81" t="s">
        <v>256</v>
      </c>
      <c r="K253" s="81" t="s">
        <v>117</v>
      </c>
      <c r="L253" s="81" t="s">
        <v>117</v>
      </c>
      <c r="M253" s="81" t="s">
        <v>394</v>
      </c>
      <c r="N253" s="81" t="s">
        <v>253</v>
      </c>
      <c r="O253" s="81" t="s">
        <v>338</v>
      </c>
      <c r="P253" s="81" t="s">
        <v>339</v>
      </c>
      <c r="Q253" s="81" t="s">
        <v>340</v>
      </c>
      <c r="R253" s="81" t="s">
        <v>616</v>
      </c>
      <c r="S253" s="81"/>
      <c r="T253" s="81"/>
      <c r="U253" s="81" t="s">
        <v>341</v>
      </c>
    </row>
    <row r="254" spans="1:21">
      <c r="A254" s="81" t="s">
        <v>622</v>
      </c>
      <c r="B254" s="81" t="s">
        <v>77</v>
      </c>
      <c r="C254" s="81" t="s">
        <v>399</v>
      </c>
      <c r="D254" s="81" t="s">
        <v>203</v>
      </c>
      <c r="E254" s="81" t="s">
        <v>392</v>
      </c>
      <c r="F254" s="81" t="s">
        <v>393</v>
      </c>
      <c r="G254" s="81" t="s">
        <v>336</v>
      </c>
      <c r="H254" s="81" t="s">
        <v>138</v>
      </c>
      <c r="I254" s="81" t="s">
        <v>138</v>
      </c>
      <c r="J254" s="81" t="s">
        <v>497</v>
      </c>
      <c r="K254" s="81" t="s">
        <v>117</v>
      </c>
      <c r="L254" s="81" t="s">
        <v>117</v>
      </c>
      <c r="M254" s="81" t="s">
        <v>337</v>
      </c>
      <c r="N254" s="81" t="s">
        <v>253</v>
      </c>
      <c r="O254" s="81" t="s">
        <v>338</v>
      </c>
      <c r="P254" s="81" t="s">
        <v>339</v>
      </c>
      <c r="Q254" s="81" t="s">
        <v>340</v>
      </c>
      <c r="R254" s="81" t="s">
        <v>616</v>
      </c>
      <c r="S254" s="81"/>
      <c r="T254" s="81"/>
      <c r="U254" s="81" t="s">
        <v>341</v>
      </c>
    </row>
    <row r="255" spans="1:21">
      <c r="A255" s="81" t="s">
        <v>623</v>
      </c>
      <c r="B255" s="81" t="s">
        <v>77</v>
      </c>
      <c r="C255" s="81" t="s">
        <v>399</v>
      </c>
      <c r="D255" s="81" t="s">
        <v>203</v>
      </c>
      <c r="E255" s="81" t="s">
        <v>392</v>
      </c>
      <c r="F255" s="81" t="s">
        <v>393</v>
      </c>
      <c r="G255" s="81" t="s">
        <v>336</v>
      </c>
      <c r="H255" s="81" t="s">
        <v>138</v>
      </c>
      <c r="I255" s="81" t="s">
        <v>138</v>
      </c>
      <c r="J255" s="81" t="s">
        <v>344</v>
      </c>
      <c r="K255" s="81" t="s">
        <v>117</v>
      </c>
      <c r="L255" s="81" t="s">
        <v>117</v>
      </c>
      <c r="M255" s="81" t="s">
        <v>605</v>
      </c>
      <c r="N255" s="81" t="s">
        <v>253</v>
      </c>
      <c r="O255" s="81" t="s">
        <v>338</v>
      </c>
      <c r="P255" s="81" t="s">
        <v>339</v>
      </c>
      <c r="Q255" s="81" t="s">
        <v>340</v>
      </c>
      <c r="R255" s="81" t="s">
        <v>616</v>
      </c>
      <c r="S255" s="81">
        <v>1</v>
      </c>
      <c r="T255" s="81">
        <v>0</v>
      </c>
      <c r="U255" s="81" t="s">
        <v>341</v>
      </c>
    </row>
    <row r="256" spans="1:21">
      <c r="A256" s="81" t="s">
        <v>624</v>
      </c>
      <c r="B256" s="81" t="s">
        <v>77</v>
      </c>
      <c r="C256" s="81" t="s">
        <v>399</v>
      </c>
      <c r="D256" s="81" t="s">
        <v>203</v>
      </c>
      <c r="E256" s="81" t="s">
        <v>392</v>
      </c>
      <c r="F256" s="81" t="s">
        <v>393</v>
      </c>
      <c r="G256" s="81" t="s">
        <v>336</v>
      </c>
      <c r="H256" s="81" t="s">
        <v>138</v>
      </c>
      <c r="I256" s="81" t="s">
        <v>138</v>
      </c>
      <c r="J256" s="81" t="s">
        <v>402</v>
      </c>
      <c r="K256" s="81" t="s">
        <v>117</v>
      </c>
      <c r="L256" s="81" t="s">
        <v>117</v>
      </c>
      <c r="M256" s="81" t="s">
        <v>394</v>
      </c>
      <c r="N256" s="81" t="s">
        <v>253</v>
      </c>
      <c r="O256" s="81" t="s">
        <v>338</v>
      </c>
      <c r="P256" s="81" t="s">
        <v>339</v>
      </c>
      <c r="Q256" s="81" t="s">
        <v>340</v>
      </c>
      <c r="R256" s="81" t="s">
        <v>616</v>
      </c>
      <c r="S256" s="81"/>
      <c r="T256" s="81"/>
      <c r="U256" s="81" t="s">
        <v>341</v>
      </c>
    </row>
    <row r="257" spans="1:21">
      <c r="A257" s="81" t="s">
        <v>625</v>
      </c>
      <c r="B257" s="81" t="s">
        <v>77</v>
      </c>
      <c r="C257" s="81" t="s">
        <v>399</v>
      </c>
      <c r="D257" s="81" t="s">
        <v>203</v>
      </c>
      <c r="E257" s="81" t="s">
        <v>392</v>
      </c>
      <c r="F257" s="81" t="s">
        <v>393</v>
      </c>
      <c r="G257" s="81" t="s">
        <v>336</v>
      </c>
      <c r="H257" s="81" t="s">
        <v>138</v>
      </c>
      <c r="I257" s="81" t="s">
        <v>138</v>
      </c>
      <c r="J257" s="81" t="s">
        <v>402</v>
      </c>
      <c r="K257" s="81" t="s">
        <v>117</v>
      </c>
      <c r="L257" s="81" t="s">
        <v>117</v>
      </c>
      <c r="M257" s="81" t="s">
        <v>394</v>
      </c>
      <c r="N257" s="81" t="s">
        <v>253</v>
      </c>
      <c r="O257" s="81" t="s">
        <v>338</v>
      </c>
      <c r="P257" s="81" t="s">
        <v>339</v>
      </c>
      <c r="Q257" s="81" t="s">
        <v>340</v>
      </c>
      <c r="R257" s="81" t="s">
        <v>616</v>
      </c>
      <c r="S257" s="81"/>
      <c r="T257" s="81"/>
      <c r="U257" s="81" t="s">
        <v>341</v>
      </c>
    </row>
    <row r="258" spans="1:21">
      <c r="A258" s="81" t="s">
        <v>626</v>
      </c>
      <c r="B258" s="81" t="s">
        <v>77</v>
      </c>
      <c r="C258" s="81" t="s">
        <v>399</v>
      </c>
      <c r="D258" s="81" t="s">
        <v>203</v>
      </c>
      <c r="E258" s="81" t="s">
        <v>392</v>
      </c>
      <c r="F258" s="81" t="s">
        <v>393</v>
      </c>
      <c r="G258" s="81" t="s">
        <v>336</v>
      </c>
      <c r="H258" s="81" t="s">
        <v>138</v>
      </c>
      <c r="I258" s="81" t="s">
        <v>138</v>
      </c>
      <c r="J258" s="81"/>
      <c r="K258" s="81"/>
      <c r="L258" s="81" t="s">
        <v>138</v>
      </c>
      <c r="M258" s="81"/>
      <c r="N258" s="81"/>
      <c r="O258" s="81"/>
      <c r="P258" s="81" t="s">
        <v>339</v>
      </c>
      <c r="Q258" s="81" t="s">
        <v>340</v>
      </c>
      <c r="R258" s="81" t="s">
        <v>616</v>
      </c>
      <c r="S258" s="81"/>
      <c r="T258" s="81"/>
      <c r="U258" s="81" t="s">
        <v>341</v>
      </c>
    </row>
    <row r="259" spans="1:21">
      <c r="A259" s="81" t="s">
        <v>627</v>
      </c>
      <c r="B259" s="81" t="s">
        <v>77</v>
      </c>
      <c r="C259" s="81" t="s">
        <v>399</v>
      </c>
      <c r="D259" s="81" t="s">
        <v>203</v>
      </c>
      <c r="E259" s="81" t="s">
        <v>392</v>
      </c>
      <c r="F259" s="81" t="s">
        <v>393</v>
      </c>
      <c r="G259" s="81" t="s">
        <v>336</v>
      </c>
      <c r="H259" s="81" t="s">
        <v>138</v>
      </c>
      <c r="I259" s="81" t="s">
        <v>138</v>
      </c>
      <c r="J259" s="81"/>
      <c r="K259" s="81"/>
      <c r="L259" s="81" t="s">
        <v>138</v>
      </c>
      <c r="M259" s="81"/>
      <c r="N259" s="81"/>
      <c r="O259" s="81"/>
      <c r="P259" s="81" t="s">
        <v>339</v>
      </c>
      <c r="Q259" s="81" t="s">
        <v>340</v>
      </c>
      <c r="R259" s="81" t="s">
        <v>616</v>
      </c>
      <c r="S259" s="81"/>
      <c r="T259" s="81"/>
      <c r="U259" s="81" t="s">
        <v>341</v>
      </c>
    </row>
    <row r="260" spans="1:21">
      <c r="A260" s="81" t="s">
        <v>628</v>
      </c>
      <c r="B260" s="81" t="s">
        <v>77</v>
      </c>
      <c r="C260" s="81" t="s">
        <v>399</v>
      </c>
      <c r="D260" s="81" t="s">
        <v>203</v>
      </c>
      <c r="E260" s="81" t="s">
        <v>629</v>
      </c>
      <c r="F260" s="81" t="s">
        <v>630</v>
      </c>
      <c r="G260" s="81" t="s">
        <v>336</v>
      </c>
      <c r="H260" s="81" t="s">
        <v>138</v>
      </c>
      <c r="I260" s="81" t="s">
        <v>138</v>
      </c>
      <c r="J260" s="81" t="s">
        <v>248</v>
      </c>
      <c r="K260" s="81" t="s">
        <v>631</v>
      </c>
      <c r="L260" s="81" t="s">
        <v>632</v>
      </c>
      <c r="M260" s="81" t="s">
        <v>367</v>
      </c>
      <c r="N260" s="81" t="s">
        <v>253</v>
      </c>
      <c r="O260" s="81" t="s">
        <v>633</v>
      </c>
      <c r="P260" s="81" t="s">
        <v>456</v>
      </c>
      <c r="Q260" s="81" t="s">
        <v>260</v>
      </c>
      <c r="R260" s="81" t="s">
        <v>634</v>
      </c>
      <c r="S260" s="81">
        <v>7</v>
      </c>
      <c r="T260" s="81">
        <v>40</v>
      </c>
      <c r="U260" s="81" t="s">
        <v>341</v>
      </c>
    </row>
    <row r="261" spans="1:21">
      <c r="A261" s="81" t="s">
        <v>635</v>
      </c>
      <c r="B261" s="81" t="s">
        <v>77</v>
      </c>
      <c r="C261" s="81" t="s">
        <v>399</v>
      </c>
      <c r="D261" s="81" t="s">
        <v>203</v>
      </c>
      <c r="E261" s="81" t="s">
        <v>629</v>
      </c>
      <c r="F261" s="81" t="s">
        <v>630</v>
      </c>
      <c r="G261" s="81" t="s">
        <v>336</v>
      </c>
      <c r="H261" s="81" t="s">
        <v>138</v>
      </c>
      <c r="I261" s="81" t="s">
        <v>138</v>
      </c>
      <c r="J261" s="81" t="s">
        <v>248</v>
      </c>
      <c r="K261" s="81" t="s">
        <v>631</v>
      </c>
      <c r="L261" s="81" t="s">
        <v>632</v>
      </c>
      <c r="M261" s="81" t="s">
        <v>367</v>
      </c>
      <c r="N261" s="81" t="s">
        <v>253</v>
      </c>
      <c r="O261" s="81" t="s">
        <v>633</v>
      </c>
      <c r="P261" s="81" t="s">
        <v>456</v>
      </c>
      <c r="Q261" s="81" t="s">
        <v>260</v>
      </c>
      <c r="R261" s="81" t="s">
        <v>634</v>
      </c>
      <c r="S261" s="81"/>
      <c r="T261" s="81"/>
      <c r="U261" s="81" t="s">
        <v>341</v>
      </c>
    </row>
    <row r="262" spans="1:21">
      <c r="A262" s="81" t="s">
        <v>636</v>
      </c>
      <c r="B262" s="81" t="s">
        <v>77</v>
      </c>
      <c r="C262" s="81" t="s">
        <v>399</v>
      </c>
      <c r="D262" s="81" t="s">
        <v>203</v>
      </c>
      <c r="E262" s="81" t="s">
        <v>629</v>
      </c>
      <c r="F262" s="81" t="s">
        <v>630</v>
      </c>
      <c r="G262" s="81" t="s">
        <v>336</v>
      </c>
      <c r="H262" s="81" t="s">
        <v>138</v>
      </c>
      <c r="I262" s="81" t="s">
        <v>138</v>
      </c>
      <c r="J262" s="81" t="s">
        <v>248</v>
      </c>
      <c r="K262" s="81" t="s">
        <v>631</v>
      </c>
      <c r="L262" s="81" t="s">
        <v>632</v>
      </c>
      <c r="M262" s="81" t="s">
        <v>367</v>
      </c>
      <c r="N262" s="81" t="s">
        <v>253</v>
      </c>
      <c r="O262" s="81" t="s">
        <v>633</v>
      </c>
      <c r="P262" s="81" t="s">
        <v>456</v>
      </c>
      <c r="Q262" s="81" t="s">
        <v>260</v>
      </c>
      <c r="R262" s="81" t="s">
        <v>634</v>
      </c>
      <c r="S262" s="81">
        <v>0</v>
      </c>
      <c r="T262" s="81">
        <v>2</v>
      </c>
      <c r="U262" s="81" t="s">
        <v>341</v>
      </c>
    </row>
    <row r="263" spans="1:21">
      <c r="A263" s="81" t="s">
        <v>637</v>
      </c>
      <c r="B263" s="81" t="s">
        <v>77</v>
      </c>
      <c r="C263" s="81" t="s">
        <v>399</v>
      </c>
      <c r="D263" s="81" t="s">
        <v>203</v>
      </c>
      <c r="E263" s="81" t="s">
        <v>629</v>
      </c>
      <c r="F263" s="81" t="s">
        <v>630</v>
      </c>
      <c r="G263" s="81" t="s">
        <v>336</v>
      </c>
      <c r="H263" s="81" t="s">
        <v>138</v>
      </c>
      <c r="I263" s="81" t="s">
        <v>138</v>
      </c>
      <c r="J263" s="81" t="s">
        <v>248</v>
      </c>
      <c r="K263" s="81" t="s">
        <v>631</v>
      </c>
      <c r="L263" s="81" t="s">
        <v>632</v>
      </c>
      <c r="M263" s="81" t="s">
        <v>367</v>
      </c>
      <c r="N263" s="81" t="s">
        <v>253</v>
      </c>
      <c r="O263" s="81" t="s">
        <v>633</v>
      </c>
      <c r="P263" s="81" t="s">
        <v>456</v>
      </c>
      <c r="Q263" s="81" t="s">
        <v>260</v>
      </c>
      <c r="R263" s="81" t="s">
        <v>634</v>
      </c>
      <c r="S263" s="81">
        <v>7</v>
      </c>
      <c r="T263" s="81">
        <v>40</v>
      </c>
      <c r="U263" s="81" t="s">
        <v>341</v>
      </c>
    </row>
    <row r="264" spans="1:21">
      <c r="A264" s="81" t="s">
        <v>638</v>
      </c>
      <c r="B264" s="81" t="s">
        <v>77</v>
      </c>
      <c r="C264" s="81" t="s">
        <v>399</v>
      </c>
      <c r="D264" s="81" t="s">
        <v>203</v>
      </c>
      <c r="E264" s="81" t="s">
        <v>629</v>
      </c>
      <c r="F264" s="81" t="s">
        <v>630</v>
      </c>
      <c r="G264" s="81" t="s">
        <v>336</v>
      </c>
      <c r="H264" s="81" t="s">
        <v>138</v>
      </c>
      <c r="I264" s="81" t="s">
        <v>138</v>
      </c>
      <c r="J264" s="81" t="s">
        <v>402</v>
      </c>
      <c r="K264" s="81" t="s">
        <v>631</v>
      </c>
      <c r="L264" s="81" t="s">
        <v>632</v>
      </c>
      <c r="M264" s="81" t="s">
        <v>367</v>
      </c>
      <c r="N264" s="81" t="s">
        <v>253</v>
      </c>
      <c r="O264" s="81" t="s">
        <v>633</v>
      </c>
      <c r="P264" s="81" t="s">
        <v>456</v>
      </c>
      <c r="Q264" s="81" t="s">
        <v>260</v>
      </c>
      <c r="R264" s="81" t="s">
        <v>634</v>
      </c>
      <c r="S264" s="81">
        <v>1</v>
      </c>
      <c r="T264" s="81">
        <v>7</v>
      </c>
      <c r="U264" s="81" t="s">
        <v>341</v>
      </c>
    </row>
    <row r="265" spans="1:21">
      <c r="A265" s="81" t="s">
        <v>639</v>
      </c>
      <c r="B265" s="81" t="s">
        <v>77</v>
      </c>
      <c r="C265" s="81" t="s">
        <v>399</v>
      </c>
      <c r="D265" s="81" t="s">
        <v>203</v>
      </c>
      <c r="E265" s="81" t="s">
        <v>629</v>
      </c>
      <c r="F265" s="81" t="s">
        <v>630</v>
      </c>
      <c r="G265" s="81" t="s">
        <v>336</v>
      </c>
      <c r="H265" s="81" t="s">
        <v>138</v>
      </c>
      <c r="I265" s="81" t="s">
        <v>138</v>
      </c>
      <c r="J265" s="81" t="s">
        <v>344</v>
      </c>
      <c r="K265" s="81" t="s">
        <v>631</v>
      </c>
      <c r="L265" s="81" t="s">
        <v>632</v>
      </c>
      <c r="M265" s="81" t="s">
        <v>367</v>
      </c>
      <c r="N265" s="81" t="s">
        <v>253</v>
      </c>
      <c r="O265" s="81" t="s">
        <v>633</v>
      </c>
      <c r="P265" s="81" t="s">
        <v>456</v>
      </c>
      <c r="Q265" s="81" t="s">
        <v>260</v>
      </c>
      <c r="R265" s="81" t="s">
        <v>634</v>
      </c>
      <c r="S265" s="81">
        <v>1</v>
      </c>
      <c r="T265" s="81">
        <v>0</v>
      </c>
      <c r="U265" s="81" t="s">
        <v>341</v>
      </c>
    </row>
    <row r="266" spans="1:21">
      <c r="A266" s="81" t="s">
        <v>640</v>
      </c>
      <c r="B266" s="81" t="s">
        <v>77</v>
      </c>
      <c r="C266" s="81" t="s">
        <v>399</v>
      </c>
      <c r="D266" s="81" t="s">
        <v>203</v>
      </c>
      <c r="E266" s="81" t="s">
        <v>641</v>
      </c>
      <c r="F266" s="81" t="s">
        <v>642</v>
      </c>
      <c r="G266" s="81" t="s">
        <v>336</v>
      </c>
      <c r="H266" s="81" t="s">
        <v>138</v>
      </c>
      <c r="I266" s="81" t="s">
        <v>138</v>
      </c>
      <c r="J266" s="81" t="s">
        <v>248</v>
      </c>
      <c r="K266" s="81" t="s">
        <v>631</v>
      </c>
      <c r="L266" s="81" t="s">
        <v>632</v>
      </c>
      <c r="M266" s="81" t="s">
        <v>367</v>
      </c>
      <c r="N266" s="81" t="s">
        <v>253</v>
      </c>
      <c r="O266" s="81" t="s">
        <v>633</v>
      </c>
      <c r="P266" s="81" t="s">
        <v>456</v>
      </c>
      <c r="Q266" s="81" t="s">
        <v>260</v>
      </c>
      <c r="R266" s="81" t="s">
        <v>634</v>
      </c>
      <c r="S266" s="81">
        <v>7</v>
      </c>
      <c r="T266" s="81">
        <v>40</v>
      </c>
      <c r="U266" s="81" t="s">
        <v>341</v>
      </c>
    </row>
    <row r="267" spans="1:21">
      <c r="A267" s="81" t="s">
        <v>643</v>
      </c>
      <c r="B267" s="81" t="s">
        <v>77</v>
      </c>
      <c r="C267" s="81" t="s">
        <v>399</v>
      </c>
      <c r="D267" s="81" t="s">
        <v>203</v>
      </c>
      <c r="E267" s="81" t="s">
        <v>392</v>
      </c>
      <c r="F267" s="81" t="s">
        <v>393</v>
      </c>
      <c r="G267" s="81" t="s">
        <v>336</v>
      </c>
      <c r="H267" s="81" t="s">
        <v>138</v>
      </c>
      <c r="I267" s="81" t="s">
        <v>138</v>
      </c>
      <c r="J267" s="81" t="s">
        <v>248</v>
      </c>
      <c r="K267" s="81" t="s">
        <v>631</v>
      </c>
      <c r="L267" s="81" t="s">
        <v>632</v>
      </c>
      <c r="M267" s="81" t="s">
        <v>367</v>
      </c>
      <c r="N267" s="81" t="s">
        <v>253</v>
      </c>
      <c r="O267" s="81" t="s">
        <v>633</v>
      </c>
      <c r="P267" s="81" t="s">
        <v>456</v>
      </c>
      <c r="Q267" s="81" t="s">
        <v>260</v>
      </c>
      <c r="R267" s="81" t="s">
        <v>634</v>
      </c>
      <c r="S267" s="81">
        <v>0</v>
      </c>
      <c r="T267" s="81">
        <v>2</v>
      </c>
      <c r="U267" s="81" t="s">
        <v>341</v>
      </c>
    </row>
    <row r="268" spans="1:21">
      <c r="A268" s="81" t="s">
        <v>644</v>
      </c>
      <c r="B268" s="81" t="s">
        <v>77</v>
      </c>
      <c r="C268" s="81" t="s">
        <v>399</v>
      </c>
      <c r="D268" s="81" t="s">
        <v>203</v>
      </c>
      <c r="E268" s="81" t="s">
        <v>449</v>
      </c>
      <c r="F268" s="81" t="s">
        <v>450</v>
      </c>
      <c r="G268" s="81" t="s">
        <v>285</v>
      </c>
      <c r="H268" s="81" t="s">
        <v>138</v>
      </c>
      <c r="I268" s="81" t="s">
        <v>138</v>
      </c>
      <c r="J268" s="81"/>
      <c r="K268" s="81"/>
      <c r="L268" s="81" t="s">
        <v>138</v>
      </c>
      <c r="M268" s="81"/>
      <c r="N268" s="81"/>
      <c r="O268" s="81"/>
      <c r="P268" s="81" t="s">
        <v>368</v>
      </c>
      <c r="Q268" s="81" t="s">
        <v>340</v>
      </c>
      <c r="R268" s="81" t="s">
        <v>634</v>
      </c>
      <c r="S268" s="81"/>
      <c r="T268" s="81"/>
      <c r="U268" s="81" t="s">
        <v>243</v>
      </c>
    </row>
    <row r="269" spans="1:21">
      <c r="A269" s="81" t="s">
        <v>645</v>
      </c>
      <c r="B269" s="81" t="s">
        <v>77</v>
      </c>
      <c r="C269" s="81" t="s">
        <v>399</v>
      </c>
      <c r="D269" s="81" t="s">
        <v>203</v>
      </c>
      <c r="E269" s="81" t="s">
        <v>449</v>
      </c>
      <c r="F269" s="81" t="s">
        <v>450</v>
      </c>
      <c r="G269" s="81" t="s">
        <v>285</v>
      </c>
      <c r="H269" s="81" t="s">
        <v>138</v>
      </c>
      <c r="I269" s="81" t="s">
        <v>138</v>
      </c>
      <c r="J269" s="81"/>
      <c r="K269" s="81"/>
      <c r="L269" s="81" t="s">
        <v>138</v>
      </c>
      <c r="M269" s="81"/>
      <c r="N269" s="81"/>
      <c r="O269" s="81"/>
      <c r="P269" s="81" t="s">
        <v>368</v>
      </c>
      <c r="Q269" s="81" t="s">
        <v>340</v>
      </c>
      <c r="R269" s="81" t="s">
        <v>634</v>
      </c>
      <c r="S269" s="81"/>
      <c r="T269" s="81"/>
      <c r="U269" s="81" t="s">
        <v>243</v>
      </c>
    </row>
    <row r="270" spans="1:21">
      <c r="A270" s="81" t="s">
        <v>646</v>
      </c>
      <c r="B270" s="81" t="s">
        <v>77</v>
      </c>
      <c r="C270" s="81" t="s">
        <v>399</v>
      </c>
      <c r="D270" s="81" t="s">
        <v>203</v>
      </c>
      <c r="E270" s="81" t="s">
        <v>641</v>
      </c>
      <c r="F270" s="81" t="s">
        <v>642</v>
      </c>
      <c r="G270" s="81" t="s">
        <v>336</v>
      </c>
      <c r="H270" s="81" t="s">
        <v>138</v>
      </c>
      <c r="I270" s="81" t="s">
        <v>138</v>
      </c>
      <c r="J270" s="81" t="s">
        <v>256</v>
      </c>
      <c r="K270" s="81" t="s">
        <v>631</v>
      </c>
      <c r="L270" s="81" t="s">
        <v>632</v>
      </c>
      <c r="M270" s="81" t="s">
        <v>367</v>
      </c>
      <c r="N270" s="81" t="s">
        <v>253</v>
      </c>
      <c r="O270" s="81" t="s">
        <v>633</v>
      </c>
      <c r="P270" s="81" t="s">
        <v>456</v>
      </c>
      <c r="Q270" s="81" t="s">
        <v>260</v>
      </c>
      <c r="R270" s="81" t="s">
        <v>647</v>
      </c>
      <c r="S270" s="81">
        <v>1</v>
      </c>
      <c r="T270" s="81">
        <v>7</v>
      </c>
      <c r="U270" s="81" t="s">
        <v>341</v>
      </c>
    </row>
    <row r="271" spans="1:21">
      <c r="A271" s="81" t="s">
        <v>648</v>
      </c>
      <c r="B271" s="81" t="s">
        <v>77</v>
      </c>
      <c r="C271" s="81" t="s">
        <v>399</v>
      </c>
      <c r="D271" s="81" t="s">
        <v>203</v>
      </c>
      <c r="E271" s="81" t="s">
        <v>641</v>
      </c>
      <c r="F271" s="81" t="s">
        <v>642</v>
      </c>
      <c r="G271" s="81" t="s">
        <v>336</v>
      </c>
      <c r="H271" s="81" t="s">
        <v>138</v>
      </c>
      <c r="I271" s="81" t="s">
        <v>138</v>
      </c>
      <c r="J271" s="81" t="s">
        <v>256</v>
      </c>
      <c r="K271" s="81" t="s">
        <v>631</v>
      </c>
      <c r="L271" s="81" t="s">
        <v>632</v>
      </c>
      <c r="M271" s="81" t="s">
        <v>367</v>
      </c>
      <c r="N271" s="81" t="s">
        <v>253</v>
      </c>
      <c r="O271" s="81" t="s">
        <v>633</v>
      </c>
      <c r="P271" s="81" t="s">
        <v>456</v>
      </c>
      <c r="Q271" s="81" t="s">
        <v>260</v>
      </c>
      <c r="R271" s="81" t="s">
        <v>647</v>
      </c>
      <c r="S271" s="81">
        <v>1</v>
      </c>
      <c r="T271" s="81">
        <v>0</v>
      </c>
      <c r="U271" s="81" t="s">
        <v>341</v>
      </c>
    </row>
    <row r="272" spans="1:21">
      <c r="A272" s="81" t="s">
        <v>649</v>
      </c>
      <c r="B272" s="81" t="s">
        <v>77</v>
      </c>
      <c r="C272" s="81" t="s">
        <v>399</v>
      </c>
      <c r="D272" s="81" t="s">
        <v>203</v>
      </c>
      <c r="E272" s="81" t="s">
        <v>641</v>
      </c>
      <c r="F272" s="81" t="s">
        <v>642</v>
      </c>
      <c r="G272" s="81" t="s">
        <v>336</v>
      </c>
      <c r="H272" s="81" t="s">
        <v>138</v>
      </c>
      <c r="I272" s="81" t="s">
        <v>138</v>
      </c>
      <c r="J272" s="81" t="s">
        <v>248</v>
      </c>
      <c r="K272" s="81" t="s">
        <v>631</v>
      </c>
      <c r="L272" s="81" t="s">
        <v>632</v>
      </c>
      <c r="M272" s="81" t="s">
        <v>367</v>
      </c>
      <c r="N272" s="81" t="s">
        <v>253</v>
      </c>
      <c r="O272" s="81" t="s">
        <v>633</v>
      </c>
      <c r="P272" s="81" t="s">
        <v>456</v>
      </c>
      <c r="Q272" s="81" t="s">
        <v>260</v>
      </c>
      <c r="R272" s="81" t="s">
        <v>647</v>
      </c>
      <c r="S272" s="81"/>
      <c r="T272" s="81"/>
      <c r="U272" s="81" t="s">
        <v>341</v>
      </c>
    </row>
    <row r="273" spans="1:21">
      <c r="A273" s="81" t="s">
        <v>650</v>
      </c>
      <c r="B273" s="81" t="s">
        <v>77</v>
      </c>
      <c r="C273" s="81" t="s">
        <v>399</v>
      </c>
      <c r="D273" s="81" t="s">
        <v>203</v>
      </c>
      <c r="E273" s="81" t="s">
        <v>641</v>
      </c>
      <c r="F273" s="81" t="s">
        <v>642</v>
      </c>
      <c r="G273" s="81" t="s">
        <v>336</v>
      </c>
      <c r="H273" s="81" t="s">
        <v>138</v>
      </c>
      <c r="I273" s="81" t="s">
        <v>138</v>
      </c>
      <c r="J273" s="81" t="s">
        <v>497</v>
      </c>
      <c r="K273" s="81" t="s">
        <v>631</v>
      </c>
      <c r="L273" s="81" t="s">
        <v>632</v>
      </c>
      <c r="M273" s="81" t="s">
        <v>506</v>
      </c>
      <c r="N273" s="81" t="s">
        <v>253</v>
      </c>
      <c r="O273" s="81" t="s">
        <v>633</v>
      </c>
      <c r="P273" s="81" t="s">
        <v>456</v>
      </c>
      <c r="Q273" s="81" t="s">
        <v>260</v>
      </c>
      <c r="R273" s="81" t="s">
        <v>647</v>
      </c>
      <c r="S273" s="81"/>
      <c r="T273" s="81"/>
      <c r="U273" s="81" t="s">
        <v>341</v>
      </c>
    </row>
    <row r="274" spans="1:21">
      <c r="A274" s="81" t="s">
        <v>651</v>
      </c>
      <c r="B274" s="81" t="s">
        <v>77</v>
      </c>
      <c r="C274" s="81" t="s">
        <v>399</v>
      </c>
      <c r="D274" s="81" t="s">
        <v>203</v>
      </c>
      <c r="E274" s="81" t="s">
        <v>641</v>
      </c>
      <c r="F274" s="81" t="s">
        <v>642</v>
      </c>
      <c r="G274" s="81" t="s">
        <v>336</v>
      </c>
      <c r="H274" s="81" t="s">
        <v>138</v>
      </c>
      <c r="I274" s="81" t="s">
        <v>138</v>
      </c>
      <c r="J274" s="81" t="s">
        <v>497</v>
      </c>
      <c r="K274" s="81" t="s">
        <v>631</v>
      </c>
      <c r="L274" s="81" t="s">
        <v>632</v>
      </c>
      <c r="M274" s="81" t="s">
        <v>506</v>
      </c>
      <c r="N274" s="81" t="s">
        <v>253</v>
      </c>
      <c r="O274" s="81" t="s">
        <v>633</v>
      </c>
      <c r="P274" s="81" t="s">
        <v>456</v>
      </c>
      <c r="Q274" s="81" t="s">
        <v>260</v>
      </c>
      <c r="R274" s="81" t="s">
        <v>647</v>
      </c>
      <c r="S274" s="81"/>
      <c r="T274" s="81"/>
      <c r="U274" s="81" t="s">
        <v>341</v>
      </c>
    </row>
    <row r="275" spans="1:21">
      <c r="A275" s="81" t="s">
        <v>652</v>
      </c>
      <c r="B275" s="81" t="s">
        <v>77</v>
      </c>
      <c r="C275" s="81" t="s">
        <v>399</v>
      </c>
      <c r="D275" s="81" t="s">
        <v>203</v>
      </c>
      <c r="E275" s="81" t="s">
        <v>641</v>
      </c>
      <c r="F275" s="81" t="s">
        <v>642</v>
      </c>
      <c r="G275" s="81" t="s">
        <v>336</v>
      </c>
      <c r="H275" s="81" t="s">
        <v>138</v>
      </c>
      <c r="I275" s="81" t="s">
        <v>138</v>
      </c>
      <c r="J275" s="81" t="s">
        <v>497</v>
      </c>
      <c r="K275" s="81" t="s">
        <v>631</v>
      </c>
      <c r="L275" s="81" t="s">
        <v>632</v>
      </c>
      <c r="M275" s="81" t="s">
        <v>506</v>
      </c>
      <c r="N275" s="81" t="s">
        <v>253</v>
      </c>
      <c r="O275" s="81" t="s">
        <v>633</v>
      </c>
      <c r="P275" s="81" t="s">
        <v>456</v>
      </c>
      <c r="Q275" s="81" t="s">
        <v>260</v>
      </c>
      <c r="R275" s="81" t="s">
        <v>647</v>
      </c>
      <c r="S275" s="81"/>
      <c r="T275" s="81"/>
      <c r="U275" s="81" t="s">
        <v>341</v>
      </c>
    </row>
    <row r="276" spans="1:21">
      <c r="A276" s="81" t="s">
        <v>653</v>
      </c>
      <c r="B276" s="81" t="s">
        <v>77</v>
      </c>
      <c r="C276" s="81" t="s">
        <v>399</v>
      </c>
      <c r="D276" s="81" t="s">
        <v>203</v>
      </c>
      <c r="E276" s="81" t="s">
        <v>641</v>
      </c>
      <c r="F276" s="81" t="s">
        <v>642</v>
      </c>
      <c r="G276" s="81" t="s">
        <v>336</v>
      </c>
      <c r="H276" s="81" t="s">
        <v>138</v>
      </c>
      <c r="I276" s="81" t="s">
        <v>138</v>
      </c>
      <c r="J276" s="81" t="s">
        <v>497</v>
      </c>
      <c r="K276" s="81" t="s">
        <v>631</v>
      </c>
      <c r="L276" s="81" t="s">
        <v>632</v>
      </c>
      <c r="M276" s="81" t="s">
        <v>506</v>
      </c>
      <c r="N276" s="81" t="s">
        <v>253</v>
      </c>
      <c r="O276" s="81" t="s">
        <v>633</v>
      </c>
      <c r="P276" s="81" t="s">
        <v>456</v>
      </c>
      <c r="Q276" s="81" t="s">
        <v>260</v>
      </c>
      <c r="R276" s="81" t="s">
        <v>647</v>
      </c>
      <c r="S276" s="81"/>
      <c r="T276" s="81"/>
      <c r="U276" s="81" t="s">
        <v>341</v>
      </c>
    </row>
    <row r="277" spans="1:21">
      <c r="A277" s="81" t="s">
        <v>654</v>
      </c>
      <c r="B277" s="81" t="s">
        <v>77</v>
      </c>
      <c r="C277" s="81" t="s">
        <v>399</v>
      </c>
      <c r="D277" s="81" t="s">
        <v>203</v>
      </c>
      <c r="E277" s="81" t="s">
        <v>641</v>
      </c>
      <c r="F277" s="81" t="s">
        <v>642</v>
      </c>
      <c r="G277" s="81" t="s">
        <v>336</v>
      </c>
      <c r="H277" s="81" t="s">
        <v>138</v>
      </c>
      <c r="I277" s="81" t="s">
        <v>138</v>
      </c>
      <c r="J277" s="81" t="s">
        <v>497</v>
      </c>
      <c r="K277" s="81" t="s">
        <v>631</v>
      </c>
      <c r="L277" s="81" t="s">
        <v>632</v>
      </c>
      <c r="M277" s="81" t="s">
        <v>506</v>
      </c>
      <c r="N277" s="81" t="s">
        <v>253</v>
      </c>
      <c r="O277" s="81" t="s">
        <v>633</v>
      </c>
      <c r="P277" s="81" t="s">
        <v>456</v>
      </c>
      <c r="Q277" s="81" t="s">
        <v>260</v>
      </c>
      <c r="R277" s="81" t="s">
        <v>647</v>
      </c>
      <c r="S277" s="81"/>
      <c r="T277" s="81"/>
      <c r="U277" s="81" t="s">
        <v>341</v>
      </c>
    </row>
    <row r="278" spans="1:21">
      <c r="A278" s="81" t="s">
        <v>655</v>
      </c>
      <c r="B278" s="81" t="s">
        <v>77</v>
      </c>
      <c r="C278" s="81" t="s">
        <v>399</v>
      </c>
      <c r="D278" s="81" t="s">
        <v>203</v>
      </c>
      <c r="E278" s="81" t="s">
        <v>641</v>
      </c>
      <c r="F278" s="81" t="s">
        <v>642</v>
      </c>
      <c r="G278" s="81" t="s">
        <v>336</v>
      </c>
      <c r="H278" s="81" t="s">
        <v>138</v>
      </c>
      <c r="I278" s="81" t="s">
        <v>138</v>
      </c>
      <c r="J278" s="81" t="s">
        <v>497</v>
      </c>
      <c r="K278" s="81" t="s">
        <v>631</v>
      </c>
      <c r="L278" s="81" t="s">
        <v>632</v>
      </c>
      <c r="M278" s="81" t="s">
        <v>506</v>
      </c>
      <c r="N278" s="81" t="s">
        <v>253</v>
      </c>
      <c r="O278" s="81" t="s">
        <v>633</v>
      </c>
      <c r="P278" s="81" t="s">
        <v>456</v>
      </c>
      <c r="Q278" s="81" t="s">
        <v>260</v>
      </c>
      <c r="R278" s="81" t="s">
        <v>647</v>
      </c>
      <c r="S278" s="81">
        <v>0</v>
      </c>
      <c r="T278" s="81">
        <v>2</v>
      </c>
      <c r="U278" s="81" t="s">
        <v>341</v>
      </c>
    </row>
    <row r="279" spans="1:21">
      <c r="A279" s="81" t="s">
        <v>656</v>
      </c>
      <c r="B279" s="81" t="s">
        <v>77</v>
      </c>
      <c r="C279" s="81" t="s">
        <v>399</v>
      </c>
      <c r="D279" s="81" t="s">
        <v>203</v>
      </c>
      <c r="E279" s="81" t="s">
        <v>641</v>
      </c>
      <c r="F279" s="81" t="s">
        <v>642</v>
      </c>
      <c r="G279" s="81" t="s">
        <v>336</v>
      </c>
      <c r="H279" s="81" t="s">
        <v>138</v>
      </c>
      <c r="I279" s="81" t="s">
        <v>138</v>
      </c>
      <c r="J279" s="81" t="s">
        <v>248</v>
      </c>
      <c r="K279" s="81" t="s">
        <v>631</v>
      </c>
      <c r="L279" s="81" t="s">
        <v>632</v>
      </c>
      <c r="M279" s="81" t="s">
        <v>367</v>
      </c>
      <c r="N279" s="81" t="s">
        <v>253</v>
      </c>
      <c r="O279" s="81" t="s">
        <v>633</v>
      </c>
      <c r="P279" s="81" t="s">
        <v>456</v>
      </c>
      <c r="Q279" s="81" t="s">
        <v>260</v>
      </c>
      <c r="R279" s="81" t="s">
        <v>647</v>
      </c>
      <c r="S279" s="81"/>
      <c r="T279" s="81"/>
      <c r="U279" s="81" t="s">
        <v>341</v>
      </c>
    </row>
    <row r="280" spans="1:21">
      <c r="A280" s="81" t="s">
        <v>657</v>
      </c>
      <c r="B280" s="81" t="s">
        <v>77</v>
      </c>
      <c r="C280" s="81" t="s">
        <v>399</v>
      </c>
      <c r="D280" s="81" t="s">
        <v>203</v>
      </c>
      <c r="E280" s="81" t="s">
        <v>641</v>
      </c>
      <c r="F280" s="81" t="s">
        <v>642</v>
      </c>
      <c r="G280" s="81" t="s">
        <v>336</v>
      </c>
      <c r="H280" s="81" t="s">
        <v>138</v>
      </c>
      <c r="I280" s="81" t="s">
        <v>138</v>
      </c>
      <c r="J280" s="81" t="s">
        <v>497</v>
      </c>
      <c r="K280" s="81" t="s">
        <v>631</v>
      </c>
      <c r="L280" s="81" t="s">
        <v>632</v>
      </c>
      <c r="M280" s="81" t="s">
        <v>506</v>
      </c>
      <c r="N280" s="81" t="s">
        <v>253</v>
      </c>
      <c r="O280" s="81" t="s">
        <v>633</v>
      </c>
      <c r="P280" s="81" t="s">
        <v>456</v>
      </c>
      <c r="Q280" s="81" t="s">
        <v>260</v>
      </c>
      <c r="R280" s="81" t="s">
        <v>647</v>
      </c>
      <c r="S280" s="81"/>
      <c r="T280" s="81"/>
      <c r="U280" s="81" t="s">
        <v>341</v>
      </c>
    </row>
    <row r="281" spans="1:21">
      <c r="A281" s="81" t="s">
        <v>658</v>
      </c>
      <c r="B281" s="81" t="s">
        <v>77</v>
      </c>
      <c r="C281" s="81" t="s">
        <v>399</v>
      </c>
      <c r="D281" s="81" t="s">
        <v>203</v>
      </c>
      <c r="E281" s="81" t="s">
        <v>641</v>
      </c>
      <c r="F281" s="81" t="s">
        <v>642</v>
      </c>
      <c r="G281" s="81" t="s">
        <v>336</v>
      </c>
      <c r="H281" s="81" t="s">
        <v>138</v>
      </c>
      <c r="I281" s="81" t="s">
        <v>138</v>
      </c>
      <c r="J281" s="81" t="s">
        <v>497</v>
      </c>
      <c r="K281" s="81" t="s">
        <v>631</v>
      </c>
      <c r="L281" s="81" t="s">
        <v>632</v>
      </c>
      <c r="M281" s="81" t="s">
        <v>506</v>
      </c>
      <c r="N281" s="81" t="s">
        <v>253</v>
      </c>
      <c r="O281" s="81" t="s">
        <v>633</v>
      </c>
      <c r="P281" s="81" t="s">
        <v>456</v>
      </c>
      <c r="Q281" s="81" t="s">
        <v>260</v>
      </c>
      <c r="R281" s="81" t="s">
        <v>647</v>
      </c>
      <c r="S281" s="81"/>
      <c r="T281" s="81"/>
      <c r="U281" s="81" t="s">
        <v>341</v>
      </c>
    </row>
    <row r="282" spans="1:21">
      <c r="A282" s="81" t="s">
        <v>659</v>
      </c>
      <c r="B282" s="81" t="s">
        <v>77</v>
      </c>
      <c r="C282" s="81" t="s">
        <v>399</v>
      </c>
      <c r="D282" s="81" t="s">
        <v>203</v>
      </c>
      <c r="E282" s="81" t="s">
        <v>641</v>
      </c>
      <c r="F282" s="81" t="s">
        <v>642</v>
      </c>
      <c r="G282" s="81" t="s">
        <v>336</v>
      </c>
      <c r="H282" s="81" t="s">
        <v>138</v>
      </c>
      <c r="I282" s="81" t="s">
        <v>138</v>
      </c>
      <c r="J282" s="81" t="s">
        <v>497</v>
      </c>
      <c r="K282" s="81" t="s">
        <v>631</v>
      </c>
      <c r="L282" s="81" t="s">
        <v>632</v>
      </c>
      <c r="M282" s="81" t="s">
        <v>506</v>
      </c>
      <c r="N282" s="81" t="s">
        <v>253</v>
      </c>
      <c r="O282" s="81" t="s">
        <v>633</v>
      </c>
      <c r="P282" s="81" t="s">
        <v>456</v>
      </c>
      <c r="Q282" s="81" t="s">
        <v>260</v>
      </c>
      <c r="R282" s="81" t="s">
        <v>647</v>
      </c>
      <c r="S282" s="81"/>
      <c r="T282" s="81"/>
      <c r="U282" s="81" t="s">
        <v>341</v>
      </c>
    </row>
    <row r="283" spans="1:21">
      <c r="A283" s="81" t="s">
        <v>660</v>
      </c>
      <c r="B283" s="81" t="s">
        <v>77</v>
      </c>
      <c r="C283" s="81" t="s">
        <v>399</v>
      </c>
      <c r="D283" s="81" t="s">
        <v>203</v>
      </c>
      <c r="E283" s="81" t="s">
        <v>641</v>
      </c>
      <c r="F283" s="81" t="s">
        <v>642</v>
      </c>
      <c r="G283" s="81" t="s">
        <v>336</v>
      </c>
      <c r="H283" s="81" t="s">
        <v>138</v>
      </c>
      <c r="I283" s="81" t="s">
        <v>138</v>
      </c>
      <c r="J283" s="81" t="s">
        <v>497</v>
      </c>
      <c r="K283" s="81" t="s">
        <v>631</v>
      </c>
      <c r="L283" s="81" t="s">
        <v>632</v>
      </c>
      <c r="M283" s="81" t="s">
        <v>506</v>
      </c>
      <c r="N283" s="81" t="s">
        <v>253</v>
      </c>
      <c r="O283" s="81" t="s">
        <v>633</v>
      </c>
      <c r="P283" s="81" t="s">
        <v>456</v>
      </c>
      <c r="Q283" s="81" t="s">
        <v>260</v>
      </c>
      <c r="R283" s="81" t="s">
        <v>647</v>
      </c>
      <c r="S283" s="81"/>
      <c r="T283" s="81"/>
      <c r="U283" s="81" t="s">
        <v>341</v>
      </c>
    </row>
    <row r="284" spans="1:21">
      <c r="A284" s="81" t="s">
        <v>661</v>
      </c>
      <c r="B284" s="81" t="s">
        <v>77</v>
      </c>
      <c r="C284" s="81" t="s">
        <v>399</v>
      </c>
      <c r="D284" s="81" t="s">
        <v>203</v>
      </c>
      <c r="E284" s="81" t="s">
        <v>641</v>
      </c>
      <c r="F284" s="81" t="s">
        <v>642</v>
      </c>
      <c r="G284" s="81" t="s">
        <v>336</v>
      </c>
      <c r="H284" s="81" t="s">
        <v>138</v>
      </c>
      <c r="I284" s="81" t="s">
        <v>138</v>
      </c>
      <c r="J284" s="81" t="s">
        <v>497</v>
      </c>
      <c r="K284" s="81" t="s">
        <v>631</v>
      </c>
      <c r="L284" s="81" t="s">
        <v>632</v>
      </c>
      <c r="M284" s="81" t="s">
        <v>506</v>
      </c>
      <c r="N284" s="81" t="s">
        <v>253</v>
      </c>
      <c r="O284" s="81" t="s">
        <v>633</v>
      </c>
      <c r="P284" s="81" t="s">
        <v>456</v>
      </c>
      <c r="Q284" s="81" t="s">
        <v>260</v>
      </c>
      <c r="R284" s="81" t="s">
        <v>647</v>
      </c>
      <c r="S284" s="81"/>
      <c r="T284" s="81"/>
      <c r="U284" s="81" t="s">
        <v>341</v>
      </c>
    </row>
    <row r="285" spans="1:21">
      <c r="A285" s="81" t="s">
        <v>662</v>
      </c>
      <c r="B285" s="81" t="s">
        <v>77</v>
      </c>
      <c r="C285" s="81" t="s">
        <v>399</v>
      </c>
      <c r="D285" s="81" t="s">
        <v>203</v>
      </c>
      <c r="E285" s="81" t="s">
        <v>641</v>
      </c>
      <c r="F285" s="81" t="s">
        <v>642</v>
      </c>
      <c r="G285" s="81" t="s">
        <v>336</v>
      </c>
      <c r="H285" s="81" t="s">
        <v>138</v>
      </c>
      <c r="I285" s="81" t="s">
        <v>138</v>
      </c>
      <c r="J285" s="81" t="s">
        <v>497</v>
      </c>
      <c r="K285" s="81" t="s">
        <v>631</v>
      </c>
      <c r="L285" s="81" t="s">
        <v>632</v>
      </c>
      <c r="M285" s="81" t="s">
        <v>506</v>
      </c>
      <c r="N285" s="81" t="s">
        <v>253</v>
      </c>
      <c r="O285" s="81" t="s">
        <v>633</v>
      </c>
      <c r="P285" s="81" t="s">
        <v>456</v>
      </c>
      <c r="Q285" s="81" t="s">
        <v>260</v>
      </c>
      <c r="R285" s="81" t="s">
        <v>647</v>
      </c>
      <c r="S285" s="81"/>
      <c r="T285" s="81"/>
      <c r="U285" s="81" t="s">
        <v>341</v>
      </c>
    </row>
    <row r="286" spans="1:21">
      <c r="A286" s="81" t="s">
        <v>663</v>
      </c>
      <c r="B286" s="81" t="s">
        <v>77</v>
      </c>
      <c r="C286" s="81" t="s">
        <v>399</v>
      </c>
      <c r="D286" s="81" t="s">
        <v>203</v>
      </c>
      <c r="E286" s="81" t="s">
        <v>641</v>
      </c>
      <c r="F286" s="81" t="s">
        <v>642</v>
      </c>
      <c r="G286" s="81" t="s">
        <v>336</v>
      </c>
      <c r="H286" s="81" t="s">
        <v>138</v>
      </c>
      <c r="I286" s="81" t="s">
        <v>138</v>
      </c>
      <c r="J286" s="81" t="s">
        <v>497</v>
      </c>
      <c r="K286" s="81" t="s">
        <v>631</v>
      </c>
      <c r="L286" s="81" t="s">
        <v>632</v>
      </c>
      <c r="M286" s="81" t="s">
        <v>506</v>
      </c>
      <c r="N286" s="81" t="s">
        <v>253</v>
      </c>
      <c r="O286" s="81" t="s">
        <v>633</v>
      </c>
      <c r="P286" s="81" t="s">
        <v>456</v>
      </c>
      <c r="Q286" s="81" t="s">
        <v>260</v>
      </c>
      <c r="R286" s="81" t="s">
        <v>647</v>
      </c>
      <c r="S286" s="81"/>
      <c r="T286" s="81"/>
      <c r="U286" s="81" t="s">
        <v>341</v>
      </c>
    </row>
    <row r="287" spans="1:21">
      <c r="A287" s="81" t="s">
        <v>664</v>
      </c>
      <c r="B287" s="81" t="s">
        <v>77</v>
      </c>
      <c r="C287" s="81" t="s">
        <v>399</v>
      </c>
      <c r="D287" s="81" t="s">
        <v>203</v>
      </c>
      <c r="E287" s="81" t="s">
        <v>641</v>
      </c>
      <c r="F287" s="81" t="s">
        <v>642</v>
      </c>
      <c r="G287" s="81" t="s">
        <v>336</v>
      </c>
      <c r="H287" s="81" t="s">
        <v>138</v>
      </c>
      <c r="I287" s="81" t="s">
        <v>138</v>
      </c>
      <c r="J287" s="81" t="s">
        <v>497</v>
      </c>
      <c r="K287" s="81" t="s">
        <v>631</v>
      </c>
      <c r="L287" s="81" t="s">
        <v>632</v>
      </c>
      <c r="M287" s="81" t="s">
        <v>506</v>
      </c>
      <c r="N287" s="81" t="s">
        <v>253</v>
      </c>
      <c r="O287" s="81" t="s">
        <v>633</v>
      </c>
      <c r="P287" s="81" t="s">
        <v>456</v>
      </c>
      <c r="Q287" s="81" t="s">
        <v>260</v>
      </c>
      <c r="R287" s="81" t="s">
        <v>647</v>
      </c>
      <c r="S287" s="81"/>
      <c r="T287" s="81"/>
      <c r="U287" s="81" t="s">
        <v>341</v>
      </c>
    </row>
    <row r="288" spans="1:21">
      <c r="A288" s="81" t="s">
        <v>665</v>
      </c>
      <c r="B288" s="81" t="s">
        <v>77</v>
      </c>
      <c r="C288" s="81" t="s">
        <v>399</v>
      </c>
      <c r="D288" s="81" t="s">
        <v>203</v>
      </c>
      <c r="E288" s="81" t="s">
        <v>641</v>
      </c>
      <c r="F288" s="81" t="s">
        <v>642</v>
      </c>
      <c r="G288" s="81" t="s">
        <v>336</v>
      </c>
      <c r="H288" s="81" t="s">
        <v>138</v>
      </c>
      <c r="I288" s="81" t="s">
        <v>138</v>
      </c>
      <c r="J288" s="81" t="s">
        <v>497</v>
      </c>
      <c r="K288" s="81" t="s">
        <v>631</v>
      </c>
      <c r="L288" s="81" t="s">
        <v>632</v>
      </c>
      <c r="M288" s="81" t="s">
        <v>506</v>
      </c>
      <c r="N288" s="81" t="s">
        <v>253</v>
      </c>
      <c r="O288" s="81" t="s">
        <v>633</v>
      </c>
      <c r="P288" s="81" t="s">
        <v>456</v>
      </c>
      <c r="Q288" s="81" t="s">
        <v>260</v>
      </c>
      <c r="R288" s="81" t="s">
        <v>647</v>
      </c>
      <c r="S288" s="81"/>
      <c r="T288" s="81"/>
      <c r="U288" s="81" t="s">
        <v>341</v>
      </c>
    </row>
    <row r="289" spans="1:21">
      <c r="A289" s="81" t="s">
        <v>666</v>
      </c>
      <c r="B289" s="81" t="s">
        <v>77</v>
      </c>
      <c r="C289" s="81" t="s">
        <v>399</v>
      </c>
      <c r="D289" s="81" t="s">
        <v>203</v>
      </c>
      <c r="E289" s="81" t="s">
        <v>641</v>
      </c>
      <c r="F289" s="81" t="s">
        <v>642</v>
      </c>
      <c r="G289" s="81" t="s">
        <v>336</v>
      </c>
      <c r="H289" s="81" t="s">
        <v>138</v>
      </c>
      <c r="I289" s="81" t="s">
        <v>138</v>
      </c>
      <c r="J289" s="81" t="s">
        <v>497</v>
      </c>
      <c r="K289" s="81" t="s">
        <v>631</v>
      </c>
      <c r="L289" s="81" t="s">
        <v>632</v>
      </c>
      <c r="M289" s="81" t="s">
        <v>506</v>
      </c>
      <c r="N289" s="81" t="s">
        <v>253</v>
      </c>
      <c r="O289" s="81" t="s">
        <v>633</v>
      </c>
      <c r="P289" s="81" t="s">
        <v>456</v>
      </c>
      <c r="Q289" s="81" t="s">
        <v>260</v>
      </c>
      <c r="R289" s="81" t="s">
        <v>647</v>
      </c>
      <c r="S289" s="81"/>
      <c r="T289" s="81"/>
      <c r="U289" s="81" t="s">
        <v>341</v>
      </c>
    </row>
    <row r="290" spans="1:21">
      <c r="A290" s="81" t="s">
        <v>667</v>
      </c>
      <c r="B290" s="81" t="s">
        <v>77</v>
      </c>
      <c r="C290" s="81" t="s">
        <v>399</v>
      </c>
      <c r="D290" s="81" t="s">
        <v>203</v>
      </c>
      <c r="E290" s="81" t="s">
        <v>641</v>
      </c>
      <c r="F290" s="81" t="s">
        <v>642</v>
      </c>
      <c r="G290" s="81" t="s">
        <v>336</v>
      </c>
      <c r="H290" s="81" t="s">
        <v>138</v>
      </c>
      <c r="I290" s="81" t="s">
        <v>138</v>
      </c>
      <c r="J290" s="81" t="s">
        <v>497</v>
      </c>
      <c r="K290" s="81" t="s">
        <v>631</v>
      </c>
      <c r="L290" s="81" t="s">
        <v>632</v>
      </c>
      <c r="M290" s="81" t="s">
        <v>506</v>
      </c>
      <c r="N290" s="81" t="s">
        <v>253</v>
      </c>
      <c r="O290" s="81" t="s">
        <v>633</v>
      </c>
      <c r="P290" s="81" t="s">
        <v>456</v>
      </c>
      <c r="Q290" s="81" t="s">
        <v>260</v>
      </c>
      <c r="R290" s="81" t="s">
        <v>647</v>
      </c>
      <c r="S290" s="81"/>
      <c r="T290" s="81"/>
      <c r="U290" s="81" t="s">
        <v>341</v>
      </c>
    </row>
    <row r="291" spans="1:21">
      <c r="A291" s="81" t="s">
        <v>668</v>
      </c>
      <c r="B291" s="81" t="s">
        <v>77</v>
      </c>
      <c r="C291" s="81" t="s">
        <v>399</v>
      </c>
      <c r="D291" s="81" t="s">
        <v>203</v>
      </c>
      <c r="E291" s="81" t="s">
        <v>641</v>
      </c>
      <c r="F291" s="81" t="s">
        <v>642</v>
      </c>
      <c r="G291" s="81" t="s">
        <v>336</v>
      </c>
      <c r="H291" s="81" t="s">
        <v>138</v>
      </c>
      <c r="I291" s="81" t="s">
        <v>138</v>
      </c>
      <c r="J291" s="81" t="s">
        <v>248</v>
      </c>
      <c r="K291" s="81" t="s">
        <v>631</v>
      </c>
      <c r="L291" s="81" t="s">
        <v>632</v>
      </c>
      <c r="M291" s="81" t="s">
        <v>367</v>
      </c>
      <c r="N291" s="81" t="s">
        <v>253</v>
      </c>
      <c r="O291" s="81" t="s">
        <v>633</v>
      </c>
      <c r="P291" s="81" t="s">
        <v>456</v>
      </c>
      <c r="Q291" s="81" t="s">
        <v>260</v>
      </c>
      <c r="R291" s="81" t="s">
        <v>647</v>
      </c>
      <c r="S291" s="81"/>
      <c r="T291" s="81"/>
      <c r="U291" s="81" t="s">
        <v>341</v>
      </c>
    </row>
    <row r="292" spans="1:21">
      <c r="A292" s="81" t="s">
        <v>669</v>
      </c>
      <c r="B292" s="81" t="s">
        <v>77</v>
      </c>
      <c r="C292" s="81" t="s">
        <v>399</v>
      </c>
      <c r="D292" s="81" t="s">
        <v>203</v>
      </c>
      <c r="E292" s="81" t="s">
        <v>641</v>
      </c>
      <c r="F292" s="81" t="s">
        <v>642</v>
      </c>
      <c r="G292" s="81" t="s">
        <v>336</v>
      </c>
      <c r="H292" s="81" t="s">
        <v>138</v>
      </c>
      <c r="I292" s="81" t="s">
        <v>138</v>
      </c>
      <c r="J292" s="81" t="s">
        <v>497</v>
      </c>
      <c r="K292" s="81" t="s">
        <v>631</v>
      </c>
      <c r="L292" s="81" t="s">
        <v>632</v>
      </c>
      <c r="M292" s="81" t="s">
        <v>506</v>
      </c>
      <c r="N292" s="81" t="s">
        <v>253</v>
      </c>
      <c r="O292" s="81" t="s">
        <v>633</v>
      </c>
      <c r="P292" s="81" t="s">
        <v>456</v>
      </c>
      <c r="Q292" s="81" t="s">
        <v>260</v>
      </c>
      <c r="R292" s="81" t="s">
        <v>647</v>
      </c>
      <c r="S292" s="81"/>
      <c r="T292" s="81"/>
      <c r="U292" s="81" t="s">
        <v>341</v>
      </c>
    </row>
    <row r="293" spans="1:21">
      <c r="A293" s="81" t="s">
        <v>670</v>
      </c>
      <c r="B293" s="81" t="s">
        <v>77</v>
      </c>
      <c r="C293" s="81" t="s">
        <v>399</v>
      </c>
      <c r="D293" s="81" t="s">
        <v>203</v>
      </c>
      <c r="E293" s="81" t="s">
        <v>641</v>
      </c>
      <c r="F293" s="81" t="s">
        <v>642</v>
      </c>
      <c r="G293" s="81" t="s">
        <v>336</v>
      </c>
      <c r="H293" s="81" t="s">
        <v>138</v>
      </c>
      <c r="I293" s="81" t="s">
        <v>138</v>
      </c>
      <c r="J293" s="81" t="s">
        <v>497</v>
      </c>
      <c r="K293" s="81" t="s">
        <v>631</v>
      </c>
      <c r="L293" s="81" t="s">
        <v>632</v>
      </c>
      <c r="M293" s="81" t="s">
        <v>506</v>
      </c>
      <c r="N293" s="81" t="s">
        <v>253</v>
      </c>
      <c r="O293" s="81" t="s">
        <v>633</v>
      </c>
      <c r="P293" s="81" t="s">
        <v>456</v>
      </c>
      <c r="Q293" s="81" t="s">
        <v>260</v>
      </c>
      <c r="R293" s="81" t="s">
        <v>647</v>
      </c>
      <c r="S293" s="81"/>
      <c r="T293" s="81"/>
      <c r="U293" s="81" t="s">
        <v>341</v>
      </c>
    </row>
    <row r="294" spans="1:21">
      <c r="A294" s="81" t="s">
        <v>671</v>
      </c>
      <c r="B294" s="81" t="s">
        <v>77</v>
      </c>
      <c r="C294" s="81" t="s">
        <v>399</v>
      </c>
      <c r="D294" s="81" t="s">
        <v>203</v>
      </c>
      <c r="E294" s="81" t="s">
        <v>641</v>
      </c>
      <c r="F294" s="81" t="s">
        <v>642</v>
      </c>
      <c r="G294" s="81" t="s">
        <v>336</v>
      </c>
      <c r="H294" s="81" t="s">
        <v>138</v>
      </c>
      <c r="I294" s="81" t="s">
        <v>138</v>
      </c>
      <c r="J294" s="81" t="s">
        <v>497</v>
      </c>
      <c r="K294" s="81" t="s">
        <v>631</v>
      </c>
      <c r="L294" s="81" t="s">
        <v>632</v>
      </c>
      <c r="M294" s="81" t="s">
        <v>506</v>
      </c>
      <c r="N294" s="81" t="s">
        <v>253</v>
      </c>
      <c r="O294" s="81" t="s">
        <v>633</v>
      </c>
      <c r="P294" s="81" t="s">
        <v>456</v>
      </c>
      <c r="Q294" s="81" t="s">
        <v>260</v>
      </c>
      <c r="R294" s="81" t="s">
        <v>647</v>
      </c>
      <c r="S294" s="81"/>
      <c r="T294" s="81"/>
      <c r="U294" s="81" t="s">
        <v>341</v>
      </c>
    </row>
    <row r="295" spans="1:21">
      <c r="A295" s="81" t="s">
        <v>672</v>
      </c>
      <c r="B295" s="81" t="s">
        <v>77</v>
      </c>
      <c r="C295" s="81" t="s">
        <v>399</v>
      </c>
      <c r="D295" s="81" t="s">
        <v>203</v>
      </c>
      <c r="E295" s="81" t="s">
        <v>641</v>
      </c>
      <c r="F295" s="81" t="s">
        <v>642</v>
      </c>
      <c r="G295" s="81" t="s">
        <v>336</v>
      </c>
      <c r="H295" s="81" t="s">
        <v>138</v>
      </c>
      <c r="I295" s="81" t="s">
        <v>138</v>
      </c>
      <c r="J295" s="81" t="s">
        <v>497</v>
      </c>
      <c r="K295" s="81" t="s">
        <v>631</v>
      </c>
      <c r="L295" s="81" t="s">
        <v>632</v>
      </c>
      <c r="M295" s="81" t="s">
        <v>506</v>
      </c>
      <c r="N295" s="81" t="s">
        <v>253</v>
      </c>
      <c r="O295" s="81" t="s">
        <v>633</v>
      </c>
      <c r="P295" s="81" t="s">
        <v>456</v>
      </c>
      <c r="Q295" s="81" t="s">
        <v>260</v>
      </c>
      <c r="R295" s="81" t="s">
        <v>647</v>
      </c>
      <c r="S295" s="81"/>
      <c r="T295" s="81"/>
      <c r="U295" s="81" t="s">
        <v>341</v>
      </c>
    </row>
    <row r="296" spans="1:21">
      <c r="A296" s="81" t="s">
        <v>673</v>
      </c>
      <c r="B296" s="81" t="s">
        <v>77</v>
      </c>
      <c r="C296" s="81" t="s">
        <v>399</v>
      </c>
      <c r="D296" s="81" t="s">
        <v>203</v>
      </c>
      <c r="E296" s="81" t="s">
        <v>641</v>
      </c>
      <c r="F296" s="81" t="s">
        <v>642</v>
      </c>
      <c r="G296" s="81" t="s">
        <v>336</v>
      </c>
      <c r="H296" s="81" t="s">
        <v>138</v>
      </c>
      <c r="I296" s="81" t="s">
        <v>138</v>
      </c>
      <c r="J296" s="81" t="s">
        <v>497</v>
      </c>
      <c r="K296" s="81" t="s">
        <v>631</v>
      </c>
      <c r="L296" s="81" t="s">
        <v>632</v>
      </c>
      <c r="M296" s="81" t="s">
        <v>506</v>
      </c>
      <c r="N296" s="81" t="s">
        <v>253</v>
      </c>
      <c r="O296" s="81" t="s">
        <v>633</v>
      </c>
      <c r="P296" s="81" t="s">
        <v>456</v>
      </c>
      <c r="Q296" s="81" t="s">
        <v>260</v>
      </c>
      <c r="R296" s="81" t="s">
        <v>647</v>
      </c>
      <c r="S296" s="81"/>
      <c r="T296" s="81"/>
      <c r="U296" s="81" t="s">
        <v>341</v>
      </c>
    </row>
    <row r="297" spans="1:21">
      <c r="A297" s="81" t="s">
        <v>674</v>
      </c>
      <c r="B297" s="81" t="s">
        <v>77</v>
      </c>
      <c r="C297" s="81" t="s">
        <v>399</v>
      </c>
      <c r="D297" s="81" t="s">
        <v>203</v>
      </c>
      <c r="E297" s="81" t="s">
        <v>641</v>
      </c>
      <c r="F297" s="81" t="s">
        <v>642</v>
      </c>
      <c r="G297" s="81" t="s">
        <v>336</v>
      </c>
      <c r="H297" s="81" t="s">
        <v>138</v>
      </c>
      <c r="I297" s="81" t="s">
        <v>138</v>
      </c>
      <c r="J297" s="81" t="s">
        <v>497</v>
      </c>
      <c r="K297" s="81" t="s">
        <v>631</v>
      </c>
      <c r="L297" s="81" t="s">
        <v>632</v>
      </c>
      <c r="M297" s="81" t="s">
        <v>506</v>
      </c>
      <c r="N297" s="81" t="s">
        <v>253</v>
      </c>
      <c r="O297" s="81" t="s">
        <v>633</v>
      </c>
      <c r="P297" s="81" t="s">
        <v>456</v>
      </c>
      <c r="Q297" s="81" t="s">
        <v>260</v>
      </c>
      <c r="R297" s="81" t="s">
        <v>647</v>
      </c>
      <c r="S297" s="81"/>
      <c r="T297" s="81"/>
      <c r="U297" s="81" t="s">
        <v>341</v>
      </c>
    </row>
    <row r="298" spans="1:21">
      <c r="A298" s="81" t="s">
        <v>675</v>
      </c>
      <c r="B298" s="81" t="s">
        <v>77</v>
      </c>
      <c r="C298" s="81" t="s">
        <v>399</v>
      </c>
      <c r="D298" s="81" t="s">
        <v>203</v>
      </c>
      <c r="E298" s="81" t="s">
        <v>641</v>
      </c>
      <c r="F298" s="81" t="s">
        <v>642</v>
      </c>
      <c r="G298" s="81" t="s">
        <v>336</v>
      </c>
      <c r="H298" s="81" t="s">
        <v>138</v>
      </c>
      <c r="I298" s="81" t="s">
        <v>138</v>
      </c>
      <c r="J298" s="81" t="s">
        <v>497</v>
      </c>
      <c r="K298" s="81" t="s">
        <v>631</v>
      </c>
      <c r="L298" s="81" t="s">
        <v>632</v>
      </c>
      <c r="M298" s="81" t="s">
        <v>506</v>
      </c>
      <c r="N298" s="81" t="s">
        <v>253</v>
      </c>
      <c r="O298" s="81" t="s">
        <v>633</v>
      </c>
      <c r="P298" s="81" t="s">
        <v>456</v>
      </c>
      <c r="Q298" s="81" t="s">
        <v>260</v>
      </c>
      <c r="R298" s="81" t="s">
        <v>647</v>
      </c>
      <c r="S298" s="81"/>
      <c r="T298" s="81"/>
      <c r="U298" s="81" t="s">
        <v>341</v>
      </c>
    </row>
    <row r="299" spans="1:21">
      <c r="A299" s="81" t="s">
        <v>676</v>
      </c>
      <c r="B299" s="81" t="s">
        <v>77</v>
      </c>
      <c r="C299" s="81" t="s">
        <v>399</v>
      </c>
      <c r="D299" s="81" t="s">
        <v>203</v>
      </c>
      <c r="E299" s="81" t="s">
        <v>641</v>
      </c>
      <c r="F299" s="81" t="s">
        <v>642</v>
      </c>
      <c r="G299" s="81" t="s">
        <v>336</v>
      </c>
      <c r="H299" s="81" t="s">
        <v>138</v>
      </c>
      <c r="I299" s="81" t="s">
        <v>138</v>
      </c>
      <c r="J299" s="81" t="s">
        <v>497</v>
      </c>
      <c r="K299" s="81" t="s">
        <v>631</v>
      </c>
      <c r="L299" s="81" t="s">
        <v>632</v>
      </c>
      <c r="M299" s="81" t="s">
        <v>506</v>
      </c>
      <c r="N299" s="81" t="s">
        <v>253</v>
      </c>
      <c r="O299" s="81" t="s">
        <v>633</v>
      </c>
      <c r="P299" s="81" t="s">
        <v>456</v>
      </c>
      <c r="Q299" s="81" t="s">
        <v>260</v>
      </c>
      <c r="R299" s="81" t="s">
        <v>647</v>
      </c>
      <c r="S299" s="81"/>
      <c r="T299" s="81"/>
      <c r="U299" s="81" t="s">
        <v>341</v>
      </c>
    </row>
    <row r="300" spans="1:21">
      <c r="A300" s="81" t="s">
        <v>677</v>
      </c>
      <c r="B300" s="81" t="s">
        <v>77</v>
      </c>
      <c r="C300" s="81" t="s">
        <v>399</v>
      </c>
      <c r="D300" s="81" t="s">
        <v>203</v>
      </c>
      <c r="E300" s="81" t="s">
        <v>641</v>
      </c>
      <c r="F300" s="81" t="s">
        <v>642</v>
      </c>
      <c r="G300" s="81" t="s">
        <v>336</v>
      </c>
      <c r="H300" s="81" t="s">
        <v>138</v>
      </c>
      <c r="I300" s="81" t="s">
        <v>138</v>
      </c>
      <c r="J300" s="81" t="s">
        <v>497</v>
      </c>
      <c r="K300" s="81" t="s">
        <v>631</v>
      </c>
      <c r="L300" s="81" t="s">
        <v>632</v>
      </c>
      <c r="M300" s="81" t="s">
        <v>506</v>
      </c>
      <c r="N300" s="81" t="s">
        <v>253</v>
      </c>
      <c r="O300" s="81" t="s">
        <v>633</v>
      </c>
      <c r="P300" s="81" t="s">
        <v>456</v>
      </c>
      <c r="Q300" s="81" t="s">
        <v>260</v>
      </c>
      <c r="R300" s="81" t="s">
        <v>647</v>
      </c>
      <c r="S300" s="81"/>
      <c r="T300" s="81"/>
      <c r="U300" s="81" t="s">
        <v>341</v>
      </c>
    </row>
    <row r="301" spans="1:21">
      <c r="A301" s="81" t="s">
        <v>678</v>
      </c>
      <c r="B301" s="81" t="s">
        <v>77</v>
      </c>
      <c r="C301" s="81" t="s">
        <v>399</v>
      </c>
      <c r="D301" s="81" t="s">
        <v>203</v>
      </c>
      <c r="E301" s="81" t="s">
        <v>641</v>
      </c>
      <c r="F301" s="81" t="s">
        <v>642</v>
      </c>
      <c r="G301" s="81" t="s">
        <v>336</v>
      </c>
      <c r="H301" s="81" t="s">
        <v>138</v>
      </c>
      <c r="I301" s="81" t="s">
        <v>138</v>
      </c>
      <c r="J301" s="81" t="s">
        <v>497</v>
      </c>
      <c r="K301" s="81" t="s">
        <v>631</v>
      </c>
      <c r="L301" s="81" t="s">
        <v>632</v>
      </c>
      <c r="M301" s="81" t="s">
        <v>506</v>
      </c>
      <c r="N301" s="81" t="s">
        <v>253</v>
      </c>
      <c r="O301" s="81" t="s">
        <v>633</v>
      </c>
      <c r="P301" s="81" t="s">
        <v>456</v>
      </c>
      <c r="Q301" s="81" t="s">
        <v>260</v>
      </c>
      <c r="R301" s="81" t="s">
        <v>647</v>
      </c>
      <c r="S301" s="81"/>
      <c r="T301" s="81"/>
      <c r="U301" s="81" t="s">
        <v>341</v>
      </c>
    </row>
    <row r="302" spans="1:21">
      <c r="A302" s="81" t="s">
        <v>679</v>
      </c>
      <c r="B302" s="81" t="s">
        <v>77</v>
      </c>
      <c r="C302" s="81" t="s">
        <v>399</v>
      </c>
      <c r="D302" s="81" t="s">
        <v>203</v>
      </c>
      <c r="E302" s="81" t="s">
        <v>641</v>
      </c>
      <c r="F302" s="81" t="s">
        <v>642</v>
      </c>
      <c r="G302" s="81" t="s">
        <v>336</v>
      </c>
      <c r="H302" s="81" t="s">
        <v>138</v>
      </c>
      <c r="I302" s="81" t="s">
        <v>138</v>
      </c>
      <c r="J302" s="81" t="s">
        <v>497</v>
      </c>
      <c r="K302" s="81" t="s">
        <v>631</v>
      </c>
      <c r="L302" s="81" t="s">
        <v>632</v>
      </c>
      <c r="M302" s="81" t="s">
        <v>506</v>
      </c>
      <c r="N302" s="81" t="s">
        <v>253</v>
      </c>
      <c r="O302" s="81" t="s">
        <v>633</v>
      </c>
      <c r="P302" s="81" t="s">
        <v>456</v>
      </c>
      <c r="Q302" s="81" t="s">
        <v>260</v>
      </c>
      <c r="R302" s="81" t="s">
        <v>647</v>
      </c>
      <c r="S302" s="81"/>
      <c r="T302" s="81"/>
      <c r="U302" s="81" t="s">
        <v>341</v>
      </c>
    </row>
    <row r="303" spans="1:21">
      <c r="A303" s="81" t="s">
        <v>680</v>
      </c>
      <c r="B303" s="81" t="s">
        <v>77</v>
      </c>
      <c r="C303" s="81" t="s">
        <v>399</v>
      </c>
      <c r="D303" s="81" t="s">
        <v>203</v>
      </c>
      <c r="E303" s="81" t="s">
        <v>641</v>
      </c>
      <c r="F303" s="81" t="s">
        <v>642</v>
      </c>
      <c r="G303" s="81" t="s">
        <v>336</v>
      </c>
      <c r="H303" s="81" t="s">
        <v>138</v>
      </c>
      <c r="I303" s="81" t="s">
        <v>138</v>
      </c>
      <c r="J303" s="81" t="s">
        <v>248</v>
      </c>
      <c r="K303" s="81" t="s">
        <v>631</v>
      </c>
      <c r="L303" s="81" t="s">
        <v>632</v>
      </c>
      <c r="M303" s="81" t="s">
        <v>367</v>
      </c>
      <c r="N303" s="81" t="s">
        <v>253</v>
      </c>
      <c r="O303" s="81" t="s">
        <v>633</v>
      </c>
      <c r="P303" s="81" t="s">
        <v>456</v>
      </c>
      <c r="Q303" s="81" t="s">
        <v>260</v>
      </c>
      <c r="R303" s="81" t="s">
        <v>647</v>
      </c>
      <c r="S303" s="81"/>
      <c r="T303" s="81"/>
      <c r="U303" s="81" t="s">
        <v>341</v>
      </c>
    </row>
    <row r="304" spans="1:21">
      <c r="A304" s="81" t="s">
        <v>681</v>
      </c>
      <c r="B304" s="81" t="s">
        <v>77</v>
      </c>
      <c r="C304" s="81" t="s">
        <v>399</v>
      </c>
      <c r="D304" s="81" t="s">
        <v>203</v>
      </c>
      <c r="E304" s="81" t="s">
        <v>641</v>
      </c>
      <c r="F304" s="81" t="s">
        <v>642</v>
      </c>
      <c r="G304" s="81" t="s">
        <v>336</v>
      </c>
      <c r="H304" s="81" t="s">
        <v>138</v>
      </c>
      <c r="I304" s="81" t="s">
        <v>138</v>
      </c>
      <c r="J304" s="81" t="s">
        <v>497</v>
      </c>
      <c r="K304" s="81" t="s">
        <v>631</v>
      </c>
      <c r="L304" s="81" t="s">
        <v>632</v>
      </c>
      <c r="M304" s="81" t="s">
        <v>506</v>
      </c>
      <c r="N304" s="81" t="s">
        <v>253</v>
      </c>
      <c r="O304" s="81" t="s">
        <v>633</v>
      </c>
      <c r="P304" s="81" t="s">
        <v>456</v>
      </c>
      <c r="Q304" s="81" t="s">
        <v>260</v>
      </c>
      <c r="R304" s="81" t="s">
        <v>647</v>
      </c>
      <c r="S304" s="81"/>
      <c r="T304" s="81"/>
      <c r="U304" s="81" t="s">
        <v>341</v>
      </c>
    </row>
    <row r="305" spans="1:21">
      <c r="A305" s="81" t="s">
        <v>682</v>
      </c>
      <c r="B305" s="81" t="s">
        <v>77</v>
      </c>
      <c r="C305" s="81" t="s">
        <v>399</v>
      </c>
      <c r="D305" s="81" t="s">
        <v>203</v>
      </c>
      <c r="E305" s="81" t="s">
        <v>641</v>
      </c>
      <c r="F305" s="81" t="s">
        <v>642</v>
      </c>
      <c r="G305" s="81" t="s">
        <v>336</v>
      </c>
      <c r="H305" s="81" t="s">
        <v>138</v>
      </c>
      <c r="I305" s="81" t="s">
        <v>138</v>
      </c>
      <c r="J305" s="81" t="s">
        <v>497</v>
      </c>
      <c r="K305" s="81" t="s">
        <v>631</v>
      </c>
      <c r="L305" s="81" t="s">
        <v>632</v>
      </c>
      <c r="M305" s="81" t="s">
        <v>506</v>
      </c>
      <c r="N305" s="81" t="s">
        <v>253</v>
      </c>
      <c r="O305" s="81" t="s">
        <v>633</v>
      </c>
      <c r="P305" s="81" t="s">
        <v>456</v>
      </c>
      <c r="Q305" s="81" t="s">
        <v>260</v>
      </c>
      <c r="R305" s="81" t="s">
        <v>647</v>
      </c>
      <c r="S305" s="81"/>
      <c r="T305" s="81"/>
      <c r="U305" s="81" t="s">
        <v>341</v>
      </c>
    </row>
    <row r="306" spans="1:21">
      <c r="A306" s="81" t="s">
        <v>683</v>
      </c>
      <c r="B306" s="81" t="s">
        <v>77</v>
      </c>
      <c r="C306" s="81" t="s">
        <v>399</v>
      </c>
      <c r="D306" s="81" t="s">
        <v>203</v>
      </c>
      <c r="E306" s="81" t="s">
        <v>641</v>
      </c>
      <c r="F306" s="81" t="s">
        <v>642</v>
      </c>
      <c r="G306" s="81" t="s">
        <v>336</v>
      </c>
      <c r="H306" s="81" t="s">
        <v>138</v>
      </c>
      <c r="I306" s="81" t="s">
        <v>138</v>
      </c>
      <c r="J306" s="81" t="s">
        <v>497</v>
      </c>
      <c r="K306" s="81" t="s">
        <v>631</v>
      </c>
      <c r="L306" s="81" t="s">
        <v>632</v>
      </c>
      <c r="M306" s="81" t="s">
        <v>506</v>
      </c>
      <c r="N306" s="81" t="s">
        <v>253</v>
      </c>
      <c r="O306" s="81" t="s">
        <v>633</v>
      </c>
      <c r="P306" s="81" t="s">
        <v>456</v>
      </c>
      <c r="Q306" s="81" t="s">
        <v>260</v>
      </c>
      <c r="R306" s="81" t="s">
        <v>647</v>
      </c>
      <c r="S306" s="81"/>
      <c r="T306" s="81"/>
      <c r="U306" s="81" t="s">
        <v>341</v>
      </c>
    </row>
    <row r="307" spans="1:21">
      <c r="A307" s="81" t="s">
        <v>684</v>
      </c>
      <c r="B307" s="81" t="s">
        <v>77</v>
      </c>
      <c r="C307" s="81" t="s">
        <v>399</v>
      </c>
      <c r="D307" s="81" t="s">
        <v>203</v>
      </c>
      <c r="E307" s="81" t="s">
        <v>641</v>
      </c>
      <c r="F307" s="81" t="s">
        <v>642</v>
      </c>
      <c r="G307" s="81" t="s">
        <v>336</v>
      </c>
      <c r="H307" s="81" t="s">
        <v>138</v>
      </c>
      <c r="I307" s="81" t="s">
        <v>138</v>
      </c>
      <c r="J307" s="81" t="s">
        <v>497</v>
      </c>
      <c r="K307" s="81" t="s">
        <v>631</v>
      </c>
      <c r="L307" s="81" t="s">
        <v>632</v>
      </c>
      <c r="M307" s="81" t="s">
        <v>506</v>
      </c>
      <c r="N307" s="81" t="s">
        <v>253</v>
      </c>
      <c r="O307" s="81" t="s">
        <v>633</v>
      </c>
      <c r="P307" s="81" t="s">
        <v>456</v>
      </c>
      <c r="Q307" s="81" t="s">
        <v>260</v>
      </c>
      <c r="R307" s="81" t="s">
        <v>647</v>
      </c>
      <c r="S307" s="81"/>
      <c r="T307" s="81"/>
      <c r="U307" s="81" t="s">
        <v>341</v>
      </c>
    </row>
    <row r="308" spans="1:21">
      <c r="A308" s="81" t="s">
        <v>685</v>
      </c>
      <c r="B308" s="81" t="s">
        <v>77</v>
      </c>
      <c r="C308" s="81" t="s">
        <v>399</v>
      </c>
      <c r="D308" s="81" t="s">
        <v>203</v>
      </c>
      <c r="E308" s="81" t="s">
        <v>641</v>
      </c>
      <c r="F308" s="81" t="s">
        <v>642</v>
      </c>
      <c r="G308" s="81" t="s">
        <v>336</v>
      </c>
      <c r="H308" s="81" t="s">
        <v>138</v>
      </c>
      <c r="I308" s="81" t="s">
        <v>138</v>
      </c>
      <c r="J308" s="81" t="s">
        <v>497</v>
      </c>
      <c r="K308" s="81" t="s">
        <v>631</v>
      </c>
      <c r="L308" s="81" t="s">
        <v>632</v>
      </c>
      <c r="M308" s="81" t="s">
        <v>506</v>
      </c>
      <c r="N308" s="81" t="s">
        <v>253</v>
      </c>
      <c r="O308" s="81" t="s">
        <v>633</v>
      </c>
      <c r="P308" s="81" t="s">
        <v>456</v>
      </c>
      <c r="Q308" s="81" t="s">
        <v>260</v>
      </c>
      <c r="R308" s="81" t="s">
        <v>647</v>
      </c>
      <c r="S308" s="81"/>
      <c r="T308" s="81"/>
      <c r="U308" s="81" t="s">
        <v>341</v>
      </c>
    </row>
    <row r="309" spans="1:21">
      <c r="A309" s="81" t="s">
        <v>686</v>
      </c>
      <c r="B309" s="81" t="s">
        <v>77</v>
      </c>
      <c r="C309" s="81" t="s">
        <v>399</v>
      </c>
      <c r="D309" s="81" t="s">
        <v>203</v>
      </c>
      <c r="E309" s="81" t="s">
        <v>641</v>
      </c>
      <c r="F309" s="81" t="s">
        <v>642</v>
      </c>
      <c r="G309" s="81" t="s">
        <v>336</v>
      </c>
      <c r="H309" s="81" t="s">
        <v>138</v>
      </c>
      <c r="I309" s="81" t="s">
        <v>138</v>
      </c>
      <c r="J309" s="81" t="s">
        <v>497</v>
      </c>
      <c r="K309" s="81" t="s">
        <v>631</v>
      </c>
      <c r="L309" s="81" t="s">
        <v>632</v>
      </c>
      <c r="M309" s="81" t="s">
        <v>506</v>
      </c>
      <c r="N309" s="81" t="s">
        <v>253</v>
      </c>
      <c r="O309" s="81" t="s">
        <v>633</v>
      </c>
      <c r="P309" s="81" t="s">
        <v>456</v>
      </c>
      <c r="Q309" s="81" t="s">
        <v>260</v>
      </c>
      <c r="R309" s="81" t="s">
        <v>647</v>
      </c>
      <c r="S309" s="81"/>
      <c r="T309" s="81"/>
      <c r="U309" s="81" t="s">
        <v>341</v>
      </c>
    </row>
    <row r="310" spans="1:21">
      <c r="A310" s="81" t="s">
        <v>687</v>
      </c>
      <c r="B310" s="81" t="s">
        <v>77</v>
      </c>
      <c r="C310" s="81" t="s">
        <v>399</v>
      </c>
      <c r="D310" s="81" t="s">
        <v>203</v>
      </c>
      <c r="E310" s="81" t="s">
        <v>641</v>
      </c>
      <c r="F310" s="81" t="s">
        <v>642</v>
      </c>
      <c r="G310" s="81" t="s">
        <v>336</v>
      </c>
      <c r="H310" s="81" t="s">
        <v>138</v>
      </c>
      <c r="I310" s="81" t="s">
        <v>138</v>
      </c>
      <c r="J310" s="81" t="s">
        <v>497</v>
      </c>
      <c r="K310" s="81" t="s">
        <v>631</v>
      </c>
      <c r="L310" s="81" t="s">
        <v>632</v>
      </c>
      <c r="M310" s="81" t="s">
        <v>506</v>
      </c>
      <c r="N310" s="81" t="s">
        <v>253</v>
      </c>
      <c r="O310" s="81" t="s">
        <v>633</v>
      </c>
      <c r="P310" s="81" t="s">
        <v>456</v>
      </c>
      <c r="Q310" s="81" t="s">
        <v>260</v>
      </c>
      <c r="R310" s="81" t="s">
        <v>647</v>
      </c>
      <c r="S310" s="81"/>
      <c r="T310" s="81"/>
      <c r="U310" s="81" t="s">
        <v>341</v>
      </c>
    </row>
    <row r="311" spans="1:21">
      <c r="A311" s="81" t="s">
        <v>688</v>
      </c>
      <c r="B311" s="81" t="s">
        <v>77</v>
      </c>
      <c r="C311" s="81" t="s">
        <v>399</v>
      </c>
      <c r="D311" s="81" t="s">
        <v>203</v>
      </c>
      <c r="E311" s="81" t="s">
        <v>641</v>
      </c>
      <c r="F311" s="81" t="s">
        <v>642</v>
      </c>
      <c r="G311" s="81" t="s">
        <v>336</v>
      </c>
      <c r="H311" s="81" t="s">
        <v>138</v>
      </c>
      <c r="I311" s="81" t="s">
        <v>138</v>
      </c>
      <c r="J311" s="81" t="s">
        <v>497</v>
      </c>
      <c r="K311" s="81" t="s">
        <v>631</v>
      </c>
      <c r="L311" s="81" t="s">
        <v>632</v>
      </c>
      <c r="M311" s="81" t="s">
        <v>506</v>
      </c>
      <c r="N311" s="81" t="s">
        <v>253</v>
      </c>
      <c r="O311" s="81" t="s">
        <v>633</v>
      </c>
      <c r="P311" s="81" t="s">
        <v>456</v>
      </c>
      <c r="Q311" s="81" t="s">
        <v>260</v>
      </c>
      <c r="R311" s="81" t="s">
        <v>647</v>
      </c>
      <c r="S311" s="81"/>
      <c r="T311" s="81"/>
      <c r="U311" s="81" t="s">
        <v>341</v>
      </c>
    </row>
    <row r="312" spans="1:21">
      <c r="A312" s="81" t="s">
        <v>689</v>
      </c>
      <c r="B312" s="81" t="s">
        <v>77</v>
      </c>
      <c r="C312" s="81" t="s">
        <v>399</v>
      </c>
      <c r="D312" s="81" t="s">
        <v>203</v>
      </c>
      <c r="E312" s="81" t="s">
        <v>641</v>
      </c>
      <c r="F312" s="81" t="s">
        <v>642</v>
      </c>
      <c r="G312" s="81" t="s">
        <v>336</v>
      </c>
      <c r="H312" s="81" t="s">
        <v>138</v>
      </c>
      <c r="I312" s="81" t="s">
        <v>138</v>
      </c>
      <c r="J312" s="81" t="s">
        <v>497</v>
      </c>
      <c r="K312" s="81" t="s">
        <v>631</v>
      </c>
      <c r="L312" s="81" t="s">
        <v>632</v>
      </c>
      <c r="M312" s="81" t="s">
        <v>506</v>
      </c>
      <c r="N312" s="81" t="s">
        <v>253</v>
      </c>
      <c r="O312" s="81" t="s">
        <v>633</v>
      </c>
      <c r="P312" s="81" t="s">
        <v>456</v>
      </c>
      <c r="Q312" s="81" t="s">
        <v>260</v>
      </c>
      <c r="R312" s="81" t="s">
        <v>647</v>
      </c>
      <c r="S312" s="81"/>
      <c r="T312" s="81"/>
      <c r="U312" s="81" t="s">
        <v>341</v>
      </c>
    </row>
    <row r="313" spans="1:21">
      <c r="A313" s="81" t="s">
        <v>690</v>
      </c>
      <c r="B313" s="81" t="s">
        <v>77</v>
      </c>
      <c r="C313" s="81" t="s">
        <v>399</v>
      </c>
      <c r="D313" s="81" t="s">
        <v>203</v>
      </c>
      <c r="E313" s="81" t="s">
        <v>641</v>
      </c>
      <c r="F313" s="81" t="s">
        <v>642</v>
      </c>
      <c r="G313" s="81" t="s">
        <v>336</v>
      </c>
      <c r="H313" s="81" t="s">
        <v>138</v>
      </c>
      <c r="I313" s="81" t="s">
        <v>138</v>
      </c>
      <c r="J313" s="81" t="s">
        <v>497</v>
      </c>
      <c r="K313" s="81" t="s">
        <v>631</v>
      </c>
      <c r="L313" s="81" t="s">
        <v>632</v>
      </c>
      <c r="M313" s="81" t="s">
        <v>506</v>
      </c>
      <c r="N313" s="81" t="s">
        <v>253</v>
      </c>
      <c r="O313" s="81" t="s">
        <v>633</v>
      </c>
      <c r="P313" s="81" t="s">
        <v>456</v>
      </c>
      <c r="Q313" s="81" t="s">
        <v>260</v>
      </c>
      <c r="R313" s="81" t="s">
        <v>647</v>
      </c>
      <c r="S313" s="81"/>
      <c r="T313" s="81"/>
      <c r="U313" s="81" t="s">
        <v>341</v>
      </c>
    </row>
    <row r="314" spans="1:21">
      <c r="A314" s="81" t="s">
        <v>691</v>
      </c>
      <c r="B314" s="81" t="s">
        <v>77</v>
      </c>
      <c r="C314" s="81" t="s">
        <v>399</v>
      </c>
      <c r="D314" s="81" t="s">
        <v>203</v>
      </c>
      <c r="E314" s="81" t="s">
        <v>692</v>
      </c>
      <c r="F314" s="81" t="s">
        <v>693</v>
      </c>
      <c r="G314" s="81" t="s">
        <v>336</v>
      </c>
      <c r="H314" s="81" t="s">
        <v>138</v>
      </c>
      <c r="I314" s="81" t="s">
        <v>138</v>
      </c>
      <c r="J314" s="81" t="s">
        <v>694</v>
      </c>
      <c r="K314" s="81" t="s">
        <v>631</v>
      </c>
      <c r="L314" s="81" t="s">
        <v>632</v>
      </c>
      <c r="M314" s="81" t="s">
        <v>506</v>
      </c>
      <c r="N314" s="81" t="s">
        <v>253</v>
      </c>
      <c r="O314" s="81" t="s">
        <v>633</v>
      </c>
      <c r="P314" s="81" t="s">
        <v>138</v>
      </c>
      <c r="Q314" s="81"/>
      <c r="R314" s="81" t="s">
        <v>695</v>
      </c>
      <c r="S314" s="81"/>
      <c r="T314" s="81"/>
      <c r="U314" s="81" t="s">
        <v>341</v>
      </c>
    </row>
    <row r="315" spans="1:21">
      <c r="A315" s="81" t="s">
        <v>696</v>
      </c>
      <c r="B315" s="81" t="s">
        <v>77</v>
      </c>
      <c r="C315" s="81" t="s">
        <v>399</v>
      </c>
      <c r="D315" s="81" t="s">
        <v>203</v>
      </c>
      <c r="E315" s="81" t="s">
        <v>697</v>
      </c>
      <c r="F315" s="81" t="s">
        <v>698</v>
      </c>
      <c r="G315" s="81" t="s">
        <v>336</v>
      </c>
      <c r="H315" s="81" t="s">
        <v>138</v>
      </c>
      <c r="I315" s="81" t="s">
        <v>138</v>
      </c>
      <c r="J315" s="81" t="s">
        <v>248</v>
      </c>
      <c r="K315" s="81" t="s">
        <v>117</v>
      </c>
      <c r="L315" s="81" t="s">
        <v>117</v>
      </c>
      <c r="M315" s="81" t="s">
        <v>337</v>
      </c>
      <c r="N315" s="81" t="s">
        <v>253</v>
      </c>
      <c r="O315" s="81" t="s">
        <v>338</v>
      </c>
      <c r="P315" s="81" t="s">
        <v>138</v>
      </c>
      <c r="Q315" s="81"/>
      <c r="R315" s="81" t="s">
        <v>699</v>
      </c>
      <c r="S315" s="81">
        <v>0</v>
      </c>
      <c r="T315" s="81">
        <v>2</v>
      </c>
      <c r="U315" s="81" t="s">
        <v>341</v>
      </c>
    </row>
    <row r="316" spans="1:21">
      <c r="A316" s="81" t="s">
        <v>700</v>
      </c>
      <c r="B316" s="81" t="s">
        <v>77</v>
      </c>
      <c r="C316" s="81" t="s">
        <v>399</v>
      </c>
      <c r="D316" s="81" t="s">
        <v>203</v>
      </c>
      <c r="E316" s="81" t="s">
        <v>697</v>
      </c>
      <c r="F316" s="81" t="s">
        <v>698</v>
      </c>
      <c r="G316" s="81" t="s">
        <v>336</v>
      </c>
      <c r="H316" s="81" t="s">
        <v>138</v>
      </c>
      <c r="I316" s="81" t="s">
        <v>138</v>
      </c>
      <c r="J316" s="81" t="s">
        <v>248</v>
      </c>
      <c r="K316" s="81" t="s">
        <v>117</v>
      </c>
      <c r="L316" s="81" t="s">
        <v>117</v>
      </c>
      <c r="M316" s="81" t="s">
        <v>337</v>
      </c>
      <c r="N316" s="81" t="s">
        <v>253</v>
      </c>
      <c r="O316" s="81" t="s">
        <v>338</v>
      </c>
      <c r="P316" s="81" t="s">
        <v>138</v>
      </c>
      <c r="Q316" s="81"/>
      <c r="R316" s="81" t="s">
        <v>699</v>
      </c>
      <c r="S316" s="81"/>
      <c r="T316" s="81"/>
      <c r="U316" s="81" t="s">
        <v>341</v>
      </c>
    </row>
    <row r="317" spans="1:21">
      <c r="A317" s="81" t="s">
        <v>701</v>
      </c>
      <c r="B317" s="81" t="s">
        <v>77</v>
      </c>
      <c r="C317" s="81" t="s">
        <v>399</v>
      </c>
      <c r="D317" s="81" t="s">
        <v>203</v>
      </c>
      <c r="E317" s="81" t="s">
        <v>697</v>
      </c>
      <c r="F317" s="81" t="s">
        <v>698</v>
      </c>
      <c r="G317" s="81" t="s">
        <v>336</v>
      </c>
      <c r="H317" s="81" t="s">
        <v>138</v>
      </c>
      <c r="I317" s="81" t="s">
        <v>138</v>
      </c>
      <c r="J317" s="81" t="s">
        <v>248</v>
      </c>
      <c r="K317" s="81" t="s">
        <v>117</v>
      </c>
      <c r="L317" s="81" t="s">
        <v>117</v>
      </c>
      <c r="M317" s="81" t="s">
        <v>337</v>
      </c>
      <c r="N317" s="81" t="s">
        <v>253</v>
      </c>
      <c r="O317" s="81" t="s">
        <v>338</v>
      </c>
      <c r="P317" s="81" t="s">
        <v>138</v>
      </c>
      <c r="Q317" s="81"/>
      <c r="R317" s="81" t="s">
        <v>699</v>
      </c>
      <c r="S317" s="81">
        <v>0</v>
      </c>
      <c r="T317" s="81">
        <v>2</v>
      </c>
      <c r="U317" s="81" t="s">
        <v>341</v>
      </c>
    </row>
    <row r="318" spans="1:21">
      <c r="A318" s="81" t="s">
        <v>702</v>
      </c>
      <c r="B318" s="81" t="s">
        <v>77</v>
      </c>
      <c r="C318" s="81" t="s">
        <v>399</v>
      </c>
      <c r="D318" s="81" t="s">
        <v>203</v>
      </c>
      <c r="E318" s="81" t="s">
        <v>697</v>
      </c>
      <c r="F318" s="81" t="s">
        <v>698</v>
      </c>
      <c r="G318" s="81" t="s">
        <v>430</v>
      </c>
      <c r="H318" s="81" t="s">
        <v>138</v>
      </c>
      <c r="I318" s="81" t="s">
        <v>138</v>
      </c>
      <c r="J318" s="81" t="s">
        <v>248</v>
      </c>
      <c r="K318" s="81" t="s">
        <v>117</v>
      </c>
      <c r="L318" s="81" t="s">
        <v>117</v>
      </c>
      <c r="M318" s="81" t="s">
        <v>337</v>
      </c>
      <c r="N318" s="81" t="s">
        <v>253</v>
      </c>
      <c r="O318" s="81" t="s">
        <v>338</v>
      </c>
      <c r="P318" s="81" t="s">
        <v>138</v>
      </c>
      <c r="Q318" s="81"/>
      <c r="R318" s="81" t="s">
        <v>699</v>
      </c>
      <c r="S318" s="81"/>
      <c r="T318" s="81"/>
      <c r="U318" s="81" t="s">
        <v>341</v>
      </c>
    </row>
    <row r="319" spans="1:21">
      <c r="A319" s="81" t="s">
        <v>703</v>
      </c>
      <c r="B319" s="81" t="s">
        <v>77</v>
      </c>
      <c r="C319" s="81" t="s">
        <v>399</v>
      </c>
      <c r="D319" s="81" t="s">
        <v>203</v>
      </c>
      <c r="E319" s="81" t="s">
        <v>697</v>
      </c>
      <c r="F319" s="81" t="s">
        <v>698</v>
      </c>
      <c r="G319" s="81" t="s">
        <v>336</v>
      </c>
      <c r="H319" s="81" t="s">
        <v>138</v>
      </c>
      <c r="I319" s="81" t="s">
        <v>138</v>
      </c>
      <c r="J319" s="81" t="s">
        <v>248</v>
      </c>
      <c r="K319" s="81" t="s">
        <v>117</v>
      </c>
      <c r="L319" s="81" t="s">
        <v>117</v>
      </c>
      <c r="M319" s="81" t="s">
        <v>337</v>
      </c>
      <c r="N319" s="81" t="s">
        <v>253</v>
      </c>
      <c r="O319" s="81" t="s">
        <v>338</v>
      </c>
      <c r="P319" s="81" t="s">
        <v>138</v>
      </c>
      <c r="Q319" s="81"/>
      <c r="R319" s="81" t="s">
        <v>699</v>
      </c>
      <c r="S319" s="81"/>
      <c r="T319" s="81"/>
      <c r="U319" s="81" t="s">
        <v>341</v>
      </c>
    </row>
    <row r="320" spans="1:21">
      <c r="A320" s="81" t="s">
        <v>704</v>
      </c>
      <c r="B320" s="81" t="s">
        <v>77</v>
      </c>
      <c r="C320" s="81" t="s">
        <v>399</v>
      </c>
      <c r="D320" s="81" t="s">
        <v>203</v>
      </c>
      <c r="E320" s="81" t="s">
        <v>697</v>
      </c>
      <c r="F320" s="81" t="s">
        <v>698</v>
      </c>
      <c r="G320" s="81" t="s">
        <v>430</v>
      </c>
      <c r="H320" s="81" t="s">
        <v>138</v>
      </c>
      <c r="I320" s="81" t="s">
        <v>138</v>
      </c>
      <c r="J320" s="81" t="s">
        <v>248</v>
      </c>
      <c r="K320" s="81" t="s">
        <v>117</v>
      </c>
      <c r="L320" s="81" t="s">
        <v>117</v>
      </c>
      <c r="M320" s="81" t="s">
        <v>337</v>
      </c>
      <c r="N320" s="81" t="s">
        <v>253</v>
      </c>
      <c r="O320" s="81" t="s">
        <v>338</v>
      </c>
      <c r="P320" s="81" t="s">
        <v>138</v>
      </c>
      <c r="Q320" s="81"/>
      <c r="R320" s="81" t="s">
        <v>699</v>
      </c>
      <c r="S320" s="81"/>
      <c r="T320" s="81"/>
      <c r="U320" s="81" t="s">
        <v>341</v>
      </c>
    </row>
    <row r="321" spans="1:21">
      <c r="A321" s="81" t="s">
        <v>705</v>
      </c>
      <c r="B321" s="81" t="s">
        <v>77</v>
      </c>
      <c r="C321" s="81" t="s">
        <v>399</v>
      </c>
      <c r="D321" s="81" t="s">
        <v>203</v>
      </c>
      <c r="E321" s="81" t="s">
        <v>697</v>
      </c>
      <c r="F321" s="81" t="s">
        <v>698</v>
      </c>
      <c r="G321" s="81" t="s">
        <v>336</v>
      </c>
      <c r="H321" s="81" t="s">
        <v>138</v>
      </c>
      <c r="I321" s="81" t="s">
        <v>138</v>
      </c>
      <c r="J321" s="81" t="s">
        <v>248</v>
      </c>
      <c r="K321" s="81" t="s">
        <v>117</v>
      </c>
      <c r="L321" s="81" t="s">
        <v>117</v>
      </c>
      <c r="M321" s="81" t="s">
        <v>337</v>
      </c>
      <c r="N321" s="81" t="s">
        <v>253</v>
      </c>
      <c r="O321" s="81" t="s">
        <v>338</v>
      </c>
      <c r="P321" s="81" t="s">
        <v>138</v>
      </c>
      <c r="Q321" s="81"/>
      <c r="R321" s="81" t="s">
        <v>699</v>
      </c>
      <c r="S321" s="81"/>
      <c r="T321" s="81"/>
      <c r="U321" s="81" t="s">
        <v>341</v>
      </c>
    </row>
    <row r="322" spans="1:21">
      <c r="A322" s="81" t="s">
        <v>706</v>
      </c>
      <c r="B322" s="81" t="s">
        <v>77</v>
      </c>
      <c r="C322" s="81" t="s">
        <v>399</v>
      </c>
      <c r="D322" s="81" t="s">
        <v>203</v>
      </c>
      <c r="E322" s="81" t="s">
        <v>697</v>
      </c>
      <c r="F322" s="81" t="s">
        <v>698</v>
      </c>
      <c r="G322" s="81" t="s">
        <v>336</v>
      </c>
      <c r="H322" s="81" t="s">
        <v>138</v>
      </c>
      <c r="I322" s="81" t="s">
        <v>138</v>
      </c>
      <c r="J322" s="81" t="s">
        <v>571</v>
      </c>
      <c r="K322" s="81" t="s">
        <v>117</v>
      </c>
      <c r="L322" s="81" t="s">
        <v>117</v>
      </c>
      <c r="M322" s="81" t="s">
        <v>337</v>
      </c>
      <c r="N322" s="81" t="s">
        <v>253</v>
      </c>
      <c r="O322" s="81" t="s">
        <v>338</v>
      </c>
      <c r="P322" s="81" t="s">
        <v>138</v>
      </c>
      <c r="Q322" s="81"/>
      <c r="R322" s="81" t="s">
        <v>707</v>
      </c>
      <c r="S322" s="81"/>
      <c r="T322" s="81"/>
      <c r="U322" s="81" t="s">
        <v>341</v>
      </c>
    </row>
    <row r="323" spans="1:21">
      <c r="A323" s="81" t="s">
        <v>708</v>
      </c>
      <c r="B323" s="81" t="s">
        <v>77</v>
      </c>
      <c r="C323" s="81" t="s">
        <v>399</v>
      </c>
      <c r="D323" s="81" t="s">
        <v>203</v>
      </c>
      <c r="E323" s="81" t="s">
        <v>697</v>
      </c>
      <c r="F323" s="81" t="s">
        <v>698</v>
      </c>
      <c r="G323" s="81" t="s">
        <v>336</v>
      </c>
      <c r="H323" s="81" t="s">
        <v>138</v>
      </c>
      <c r="I323" s="81" t="s">
        <v>138</v>
      </c>
      <c r="J323" s="81" t="s">
        <v>694</v>
      </c>
      <c r="K323" s="81" t="s">
        <v>117</v>
      </c>
      <c r="L323" s="81" t="s">
        <v>117</v>
      </c>
      <c r="M323" s="81" t="s">
        <v>337</v>
      </c>
      <c r="N323" s="81" t="s">
        <v>253</v>
      </c>
      <c r="O323" s="81" t="s">
        <v>338</v>
      </c>
      <c r="P323" s="81" t="s">
        <v>138</v>
      </c>
      <c r="Q323" s="81"/>
      <c r="R323" s="81" t="s">
        <v>707</v>
      </c>
      <c r="S323" s="81"/>
      <c r="T323" s="81"/>
      <c r="U323" s="81" t="s">
        <v>341</v>
      </c>
    </row>
    <row r="324" spans="1:21">
      <c r="A324" s="81" t="s">
        <v>709</v>
      </c>
      <c r="B324" s="81" t="s">
        <v>77</v>
      </c>
      <c r="C324" s="81" t="s">
        <v>399</v>
      </c>
      <c r="D324" s="81" t="s">
        <v>203</v>
      </c>
      <c r="E324" s="81" t="s">
        <v>697</v>
      </c>
      <c r="F324" s="81" t="s">
        <v>698</v>
      </c>
      <c r="G324" s="81" t="s">
        <v>336</v>
      </c>
      <c r="H324" s="81" t="s">
        <v>138</v>
      </c>
      <c r="I324" s="81" t="s">
        <v>138</v>
      </c>
      <c r="J324" s="81" t="s">
        <v>694</v>
      </c>
      <c r="K324" s="81" t="s">
        <v>117</v>
      </c>
      <c r="L324" s="81" t="s">
        <v>117</v>
      </c>
      <c r="M324" s="81" t="s">
        <v>337</v>
      </c>
      <c r="N324" s="81" t="s">
        <v>253</v>
      </c>
      <c r="O324" s="81" t="s">
        <v>338</v>
      </c>
      <c r="P324" s="81" t="s">
        <v>138</v>
      </c>
      <c r="Q324" s="81"/>
      <c r="R324" s="81" t="s">
        <v>707</v>
      </c>
      <c r="S324" s="81"/>
      <c r="T324" s="81"/>
      <c r="U324" s="81" t="s">
        <v>341</v>
      </c>
    </row>
    <row r="325" spans="1:21">
      <c r="A325" s="81" t="s">
        <v>710</v>
      </c>
      <c r="B325" s="81" t="s">
        <v>77</v>
      </c>
      <c r="C325" s="81" t="s">
        <v>399</v>
      </c>
      <c r="D325" s="81" t="s">
        <v>203</v>
      </c>
      <c r="E325" s="81" t="s">
        <v>711</v>
      </c>
      <c r="F325" s="81" t="s">
        <v>712</v>
      </c>
      <c r="G325" s="81" t="s">
        <v>417</v>
      </c>
      <c r="H325" s="81" t="s">
        <v>138</v>
      </c>
      <c r="I325" s="81" t="s">
        <v>138</v>
      </c>
      <c r="J325" s="81" t="s">
        <v>388</v>
      </c>
      <c r="K325" s="81" t="s">
        <v>365</v>
      </c>
      <c r="L325" s="81" t="s">
        <v>366</v>
      </c>
      <c r="M325" s="81" t="s">
        <v>367</v>
      </c>
      <c r="N325" s="81" t="s">
        <v>253</v>
      </c>
      <c r="O325" s="81" t="s">
        <v>414</v>
      </c>
      <c r="P325" s="81" t="s">
        <v>138</v>
      </c>
      <c r="Q325" s="81"/>
      <c r="R325" s="81" t="s">
        <v>713</v>
      </c>
      <c r="S325" s="81">
        <v>0</v>
      </c>
      <c r="T325" s="81">
        <v>30</v>
      </c>
      <c r="U325" s="81" t="s">
        <v>341</v>
      </c>
    </row>
    <row r="326" spans="1:21">
      <c r="A326" s="81" t="s">
        <v>714</v>
      </c>
      <c r="B326" s="81" t="s">
        <v>77</v>
      </c>
      <c r="C326" s="81" t="s">
        <v>399</v>
      </c>
      <c r="D326" s="81" t="s">
        <v>203</v>
      </c>
      <c r="E326" s="81" t="s">
        <v>711</v>
      </c>
      <c r="F326" s="81" t="s">
        <v>712</v>
      </c>
      <c r="G326" s="81" t="s">
        <v>417</v>
      </c>
      <c r="H326" s="81" t="s">
        <v>138</v>
      </c>
      <c r="I326" s="81" t="s">
        <v>138</v>
      </c>
      <c r="J326" s="81" t="s">
        <v>388</v>
      </c>
      <c r="K326" s="81" t="s">
        <v>365</v>
      </c>
      <c r="L326" s="81" t="s">
        <v>366</v>
      </c>
      <c r="M326" s="81" t="s">
        <v>367</v>
      </c>
      <c r="N326" s="81" t="s">
        <v>253</v>
      </c>
      <c r="O326" s="81" t="s">
        <v>414</v>
      </c>
      <c r="P326" s="81" t="s">
        <v>138</v>
      </c>
      <c r="Q326" s="81"/>
      <c r="R326" s="81" t="s">
        <v>713</v>
      </c>
      <c r="S326" s="81"/>
      <c r="T326" s="81"/>
      <c r="U326" s="81" t="s">
        <v>341</v>
      </c>
    </row>
    <row r="327" spans="1:21">
      <c r="A327" s="81" t="s">
        <v>715</v>
      </c>
      <c r="B327" s="81" t="s">
        <v>77</v>
      </c>
      <c r="C327" s="81" t="s">
        <v>399</v>
      </c>
      <c r="D327" s="81" t="s">
        <v>203</v>
      </c>
      <c r="E327" s="81" t="s">
        <v>711</v>
      </c>
      <c r="F327" s="81" t="s">
        <v>712</v>
      </c>
      <c r="G327" s="81" t="s">
        <v>417</v>
      </c>
      <c r="H327" s="81" t="s">
        <v>138</v>
      </c>
      <c r="I327" s="81" t="s">
        <v>138</v>
      </c>
      <c r="J327" s="81" t="s">
        <v>388</v>
      </c>
      <c r="K327" s="81" t="s">
        <v>365</v>
      </c>
      <c r="L327" s="81" t="s">
        <v>366</v>
      </c>
      <c r="M327" s="81" t="s">
        <v>367</v>
      </c>
      <c r="N327" s="81" t="s">
        <v>253</v>
      </c>
      <c r="O327" s="81" t="s">
        <v>414</v>
      </c>
      <c r="P327" s="81" t="s">
        <v>138</v>
      </c>
      <c r="Q327" s="81"/>
      <c r="R327" s="81" t="s">
        <v>713</v>
      </c>
      <c r="S327" s="81"/>
      <c r="T327" s="81"/>
      <c r="U327" s="81" t="s">
        <v>341</v>
      </c>
    </row>
    <row r="328" spans="1:21">
      <c r="A328" s="81" t="s">
        <v>716</v>
      </c>
      <c r="B328" s="81" t="s">
        <v>77</v>
      </c>
      <c r="C328" s="81" t="s">
        <v>399</v>
      </c>
      <c r="D328" s="81" t="s">
        <v>203</v>
      </c>
      <c r="E328" s="81" t="s">
        <v>711</v>
      </c>
      <c r="F328" s="81" t="s">
        <v>712</v>
      </c>
      <c r="G328" s="81" t="s">
        <v>417</v>
      </c>
      <c r="H328" s="81" t="s">
        <v>138</v>
      </c>
      <c r="I328" s="81" t="s">
        <v>138</v>
      </c>
      <c r="J328" s="81" t="s">
        <v>388</v>
      </c>
      <c r="K328" s="81" t="s">
        <v>365</v>
      </c>
      <c r="L328" s="81" t="s">
        <v>366</v>
      </c>
      <c r="M328" s="81" t="s">
        <v>367</v>
      </c>
      <c r="N328" s="81" t="s">
        <v>253</v>
      </c>
      <c r="O328" s="81" t="s">
        <v>414</v>
      </c>
      <c r="P328" s="81" t="s">
        <v>138</v>
      </c>
      <c r="Q328" s="81"/>
      <c r="R328" s="81" t="s">
        <v>713</v>
      </c>
      <c r="S328" s="81"/>
      <c r="T328" s="81"/>
      <c r="U328" s="81" t="s">
        <v>341</v>
      </c>
    </row>
    <row r="329" spans="1:21">
      <c r="A329" s="81" t="s">
        <v>717</v>
      </c>
      <c r="B329" s="81" t="s">
        <v>77</v>
      </c>
      <c r="C329" s="81" t="s">
        <v>399</v>
      </c>
      <c r="D329" s="81" t="s">
        <v>203</v>
      </c>
      <c r="E329" s="81" t="s">
        <v>711</v>
      </c>
      <c r="F329" s="81" t="s">
        <v>712</v>
      </c>
      <c r="G329" s="81" t="s">
        <v>417</v>
      </c>
      <c r="H329" s="81" t="s">
        <v>138</v>
      </c>
      <c r="I329" s="81" t="s">
        <v>138</v>
      </c>
      <c r="J329" s="81" t="s">
        <v>248</v>
      </c>
      <c r="K329" s="81" t="s">
        <v>365</v>
      </c>
      <c r="L329" s="81" t="s">
        <v>366</v>
      </c>
      <c r="M329" s="81" t="s">
        <v>367</v>
      </c>
      <c r="N329" s="81" t="s">
        <v>253</v>
      </c>
      <c r="O329" s="81" t="s">
        <v>414</v>
      </c>
      <c r="P329" s="81" t="s">
        <v>138</v>
      </c>
      <c r="Q329" s="81"/>
      <c r="R329" s="81" t="s">
        <v>713</v>
      </c>
      <c r="S329" s="81"/>
      <c r="T329" s="81"/>
      <c r="U329" s="81" t="s">
        <v>341</v>
      </c>
    </row>
    <row r="330" spans="1:21">
      <c r="A330" s="81" t="s">
        <v>718</v>
      </c>
      <c r="B330" s="81" t="s">
        <v>77</v>
      </c>
      <c r="C330" s="81" t="s">
        <v>399</v>
      </c>
      <c r="D330" s="81" t="s">
        <v>203</v>
      </c>
      <c r="E330" s="81" t="s">
        <v>711</v>
      </c>
      <c r="F330" s="81" t="s">
        <v>712</v>
      </c>
      <c r="G330" s="81" t="s">
        <v>417</v>
      </c>
      <c r="H330" s="81" t="s">
        <v>138</v>
      </c>
      <c r="I330" s="81" t="s">
        <v>138</v>
      </c>
      <c r="J330" s="81" t="s">
        <v>571</v>
      </c>
      <c r="K330" s="81" t="s">
        <v>365</v>
      </c>
      <c r="L330" s="81" t="s">
        <v>366</v>
      </c>
      <c r="M330" s="81" t="s">
        <v>506</v>
      </c>
      <c r="N330" s="81" t="s">
        <v>253</v>
      </c>
      <c r="O330" s="81" t="s">
        <v>414</v>
      </c>
      <c r="P330" s="81" t="s">
        <v>138</v>
      </c>
      <c r="Q330" s="81"/>
      <c r="R330" s="81" t="s">
        <v>713</v>
      </c>
      <c r="S330" s="81"/>
      <c r="T330" s="81"/>
      <c r="U330" s="81" t="s">
        <v>341</v>
      </c>
    </row>
    <row r="331" spans="1:21">
      <c r="A331" s="81" t="s">
        <v>719</v>
      </c>
      <c r="B331" s="81" t="s">
        <v>77</v>
      </c>
      <c r="C331" s="81" t="s">
        <v>399</v>
      </c>
      <c r="D331" s="81" t="s">
        <v>203</v>
      </c>
      <c r="E331" s="81" t="s">
        <v>711</v>
      </c>
      <c r="F331" s="81" t="s">
        <v>712</v>
      </c>
      <c r="G331" s="81" t="s">
        <v>417</v>
      </c>
      <c r="H331" s="81" t="s">
        <v>138</v>
      </c>
      <c r="I331" s="81" t="s">
        <v>138</v>
      </c>
      <c r="J331" s="81" t="s">
        <v>571</v>
      </c>
      <c r="K331" s="81" t="s">
        <v>365</v>
      </c>
      <c r="L331" s="81" t="s">
        <v>366</v>
      </c>
      <c r="M331" s="81" t="s">
        <v>506</v>
      </c>
      <c r="N331" s="81" t="s">
        <v>253</v>
      </c>
      <c r="O331" s="81" t="s">
        <v>414</v>
      </c>
      <c r="P331" s="81" t="s">
        <v>138</v>
      </c>
      <c r="Q331" s="81"/>
      <c r="R331" s="81" t="s">
        <v>713</v>
      </c>
      <c r="S331" s="81"/>
      <c r="T331" s="81"/>
      <c r="U331" s="81" t="s">
        <v>341</v>
      </c>
    </row>
    <row r="332" spans="1:21">
      <c r="A332" s="81" t="s">
        <v>720</v>
      </c>
      <c r="B332" s="81" t="s">
        <v>77</v>
      </c>
      <c r="C332" s="81" t="s">
        <v>399</v>
      </c>
      <c r="D332" s="81" t="s">
        <v>203</v>
      </c>
      <c r="E332" s="81" t="s">
        <v>711</v>
      </c>
      <c r="F332" s="81" t="s">
        <v>712</v>
      </c>
      <c r="G332" s="81" t="s">
        <v>417</v>
      </c>
      <c r="H332" s="81" t="s">
        <v>138</v>
      </c>
      <c r="I332" s="81" t="s">
        <v>138</v>
      </c>
      <c r="J332" s="81" t="s">
        <v>571</v>
      </c>
      <c r="K332" s="81" t="s">
        <v>365</v>
      </c>
      <c r="L332" s="81" t="s">
        <v>366</v>
      </c>
      <c r="M332" s="81" t="s">
        <v>506</v>
      </c>
      <c r="N332" s="81" t="s">
        <v>253</v>
      </c>
      <c r="O332" s="81" t="s">
        <v>414</v>
      </c>
      <c r="P332" s="81" t="s">
        <v>138</v>
      </c>
      <c r="Q332" s="81"/>
      <c r="R332" s="81" t="s">
        <v>713</v>
      </c>
      <c r="S332" s="81"/>
      <c r="T332" s="81"/>
      <c r="U332" s="81" t="s">
        <v>341</v>
      </c>
    </row>
    <row r="333" spans="1:21">
      <c r="A333" s="81" t="s">
        <v>721</v>
      </c>
      <c r="B333" s="81" t="s">
        <v>77</v>
      </c>
      <c r="C333" s="81" t="s">
        <v>399</v>
      </c>
      <c r="D333" s="81" t="s">
        <v>203</v>
      </c>
      <c r="E333" s="81" t="s">
        <v>711</v>
      </c>
      <c r="F333" s="81" t="s">
        <v>712</v>
      </c>
      <c r="G333" s="81" t="s">
        <v>417</v>
      </c>
      <c r="H333" s="81" t="s">
        <v>138</v>
      </c>
      <c r="I333" s="81" t="s">
        <v>138</v>
      </c>
      <c r="J333" s="81" t="s">
        <v>497</v>
      </c>
      <c r="K333" s="81" t="s">
        <v>365</v>
      </c>
      <c r="L333" s="81" t="s">
        <v>366</v>
      </c>
      <c r="M333" s="81" t="s">
        <v>506</v>
      </c>
      <c r="N333" s="81" t="s">
        <v>253</v>
      </c>
      <c r="O333" s="81" t="s">
        <v>414</v>
      </c>
      <c r="P333" s="81" t="s">
        <v>138</v>
      </c>
      <c r="Q333" s="81"/>
      <c r="R333" s="81" t="s">
        <v>713</v>
      </c>
      <c r="S333" s="81"/>
      <c r="T333" s="81"/>
      <c r="U333" s="81" t="s">
        <v>341</v>
      </c>
    </row>
    <row r="334" spans="1:21">
      <c r="A334" s="81" t="s">
        <v>722</v>
      </c>
      <c r="B334" s="81" t="s">
        <v>77</v>
      </c>
      <c r="C334" s="81" t="s">
        <v>399</v>
      </c>
      <c r="D334" s="81" t="s">
        <v>203</v>
      </c>
      <c r="E334" s="81" t="s">
        <v>711</v>
      </c>
      <c r="F334" s="81" t="s">
        <v>712</v>
      </c>
      <c r="G334" s="81" t="s">
        <v>417</v>
      </c>
      <c r="H334" s="81" t="s">
        <v>138</v>
      </c>
      <c r="I334" s="81" t="s">
        <v>138</v>
      </c>
      <c r="J334" s="81" t="s">
        <v>497</v>
      </c>
      <c r="K334" s="81" t="s">
        <v>365</v>
      </c>
      <c r="L334" s="81" t="s">
        <v>366</v>
      </c>
      <c r="M334" s="81" t="s">
        <v>506</v>
      </c>
      <c r="N334" s="81" t="s">
        <v>253</v>
      </c>
      <c r="O334" s="81" t="s">
        <v>414</v>
      </c>
      <c r="P334" s="81" t="s">
        <v>138</v>
      </c>
      <c r="Q334" s="81"/>
      <c r="R334" s="81" t="s">
        <v>713</v>
      </c>
      <c r="S334" s="81"/>
      <c r="T334" s="81"/>
      <c r="U334" s="81" t="s">
        <v>341</v>
      </c>
    </row>
    <row r="335" spans="1:21">
      <c r="A335" s="81" t="s">
        <v>723</v>
      </c>
      <c r="B335" s="81" t="s">
        <v>77</v>
      </c>
      <c r="C335" s="81" t="s">
        <v>399</v>
      </c>
      <c r="D335" s="81" t="s">
        <v>399</v>
      </c>
      <c r="E335" s="81" t="s">
        <v>724</v>
      </c>
      <c r="F335" s="81" t="s">
        <v>138</v>
      </c>
      <c r="G335" s="81" t="s">
        <v>336</v>
      </c>
      <c r="H335" s="81" t="s">
        <v>138</v>
      </c>
      <c r="I335" s="81" t="s">
        <v>138</v>
      </c>
      <c r="J335" s="81" t="s">
        <v>248</v>
      </c>
      <c r="K335" s="81" t="s">
        <v>117</v>
      </c>
      <c r="L335" s="81" t="s">
        <v>117</v>
      </c>
      <c r="M335" s="81" t="s">
        <v>725</v>
      </c>
      <c r="N335" s="81" t="s">
        <v>253</v>
      </c>
      <c r="O335" s="81" t="s">
        <v>338</v>
      </c>
      <c r="P335" s="81" t="s">
        <v>138</v>
      </c>
      <c r="Q335" s="81"/>
      <c r="R335" s="81" t="s">
        <v>726</v>
      </c>
      <c r="S335" s="81">
        <v>0</v>
      </c>
      <c r="T335" s="81">
        <v>2</v>
      </c>
      <c r="U335" s="81" t="s">
        <v>341</v>
      </c>
    </row>
    <row r="336" spans="1:21">
      <c r="A336" s="81" t="s">
        <v>727</v>
      </c>
      <c r="B336" s="81" t="s">
        <v>77</v>
      </c>
      <c r="C336" s="81" t="s">
        <v>399</v>
      </c>
      <c r="D336" s="81" t="s">
        <v>399</v>
      </c>
      <c r="E336" s="81" t="s">
        <v>724</v>
      </c>
      <c r="F336" s="81" t="s">
        <v>138</v>
      </c>
      <c r="G336" s="81" t="s">
        <v>336</v>
      </c>
      <c r="H336" s="81" t="s">
        <v>138</v>
      </c>
      <c r="I336" s="81" t="s">
        <v>138</v>
      </c>
      <c r="J336" s="81" t="s">
        <v>248</v>
      </c>
      <c r="K336" s="81" t="s">
        <v>117</v>
      </c>
      <c r="L336" s="81" t="s">
        <v>117</v>
      </c>
      <c r="M336" s="81" t="s">
        <v>725</v>
      </c>
      <c r="N336" s="81" t="s">
        <v>253</v>
      </c>
      <c r="O336" s="81" t="s">
        <v>338</v>
      </c>
      <c r="P336" s="81" t="s">
        <v>138</v>
      </c>
      <c r="Q336" s="81"/>
      <c r="R336" s="81" t="s">
        <v>726</v>
      </c>
      <c r="S336" s="81">
        <v>0</v>
      </c>
      <c r="T336" s="81">
        <v>2</v>
      </c>
      <c r="U336" s="81" t="s">
        <v>341</v>
      </c>
    </row>
    <row r="337" spans="1:21">
      <c r="A337" s="81" t="s">
        <v>728</v>
      </c>
      <c r="B337" s="81" t="s">
        <v>77</v>
      </c>
      <c r="C337" s="81" t="s">
        <v>399</v>
      </c>
      <c r="D337" s="81" t="s">
        <v>399</v>
      </c>
      <c r="E337" s="81" t="s">
        <v>724</v>
      </c>
      <c r="F337" s="81" t="s">
        <v>138</v>
      </c>
      <c r="G337" s="81" t="s">
        <v>336</v>
      </c>
      <c r="H337" s="81" t="s">
        <v>138</v>
      </c>
      <c r="I337" s="81" t="s">
        <v>138</v>
      </c>
      <c r="J337" s="81" t="s">
        <v>248</v>
      </c>
      <c r="K337" s="81" t="s">
        <v>117</v>
      </c>
      <c r="L337" s="81" t="s">
        <v>117</v>
      </c>
      <c r="M337" s="81" t="s">
        <v>725</v>
      </c>
      <c r="N337" s="81" t="s">
        <v>253</v>
      </c>
      <c r="O337" s="81" t="s">
        <v>338</v>
      </c>
      <c r="P337" s="81" t="s">
        <v>138</v>
      </c>
      <c r="Q337" s="81"/>
      <c r="R337" s="81" t="s">
        <v>726</v>
      </c>
      <c r="S337" s="81">
        <v>0</v>
      </c>
      <c r="T337" s="81">
        <v>2</v>
      </c>
      <c r="U337" s="81" t="s">
        <v>341</v>
      </c>
    </row>
    <row r="338" spans="1:21">
      <c r="A338" s="81" t="s">
        <v>729</v>
      </c>
      <c r="B338" s="81" t="s">
        <v>77</v>
      </c>
      <c r="C338" s="81" t="s">
        <v>399</v>
      </c>
      <c r="D338" s="81" t="s">
        <v>399</v>
      </c>
      <c r="E338" s="81" t="s">
        <v>730</v>
      </c>
      <c r="F338" s="81" t="s">
        <v>138</v>
      </c>
      <c r="G338" s="81" t="s">
        <v>336</v>
      </c>
      <c r="H338" s="81" t="s">
        <v>138</v>
      </c>
      <c r="I338" s="81" t="s">
        <v>138</v>
      </c>
      <c r="J338" s="81" t="s">
        <v>256</v>
      </c>
      <c r="K338" s="81" t="s">
        <v>117</v>
      </c>
      <c r="L338" s="81" t="s">
        <v>117</v>
      </c>
      <c r="M338" s="81" t="s">
        <v>394</v>
      </c>
      <c r="N338" s="81" t="s">
        <v>253</v>
      </c>
      <c r="O338" s="81" t="s">
        <v>338</v>
      </c>
      <c r="P338" s="81" t="s">
        <v>138</v>
      </c>
      <c r="Q338" s="81"/>
      <c r="R338" s="81" t="s">
        <v>731</v>
      </c>
      <c r="S338" s="81">
        <v>0.5</v>
      </c>
      <c r="T338" s="81">
        <v>2.5</v>
      </c>
      <c r="U338" s="81" t="s">
        <v>341</v>
      </c>
    </row>
    <row r="339" spans="1:21">
      <c r="A339" s="81" t="s">
        <v>732</v>
      </c>
      <c r="B339" s="81" t="s">
        <v>77</v>
      </c>
      <c r="C339" s="81" t="s">
        <v>399</v>
      </c>
      <c r="D339" s="81" t="s">
        <v>399</v>
      </c>
      <c r="E339" s="81" t="s">
        <v>730</v>
      </c>
      <c r="F339" s="81" t="s">
        <v>138</v>
      </c>
      <c r="G339" s="81" t="s">
        <v>336</v>
      </c>
      <c r="H339" s="81" t="s">
        <v>138</v>
      </c>
      <c r="I339" s="81" t="s">
        <v>138</v>
      </c>
      <c r="J339" s="81" t="s">
        <v>248</v>
      </c>
      <c r="K339" s="81" t="s">
        <v>117</v>
      </c>
      <c r="L339" s="81" t="s">
        <v>117</v>
      </c>
      <c r="M339" s="81" t="s">
        <v>337</v>
      </c>
      <c r="N339" s="81" t="s">
        <v>253</v>
      </c>
      <c r="O339" s="81" t="s">
        <v>338</v>
      </c>
      <c r="P339" s="81" t="s">
        <v>138</v>
      </c>
      <c r="Q339" s="81"/>
      <c r="R339" s="81" t="s">
        <v>731</v>
      </c>
      <c r="S339" s="81">
        <v>0.5</v>
      </c>
      <c r="T339" s="81">
        <v>2.5</v>
      </c>
      <c r="U339" s="81" t="s">
        <v>341</v>
      </c>
    </row>
    <row r="340" spans="1:21">
      <c r="A340" s="81" t="s">
        <v>733</v>
      </c>
      <c r="B340" s="81" t="s">
        <v>77</v>
      </c>
      <c r="C340" s="81" t="s">
        <v>399</v>
      </c>
      <c r="D340" s="81" t="s">
        <v>399</v>
      </c>
      <c r="E340" s="81" t="s">
        <v>730</v>
      </c>
      <c r="F340" s="81" t="s">
        <v>138</v>
      </c>
      <c r="G340" s="81" t="s">
        <v>336</v>
      </c>
      <c r="H340" s="81" t="s">
        <v>138</v>
      </c>
      <c r="I340" s="81" t="s">
        <v>138</v>
      </c>
      <c r="J340" s="81" t="s">
        <v>248</v>
      </c>
      <c r="K340" s="81" t="s">
        <v>117</v>
      </c>
      <c r="L340" s="81" t="s">
        <v>117</v>
      </c>
      <c r="M340" s="81" t="s">
        <v>337</v>
      </c>
      <c r="N340" s="81" t="s">
        <v>253</v>
      </c>
      <c r="O340" s="81" t="s">
        <v>338</v>
      </c>
      <c r="P340" s="81" t="s">
        <v>138</v>
      </c>
      <c r="Q340" s="81"/>
      <c r="R340" s="81" t="s">
        <v>731</v>
      </c>
      <c r="S340" s="81">
        <v>0</v>
      </c>
      <c r="T340" s="81">
        <v>2</v>
      </c>
      <c r="U340" s="81" t="s">
        <v>341</v>
      </c>
    </row>
    <row r="341" spans="1:21">
      <c r="A341" s="81" t="s">
        <v>734</v>
      </c>
      <c r="B341" s="81" t="s">
        <v>77</v>
      </c>
      <c r="C341" s="81" t="s">
        <v>399</v>
      </c>
      <c r="D341" s="81" t="s">
        <v>399</v>
      </c>
      <c r="E341" s="81" t="s">
        <v>730</v>
      </c>
      <c r="F341" s="81" t="s">
        <v>138</v>
      </c>
      <c r="G341" s="81" t="s">
        <v>336</v>
      </c>
      <c r="H341" s="81" t="s">
        <v>138</v>
      </c>
      <c r="I341" s="81" t="s">
        <v>138</v>
      </c>
      <c r="J341" s="81" t="s">
        <v>388</v>
      </c>
      <c r="K341" s="81" t="s">
        <v>117</v>
      </c>
      <c r="L341" s="81" t="s">
        <v>117</v>
      </c>
      <c r="M341" s="81" t="s">
        <v>394</v>
      </c>
      <c r="N341" s="81" t="s">
        <v>253</v>
      </c>
      <c r="O341" s="81" t="s">
        <v>338</v>
      </c>
      <c r="P341" s="81" t="s">
        <v>522</v>
      </c>
      <c r="Q341" s="81" t="s">
        <v>260</v>
      </c>
      <c r="R341" s="81" t="s">
        <v>731</v>
      </c>
      <c r="S341" s="81">
        <v>0</v>
      </c>
      <c r="T341" s="81">
        <v>2</v>
      </c>
      <c r="U341" s="81" t="s">
        <v>341</v>
      </c>
    </row>
    <row r="342" spans="1:21">
      <c r="A342" s="81" t="s">
        <v>735</v>
      </c>
      <c r="B342" s="81" t="s">
        <v>77</v>
      </c>
      <c r="C342" s="81" t="s">
        <v>399</v>
      </c>
      <c r="D342" s="81" t="s">
        <v>203</v>
      </c>
      <c r="E342" s="81" t="s">
        <v>629</v>
      </c>
      <c r="F342" s="81" t="s">
        <v>630</v>
      </c>
      <c r="G342" s="81" t="s">
        <v>336</v>
      </c>
      <c r="H342" s="81" t="s">
        <v>138</v>
      </c>
      <c r="I342" s="81" t="s">
        <v>138</v>
      </c>
      <c r="J342" s="81" t="s">
        <v>248</v>
      </c>
      <c r="K342" s="81" t="s">
        <v>631</v>
      </c>
      <c r="L342" s="81" t="s">
        <v>632</v>
      </c>
      <c r="M342" s="81" t="s">
        <v>367</v>
      </c>
      <c r="N342" s="81" t="s">
        <v>253</v>
      </c>
      <c r="O342" s="81" t="s">
        <v>633</v>
      </c>
      <c r="P342" s="81" t="s">
        <v>456</v>
      </c>
      <c r="Q342" s="81" t="s">
        <v>260</v>
      </c>
      <c r="R342" s="81" t="s">
        <v>736</v>
      </c>
      <c r="S342" s="81">
        <v>7</v>
      </c>
      <c r="T342" s="81">
        <v>40</v>
      </c>
      <c r="U342" s="81" t="s">
        <v>341</v>
      </c>
    </row>
    <row r="343" spans="1:21">
      <c r="A343" s="81" t="s">
        <v>737</v>
      </c>
      <c r="B343" s="81" t="s">
        <v>77</v>
      </c>
      <c r="C343" s="81" t="s">
        <v>399</v>
      </c>
      <c r="D343" s="81" t="s">
        <v>203</v>
      </c>
      <c r="E343" s="81" t="s">
        <v>629</v>
      </c>
      <c r="F343" s="81" t="s">
        <v>630</v>
      </c>
      <c r="G343" s="81" t="s">
        <v>336</v>
      </c>
      <c r="H343" s="81" t="s">
        <v>138</v>
      </c>
      <c r="I343" s="81" t="s">
        <v>138</v>
      </c>
      <c r="J343" s="81" t="s">
        <v>256</v>
      </c>
      <c r="K343" s="81" t="s">
        <v>631</v>
      </c>
      <c r="L343" s="81" t="s">
        <v>632</v>
      </c>
      <c r="M343" s="81" t="s">
        <v>367</v>
      </c>
      <c r="N343" s="81" t="s">
        <v>253</v>
      </c>
      <c r="O343" s="81" t="s">
        <v>633</v>
      </c>
      <c r="P343" s="81" t="s">
        <v>456</v>
      </c>
      <c r="Q343" s="81" t="s">
        <v>260</v>
      </c>
      <c r="R343" s="81" t="s">
        <v>736</v>
      </c>
      <c r="S343" s="81">
        <v>1</v>
      </c>
      <c r="T343" s="81">
        <v>7</v>
      </c>
      <c r="U343" s="81" t="s">
        <v>341</v>
      </c>
    </row>
    <row r="344" spans="1:21">
      <c r="A344" s="81" t="s">
        <v>738</v>
      </c>
      <c r="B344" s="81" t="s">
        <v>77</v>
      </c>
      <c r="C344" s="81" t="s">
        <v>399</v>
      </c>
      <c r="D344" s="81" t="s">
        <v>203</v>
      </c>
      <c r="E344" s="81" t="s">
        <v>629</v>
      </c>
      <c r="F344" s="81" t="s">
        <v>630</v>
      </c>
      <c r="G344" s="81" t="s">
        <v>336</v>
      </c>
      <c r="H344" s="81" t="s">
        <v>138</v>
      </c>
      <c r="I344" s="81" t="s">
        <v>138</v>
      </c>
      <c r="J344" s="81" t="s">
        <v>388</v>
      </c>
      <c r="K344" s="81" t="s">
        <v>631</v>
      </c>
      <c r="L344" s="81" t="s">
        <v>632</v>
      </c>
      <c r="M344" s="81" t="s">
        <v>367</v>
      </c>
      <c r="N344" s="81" t="s">
        <v>253</v>
      </c>
      <c r="O344" s="81" t="s">
        <v>633</v>
      </c>
      <c r="P344" s="81" t="s">
        <v>456</v>
      </c>
      <c r="Q344" s="81" t="s">
        <v>260</v>
      </c>
      <c r="R344" s="81" t="s">
        <v>736</v>
      </c>
      <c r="S344" s="81">
        <v>1</v>
      </c>
      <c r="T344" s="81">
        <v>0</v>
      </c>
      <c r="U344" s="81" t="s">
        <v>341</v>
      </c>
    </row>
    <row r="345" spans="1:21">
      <c r="A345" s="81" t="s">
        <v>739</v>
      </c>
      <c r="B345" s="81" t="s">
        <v>77</v>
      </c>
      <c r="C345" s="81" t="s">
        <v>399</v>
      </c>
      <c r="D345" s="81" t="s">
        <v>203</v>
      </c>
      <c r="E345" s="81" t="s">
        <v>641</v>
      </c>
      <c r="F345" s="81" t="s">
        <v>642</v>
      </c>
      <c r="G345" s="81" t="s">
        <v>336</v>
      </c>
      <c r="H345" s="81" t="s">
        <v>138</v>
      </c>
      <c r="I345" s="81" t="s">
        <v>138</v>
      </c>
      <c r="J345" s="81" t="s">
        <v>694</v>
      </c>
      <c r="K345" s="81" t="s">
        <v>631</v>
      </c>
      <c r="L345" s="81" t="s">
        <v>632</v>
      </c>
      <c r="M345" s="81" t="s">
        <v>506</v>
      </c>
      <c r="N345" s="81" t="s">
        <v>253</v>
      </c>
      <c r="O345" s="81" t="s">
        <v>633</v>
      </c>
      <c r="P345" s="81" t="s">
        <v>456</v>
      </c>
      <c r="Q345" s="81" t="s">
        <v>260</v>
      </c>
      <c r="R345" s="81" t="s">
        <v>736</v>
      </c>
      <c r="S345" s="81"/>
      <c r="T345" s="81"/>
      <c r="U345" s="81" t="s">
        <v>341</v>
      </c>
    </row>
    <row r="346" spans="1:21">
      <c r="A346" s="81" t="s">
        <v>740</v>
      </c>
      <c r="B346" s="81" t="s">
        <v>77</v>
      </c>
      <c r="C346" s="81" t="s">
        <v>399</v>
      </c>
      <c r="D346" s="81" t="s">
        <v>203</v>
      </c>
      <c r="E346" s="81" t="s">
        <v>392</v>
      </c>
      <c r="F346" s="81" t="s">
        <v>393</v>
      </c>
      <c r="G346" s="81" t="s">
        <v>336</v>
      </c>
      <c r="H346" s="81" t="s">
        <v>138</v>
      </c>
      <c r="I346" s="81" t="s">
        <v>138</v>
      </c>
      <c r="J346" s="81" t="s">
        <v>248</v>
      </c>
      <c r="K346" s="81" t="s">
        <v>631</v>
      </c>
      <c r="L346" s="81" t="s">
        <v>632</v>
      </c>
      <c r="M346" s="81" t="s">
        <v>367</v>
      </c>
      <c r="N346" s="81" t="s">
        <v>253</v>
      </c>
      <c r="O346" s="81" t="s">
        <v>633</v>
      </c>
      <c r="P346" s="81" t="s">
        <v>138</v>
      </c>
      <c r="Q346" s="81"/>
      <c r="R346" s="81" t="s">
        <v>736</v>
      </c>
      <c r="S346" s="81">
        <v>0</v>
      </c>
      <c r="T346" s="81">
        <v>2</v>
      </c>
      <c r="U346" s="81" t="s">
        <v>341</v>
      </c>
    </row>
    <row r="347" spans="1:21">
      <c r="A347" s="81" t="s">
        <v>741</v>
      </c>
      <c r="B347" s="81" t="s">
        <v>77</v>
      </c>
      <c r="C347" s="81" t="s">
        <v>399</v>
      </c>
      <c r="D347" s="81" t="s">
        <v>203</v>
      </c>
      <c r="E347" s="81" t="s">
        <v>629</v>
      </c>
      <c r="F347" s="81" t="s">
        <v>630</v>
      </c>
      <c r="G347" s="81" t="s">
        <v>336</v>
      </c>
      <c r="H347" s="81" t="s">
        <v>138</v>
      </c>
      <c r="I347" s="81" t="s">
        <v>138</v>
      </c>
      <c r="J347" s="81" t="s">
        <v>497</v>
      </c>
      <c r="K347" s="81" t="s">
        <v>631</v>
      </c>
      <c r="L347" s="81" t="s">
        <v>632</v>
      </c>
      <c r="M347" s="81" t="s">
        <v>367</v>
      </c>
      <c r="N347" s="81" t="s">
        <v>253</v>
      </c>
      <c r="O347" s="81" t="s">
        <v>633</v>
      </c>
      <c r="P347" s="81" t="s">
        <v>138</v>
      </c>
      <c r="Q347" s="81"/>
      <c r="R347" s="81" t="s">
        <v>736</v>
      </c>
      <c r="S347" s="81">
        <v>0</v>
      </c>
      <c r="T347" s="81">
        <v>2</v>
      </c>
      <c r="U347" s="81" t="s">
        <v>341</v>
      </c>
    </row>
    <row r="348" spans="1:21">
      <c r="A348" s="81" t="s">
        <v>742</v>
      </c>
      <c r="B348" s="81" t="s">
        <v>77</v>
      </c>
      <c r="C348" s="81" t="s">
        <v>399</v>
      </c>
      <c r="D348" s="81" t="s">
        <v>203</v>
      </c>
      <c r="E348" s="81" t="s">
        <v>449</v>
      </c>
      <c r="F348" s="81" t="s">
        <v>450</v>
      </c>
      <c r="G348" s="81" t="s">
        <v>285</v>
      </c>
      <c r="H348" s="81" t="s">
        <v>138</v>
      </c>
      <c r="I348" s="81" t="s">
        <v>138</v>
      </c>
      <c r="J348" s="81"/>
      <c r="K348" s="81"/>
      <c r="L348" s="81" t="s">
        <v>138</v>
      </c>
      <c r="M348" s="81"/>
      <c r="N348" s="81"/>
      <c r="O348" s="81"/>
      <c r="P348" s="81" t="s">
        <v>368</v>
      </c>
      <c r="Q348" s="81" t="s">
        <v>340</v>
      </c>
      <c r="R348" s="81" t="s">
        <v>634</v>
      </c>
      <c r="S348" s="81"/>
      <c r="T348" s="81"/>
      <c r="U348" s="81" t="s">
        <v>243</v>
      </c>
    </row>
    <row r="349" spans="1:21">
      <c r="A349" s="81" t="s">
        <v>743</v>
      </c>
      <c r="B349" s="81" t="s">
        <v>205</v>
      </c>
      <c r="C349" s="81" t="s">
        <v>220</v>
      </c>
      <c r="D349" s="81" t="s">
        <v>85</v>
      </c>
      <c r="E349" s="81" t="s">
        <v>352</v>
      </c>
      <c r="F349" s="81" t="s">
        <v>138</v>
      </c>
      <c r="G349" s="81" t="s">
        <v>138</v>
      </c>
      <c r="H349" s="81" t="s">
        <v>744</v>
      </c>
      <c r="I349" s="81" t="s">
        <v>745</v>
      </c>
      <c r="J349" s="81" t="s">
        <v>138</v>
      </c>
      <c r="K349" s="81" t="s">
        <v>138</v>
      </c>
      <c r="L349" s="81" t="s">
        <v>746</v>
      </c>
      <c r="M349" s="81" t="s">
        <v>138</v>
      </c>
      <c r="N349" s="81" t="s">
        <v>138</v>
      </c>
      <c r="O349" s="81" t="s">
        <v>138</v>
      </c>
      <c r="P349" s="81" t="s">
        <v>138</v>
      </c>
      <c r="Q349" s="81" t="s">
        <v>138</v>
      </c>
      <c r="R349" s="81" t="s">
        <v>286</v>
      </c>
      <c r="S349" s="81" t="s">
        <v>138</v>
      </c>
      <c r="T349" s="81" t="s">
        <v>138</v>
      </c>
      <c r="U349" s="81" t="s">
        <v>243</v>
      </c>
    </row>
    <row r="350" spans="1:21">
      <c r="A350" s="81" t="s">
        <v>747</v>
      </c>
      <c r="B350" s="81" t="s">
        <v>205</v>
      </c>
      <c r="C350" s="81" t="s">
        <v>220</v>
      </c>
      <c r="D350" s="81" t="s">
        <v>85</v>
      </c>
      <c r="E350" s="81" t="s">
        <v>352</v>
      </c>
      <c r="F350" s="81" t="s">
        <v>138</v>
      </c>
      <c r="G350" s="81" t="s">
        <v>138</v>
      </c>
      <c r="H350" s="81" t="s">
        <v>748</v>
      </c>
      <c r="I350" s="81" t="s">
        <v>205</v>
      </c>
      <c r="J350" s="81" t="s">
        <v>138</v>
      </c>
      <c r="K350" s="81" t="s">
        <v>138</v>
      </c>
      <c r="L350" s="81" t="s">
        <v>138</v>
      </c>
      <c r="M350" s="81" t="s">
        <v>138</v>
      </c>
      <c r="N350" s="81" t="s">
        <v>138</v>
      </c>
      <c r="O350" s="81" t="s">
        <v>138</v>
      </c>
      <c r="P350" s="81" t="s">
        <v>138</v>
      </c>
      <c r="Q350" s="81" t="s">
        <v>138</v>
      </c>
      <c r="R350" s="81" t="s">
        <v>138</v>
      </c>
      <c r="S350" s="81" t="s">
        <v>138</v>
      </c>
      <c r="T350" s="81" t="s">
        <v>138</v>
      </c>
      <c r="U350" s="81" t="s">
        <v>545</v>
      </c>
    </row>
    <row r="351" spans="1:21">
      <c r="A351" s="81" t="s">
        <v>749</v>
      </c>
      <c r="B351" s="81" t="s">
        <v>205</v>
      </c>
      <c r="C351" s="81" t="s">
        <v>220</v>
      </c>
      <c r="D351" s="81" t="s">
        <v>85</v>
      </c>
      <c r="E351" s="81" t="s">
        <v>352</v>
      </c>
      <c r="F351" s="81" t="s">
        <v>138</v>
      </c>
      <c r="G351" s="81" t="s">
        <v>138</v>
      </c>
      <c r="H351" s="81" t="s">
        <v>748</v>
      </c>
      <c r="I351" s="81" t="s">
        <v>205</v>
      </c>
      <c r="J351" s="81" t="s">
        <v>138</v>
      </c>
      <c r="K351" s="81" t="s">
        <v>138</v>
      </c>
      <c r="L351" s="81" t="s">
        <v>138</v>
      </c>
      <c r="M351" s="81" t="s">
        <v>138</v>
      </c>
      <c r="N351" s="81" t="s">
        <v>138</v>
      </c>
      <c r="O351" s="81" t="s">
        <v>138</v>
      </c>
      <c r="P351" s="81" t="s">
        <v>138</v>
      </c>
      <c r="Q351" s="81" t="s">
        <v>138</v>
      </c>
      <c r="R351" s="81" t="s">
        <v>138</v>
      </c>
      <c r="S351" s="81" t="s">
        <v>138</v>
      </c>
      <c r="T351" s="81" t="s">
        <v>138</v>
      </c>
      <c r="U351" s="81" t="s">
        <v>545</v>
      </c>
    </row>
    <row r="352" spans="1:21">
      <c r="A352" s="81" t="s">
        <v>750</v>
      </c>
      <c r="B352" s="81" t="s">
        <v>205</v>
      </c>
      <c r="C352" s="81" t="s">
        <v>220</v>
      </c>
      <c r="D352" s="81" t="s">
        <v>85</v>
      </c>
      <c r="E352" s="81" t="s">
        <v>352</v>
      </c>
      <c r="F352" s="81" t="s">
        <v>138</v>
      </c>
      <c r="G352" s="81" t="s">
        <v>138</v>
      </c>
      <c r="H352" s="81" t="s">
        <v>748</v>
      </c>
      <c r="I352" s="81" t="s">
        <v>205</v>
      </c>
      <c r="J352" s="81" t="s">
        <v>138</v>
      </c>
      <c r="K352" s="81" t="s">
        <v>138</v>
      </c>
      <c r="L352" s="81" t="s">
        <v>138</v>
      </c>
      <c r="M352" s="81" t="s">
        <v>138</v>
      </c>
      <c r="N352" s="81" t="s">
        <v>138</v>
      </c>
      <c r="O352" s="81" t="s">
        <v>138</v>
      </c>
      <c r="P352" s="81" t="s">
        <v>138</v>
      </c>
      <c r="Q352" s="81" t="s">
        <v>138</v>
      </c>
      <c r="R352" s="81" t="s">
        <v>138</v>
      </c>
      <c r="S352" s="81" t="s">
        <v>138</v>
      </c>
      <c r="T352" s="81" t="s">
        <v>138</v>
      </c>
      <c r="U352" s="81" t="s">
        <v>545</v>
      </c>
    </row>
    <row r="353" spans="1:21">
      <c r="A353" s="81" t="s">
        <v>751</v>
      </c>
      <c r="B353" s="81" t="s">
        <v>205</v>
      </c>
      <c r="C353" s="81" t="s">
        <v>220</v>
      </c>
      <c r="D353" s="81" t="s">
        <v>85</v>
      </c>
      <c r="E353" s="81" t="s">
        <v>352</v>
      </c>
      <c r="F353" s="81" t="s">
        <v>138</v>
      </c>
      <c r="G353" s="81" t="s">
        <v>138</v>
      </c>
      <c r="H353" s="81" t="s">
        <v>752</v>
      </c>
      <c r="I353" s="81" t="s">
        <v>745</v>
      </c>
      <c r="J353" s="81" t="s">
        <v>138</v>
      </c>
      <c r="K353" s="81" t="s">
        <v>138</v>
      </c>
      <c r="L353" s="81" t="s">
        <v>746</v>
      </c>
      <c r="M353" s="81" t="s">
        <v>138</v>
      </c>
      <c r="N353" s="81" t="s">
        <v>138</v>
      </c>
      <c r="O353" s="81" t="s">
        <v>138</v>
      </c>
      <c r="P353" s="81" t="s">
        <v>138</v>
      </c>
      <c r="Q353" s="81" t="s">
        <v>138</v>
      </c>
      <c r="R353" s="81" t="s">
        <v>375</v>
      </c>
      <c r="S353" s="81" t="s">
        <v>138</v>
      </c>
      <c r="T353" s="81" t="s">
        <v>138</v>
      </c>
      <c r="U353" s="81" t="s">
        <v>243</v>
      </c>
    </row>
    <row r="354" spans="1:21">
      <c r="A354" s="81" t="s">
        <v>753</v>
      </c>
      <c r="B354" s="81" t="s">
        <v>205</v>
      </c>
      <c r="C354" s="81" t="s">
        <v>220</v>
      </c>
      <c r="D354" s="81" t="s">
        <v>85</v>
      </c>
      <c r="E354" s="81" t="s">
        <v>754</v>
      </c>
      <c r="F354" s="81" t="s">
        <v>138</v>
      </c>
      <c r="G354" s="81" t="s">
        <v>138</v>
      </c>
      <c r="H354" s="81" t="s">
        <v>755</v>
      </c>
      <c r="I354" s="81" t="s">
        <v>756</v>
      </c>
      <c r="J354" s="81" t="s">
        <v>138</v>
      </c>
      <c r="K354" s="81" t="s">
        <v>138</v>
      </c>
      <c r="L354" s="81" t="s">
        <v>366</v>
      </c>
      <c r="M354" s="81" t="s">
        <v>138</v>
      </c>
      <c r="N354" s="81" t="s">
        <v>138</v>
      </c>
      <c r="O354" s="81" t="s">
        <v>138</v>
      </c>
      <c r="P354" s="81" t="s">
        <v>138</v>
      </c>
      <c r="Q354" s="81" t="s">
        <v>138</v>
      </c>
      <c r="R354" s="81" t="s">
        <v>395</v>
      </c>
      <c r="S354" s="81" t="s">
        <v>138</v>
      </c>
      <c r="T354" s="81" t="s">
        <v>138</v>
      </c>
      <c r="U354" s="81" t="s">
        <v>243</v>
      </c>
    </row>
    <row r="355" spans="1:21">
      <c r="A355" s="81" t="s">
        <v>757</v>
      </c>
      <c r="B355" s="81" t="s">
        <v>205</v>
      </c>
      <c r="C355" s="81" t="s">
        <v>220</v>
      </c>
      <c r="D355" s="81" t="s">
        <v>201</v>
      </c>
      <c r="E355" s="81" t="s">
        <v>758</v>
      </c>
      <c r="F355" s="81" t="s">
        <v>138</v>
      </c>
      <c r="G355" s="81" t="s">
        <v>138</v>
      </c>
      <c r="H355" s="81" t="s">
        <v>748</v>
      </c>
      <c r="I355" s="81" t="s">
        <v>205</v>
      </c>
      <c r="J355" s="81" t="s">
        <v>138</v>
      </c>
      <c r="K355" s="81" t="s">
        <v>138</v>
      </c>
      <c r="L355" s="81" t="s">
        <v>138</v>
      </c>
      <c r="M355" s="81" t="s">
        <v>138</v>
      </c>
      <c r="N355" s="81" t="s">
        <v>138</v>
      </c>
      <c r="O355" s="81" t="s">
        <v>138</v>
      </c>
      <c r="P355" s="81" t="s">
        <v>138</v>
      </c>
      <c r="Q355" s="81" t="s">
        <v>138</v>
      </c>
      <c r="R355" s="81" t="s">
        <v>138</v>
      </c>
      <c r="S355" s="81" t="s">
        <v>138</v>
      </c>
      <c r="T355" s="81" t="s">
        <v>138</v>
      </c>
      <c r="U355" s="81" t="s">
        <v>545</v>
      </c>
    </row>
    <row r="356" spans="1:21">
      <c r="A356" s="81" t="s">
        <v>759</v>
      </c>
      <c r="B356" s="81" t="s">
        <v>205</v>
      </c>
      <c r="C356" s="81" t="s">
        <v>220</v>
      </c>
      <c r="D356" s="81" t="s">
        <v>201</v>
      </c>
      <c r="E356" s="81" t="s">
        <v>758</v>
      </c>
      <c r="F356" s="81" t="s">
        <v>138</v>
      </c>
      <c r="G356" s="81" t="s">
        <v>138</v>
      </c>
      <c r="H356" s="81" t="s">
        <v>760</v>
      </c>
      <c r="I356" s="81" t="s">
        <v>756</v>
      </c>
      <c r="J356" s="81" t="s">
        <v>138</v>
      </c>
      <c r="K356" s="81" t="s">
        <v>138</v>
      </c>
      <c r="L356" s="81" t="s">
        <v>366</v>
      </c>
      <c r="M356" s="81" t="s">
        <v>138</v>
      </c>
      <c r="N356" s="81" t="s">
        <v>138</v>
      </c>
      <c r="O356" s="81" t="s">
        <v>138</v>
      </c>
      <c r="P356" s="81" t="s">
        <v>138</v>
      </c>
      <c r="Q356" s="81" t="s">
        <v>138</v>
      </c>
      <c r="R356" s="81" t="s">
        <v>576</v>
      </c>
      <c r="S356" s="81" t="s">
        <v>138</v>
      </c>
      <c r="T356" s="81" t="s">
        <v>138</v>
      </c>
      <c r="U356" s="81" t="s">
        <v>243</v>
      </c>
    </row>
    <row r="357" spans="1:21">
      <c r="A357" s="81" t="s">
        <v>761</v>
      </c>
      <c r="B357" s="81" t="s">
        <v>205</v>
      </c>
      <c r="C357" s="81" t="s">
        <v>220</v>
      </c>
      <c r="D357" s="81" t="s">
        <v>201</v>
      </c>
      <c r="E357" s="81" t="s">
        <v>762</v>
      </c>
      <c r="F357" s="81" t="s">
        <v>138</v>
      </c>
      <c r="G357" s="81" t="s">
        <v>138</v>
      </c>
      <c r="H357" s="81" t="s">
        <v>748</v>
      </c>
      <c r="I357" s="81" t="s">
        <v>205</v>
      </c>
      <c r="J357" s="81" t="s">
        <v>138</v>
      </c>
      <c r="K357" s="81" t="s">
        <v>138</v>
      </c>
      <c r="L357" s="81" t="s">
        <v>138</v>
      </c>
      <c r="M357" s="81" t="s">
        <v>138</v>
      </c>
      <c r="N357" s="81" t="s">
        <v>138</v>
      </c>
      <c r="O357" s="81" t="s">
        <v>138</v>
      </c>
      <c r="P357" s="81" t="s">
        <v>138</v>
      </c>
      <c r="Q357" s="81" t="s">
        <v>138</v>
      </c>
      <c r="R357" s="81" t="s">
        <v>138</v>
      </c>
      <c r="S357" s="81" t="s">
        <v>138</v>
      </c>
      <c r="T357" s="81" t="s">
        <v>138</v>
      </c>
      <c r="U357" s="81" t="s">
        <v>545</v>
      </c>
    </row>
    <row r="358" spans="1:21">
      <c r="A358" s="81" t="s">
        <v>763</v>
      </c>
      <c r="B358" s="81" t="s">
        <v>205</v>
      </c>
      <c r="C358" s="81" t="s">
        <v>220</v>
      </c>
      <c r="D358" s="81" t="s">
        <v>201</v>
      </c>
      <c r="E358" s="81" t="s">
        <v>762</v>
      </c>
      <c r="F358" s="81" t="s">
        <v>138</v>
      </c>
      <c r="G358" s="81" t="s">
        <v>138</v>
      </c>
      <c r="H358" s="81" t="s">
        <v>764</v>
      </c>
      <c r="I358" s="81" t="s">
        <v>756</v>
      </c>
      <c r="J358" s="81" t="s">
        <v>138</v>
      </c>
      <c r="K358" s="81" t="s">
        <v>138</v>
      </c>
      <c r="L358" s="81" t="s">
        <v>366</v>
      </c>
      <c r="M358" s="81" t="s">
        <v>138</v>
      </c>
      <c r="N358" s="81" t="s">
        <v>138</v>
      </c>
      <c r="O358" s="81" t="s">
        <v>138</v>
      </c>
      <c r="P358" s="81" t="s">
        <v>138</v>
      </c>
      <c r="Q358" s="81" t="s">
        <v>138</v>
      </c>
      <c r="R358" s="81" t="s">
        <v>576</v>
      </c>
      <c r="S358" s="81" t="s">
        <v>138</v>
      </c>
      <c r="T358" s="81" t="s">
        <v>138</v>
      </c>
      <c r="U358" s="81" t="s">
        <v>243</v>
      </c>
    </row>
    <row r="359" spans="1:21">
      <c r="A359" s="81" t="s">
        <v>765</v>
      </c>
      <c r="B359" s="81" t="s">
        <v>205</v>
      </c>
      <c r="C359" s="81" t="s">
        <v>220</v>
      </c>
      <c r="D359" s="81" t="s">
        <v>201</v>
      </c>
      <c r="E359" s="81" t="s">
        <v>762</v>
      </c>
      <c r="F359" s="81" t="s">
        <v>138</v>
      </c>
      <c r="G359" s="81" t="s">
        <v>138</v>
      </c>
      <c r="H359" s="81" t="s">
        <v>766</v>
      </c>
      <c r="I359" s="81" t="s">
        <v>756</v>
      </c>
      <c r="J359" s="81" t="s">
        <v>138</v>
      </c>
      <c r="K359" s="81" t="s">
        <v>138</v>
      </c>
      <c r="L359" s="81" t="s">
        <v>138</v>
      </c>
      <c r="M359" s="81" t="s">
        <v>138</v>
      </c>
      <c r="N359" s="81" t="s">
        <v>138</v>
      </c>
      <c r="O359" s="81" t="s">
        <v>138</v>
      </c>
      <c r="P359" s="81" t="s">
        <v>138</v>
      </c>
      <c r="Q359" s="81" t="s">
        <v>138</v>
      </c>
      <c r="R359" s="81" t="s">
        <v>767</v>
      </c>
      <c r="S359" s="81" t="s">
        <v>138</v>
      </c>
      <c r="T359" s="81" t="s">
        <v>138</v>
      </c>
      <c r="U359" s="81" t="s">
        <v>243</v>
      </c>
    </row>
    <row r="360" spans="1:21">
      <c r="A360" s="81" t="s">
        <v>768</v>
      </c>
      <c r="B360" s="81" t="s">
        <v>205</v>
      </c>
      <c r="C360" s="81" t="s">
        <v>220</v>
      </c>
      <c r="D360" s="81" t="s">
        <v>201</v>
      </c>
      <c r="E360" s="81" t="s">
        <v>762</v>
      </c>
      <c r="F360" s="81" t="s">
        <v>138</v>
      </c>
      <c r="G360" s="81" t="s">
        <v>138</v>
      </c>
      <c r="H360" s="81" t="s">
        <v>769</v>
      </c>
      <c r="I360" s="81" t="s">
        <v>756</v>
      </c>
      <c r="J360" s="81" t="s">
        <v>138</v>
      </c>
      <c r="K360" s="81" t="s">
        <v>138</v>
      </c>
      <c r="L360" s="81" t="s">
        <v>138</v>
      </c>
      <c r="M360" s="81" t="s">
        <v>138</v>
      </c>
      <c r="N360" s="81" t="s">
        <v>138</v>
      </c>
      <c r="O360" s="81" t="s">
        <v>138</v>
      </c>
      <c r="P360" s="81" t="s">
        <v>138</v>
      </c>
      <c r="Q360" s="81" t="s">
        <v>138</v>
      </c>
      <c r="R360" s="81" t="s">
        <v>767</v>
      </c>
      <c r="S360" s="81" t="s">
        <v>138</v>
      </c>
      <c r="T360" s="81" t="s">
        <v>138</v>
      </c>
      <c r="U360" s="81" t="s">
        <v>243</v>
      </c>
    </row>
    <row r="361" spans="1:21">
      <c r="A361" s="81" t="s">
        <v>770</v>
      </c>
      <c r="B361" s="81" t="s">
        <v>205</v>
      </c>
      <c r="C361" s="81" t="s">
        <v>220</v>
      </c>
      <c r="D361" s="81" t="s">
        <v>201</v>
      </c>
      <c r="E361" s="81" t="s">
        <v>762</v>
      </c>
      <c r="F361" s="81" t="s">
        <v>138</v>
      </c>
      <c r="G361" s="81" t="s">
        <v>138</v>
      </c>
      <c r="H361" s="81" t="s">
        <v>771</v>
      </c>
      <c r="I361" s="81" t="s">
        <v>205</v>
      </c>
      <c r="J361" s="81" t="s">
        <v>138</v>
      </c>
      <c r="K361" s="81" t="s">
        <v>138</v>
      </c>
      <c r="L361" s="81" t="s">
        <v>138</v>
      </c>
      <c r="M361" s="81" t="s">
        <v>138</v>
      </c>
      <c r="N361" s="81" t="s">
        <v>138</v>
      </c>
      <c r="O361" s="81" t="s">
        <v>138</v>
      </c>
      <c r="P361" s="81" t="s">
        <v>138</v>
      </c>
      <c r="Q361" s="81" t="s">
        <v>138</v>
      </c>
      <c r="R361" s="81" t="s">
        <v>767</v>
      </c>
      <c r="S361" s="81" t="s">
        <v>138</v>
      </c>
      <c r="T361" s="81" t="s">
        <v>138</v>
      </c>
      <c r="U361" s="81" t="s">
        <v>545</v>
      </c>
    </row>
    <row r="362" spans="1:21">
      <c r="A362" s="81" t="s">
        <v>772</v>
      </c>
      <c r="B362" s="81" t="s">
        <v>205</v>
      </c>
      <c r="C362" s="81" t="s">
        <v>220</v>
      </c>
      <c r="D362" s="81" t="s">
        <v>201</v>
      </c>
      <c r="E362" s="81" t="s">
        <v>762</v>
      </c>
      <c r="F362" s="81" t="s">
        <v>138</v>
      </c>
      <c r="G362" s="81" t="s">
        <v>138</v>
      </c>
      <c r="H362" s="81" t="s">
        <v>773</v>
      </c>
      <c r="I362" s="81" t="s">
        <v>205</v>
      </c>
      <c r="J362" s="81" t="s">
        <v>138</v>
      </c>
      <c r="K362" s="81" t="s">
        <v>138</v>
      </c>
      <c r="L362" s="81" t="s">
        <v>138</v>
      </c>
      <c r="M362" s="81" t="s">
        <v>138</v>
      </c>
      <c r="N362" s="81" t="s">
        <v>138</v>
      </c>
      <c r="O362" s="81" t="s">
        <v>138</v>
      </c>
      <c r="P362" s="81" t="s">
        <v>138</v>
      </c>
      <c r="Q362" s="81" t="s">
        <v>138</v>
      </c>
      <c r="R362" s="81" t="s">
        <v>767</v>
      </c>
      <c r="S362" s="81" t="s">
        <v>138</v>
      </c>
      <c r="T362" s="81" t="s">
        <v>138</v>
      </c>
      <c r="U362" s="81" t="s">
        <v>545</v>
      </c>
    </row>
    <row r="363" spans="1:21">
      <c r="A363" s="81" t="s">
        <v>774</v>
      </c>
      <c r="B363" s="81" t="s">
        <v>205</v>
      </c>
      <c r="C363" s="81" t="s">
        <v>220</v>
      </c>
      <c r="D363" s="81" t="s">
        <v>201</v>
      </c>
      <c r="E363" s="81" t="s">
        <v>762</v>
      </c>
      <c r="F363" s="81" t="s">
        <v>138</v>
      </c>
      <c r="G363" s="81" t="s">
        <v>138</v>
      </c>
      <c r="H363" s="81" t="s">
        <v>775</v>
      </c>
      <c r="I363" s="81" t="s">
        <v>776</v>
      </c>
      <c r="J363" s="81" t="s">
        <v>138</v>
      </c>
      <c r="K363" s="81" t="s">
        <v>138</v>
      </c>
      <c r="L363" s="81" t="s">
        <v>138</v>
      </c>
      <c r="M363" s="81" t="s">
        <v>138</v>
      </c>
      <c r="N363" s="81" t="s">
        <v>138</v>
      </c>
      <c r="O363" s="81" t="s">
        <v>138</v>
      </c>
      <c r="P363" s="81" t="s">
        <v>138</v>
      </c>
      <c r="Q363" s="81" t="s">
        <v>138</v>
      </c>
      <c r="R363" s="81" t="s">
        <v>767</v>
      </c>
      <c r="S363" s="81" t="s">
        <v>138</v>
      </c>
      <c r="T363" s="81" t="s">
        <v>138</v>
      </c>
      <c r="U363" s="81" t="s">
        <v>545</v>
      </c>
    </row>
    <row r="364" spans="1:21">
      <c r="A364" s="81" t="s">
        <v>777</v>
      </c>
      <c r="B364" s="81" t="s">
        <v>205</v>
      </c>
      <c r="C364" s="81" t="s">
        <v>220</v>
      </c>
      <c r="D364" s="81" t="s">
        <v>201</v>
      </c>
      <c r="E364" s="81" t="s">
        <v>762</v>
      </c>
      <c r="F364" s="81" t="s">
        <v>138</v>
      </c>
      <c r="G364" s="81" t="s">
        <v>138</v>
      </c>
      <c r="H364" s="81" t="s">
        <v>778</v>
      </c>
      <c r="I364" s="81" t="s">
        <v>205</v>
      </c>
      <c r="J364" s="81" t="s">
        <v>138</v>
      </c>
      <c r="K364" s="81" t="s">
        <v>138</v>
      </c>
      <c r="L364" s="81" t="s">
        <v>138</v>
      </c>
      <c r="M364" s="81" t="s">
        <v>138</v>
      </c>
      <c r="N364" s="81" t="s">
        <v>138</v>
      </c>
      <c r="O364" s="81" t="s">
        <v>138</v>
      </c>
      <c r="P364" s="81" t="s">
        <v>138</v>
      </c>
      <c r="Q364" s="81" t="s">
        <v>138</v>
      </c>
      <c r="R364" s="81" t="s">
        <v>767</v>
      </c>
      <c r="S364" s="81" t="s">
        <v>138</v>
      </c>
      <c r="T364" s="81" t="s">
        <v>138</v>
      </c>
      <c r="U364" s="81" t="s">
        <v>545</v>
      </c>
    </row>
    <row r="365" spans="1:21">
      <c r="A365" s="81" t="s">
        <v>779</v>
      </c>
      <c r="B365" s="81" t="s">
        <v>205</v>
      </c>
      <c r="C365" s="81" t="s">
        <v>220</v>
      </c>
      <c r="D365" s="81" t="s">
        <v>205</v>
      </c>
      <c r="E365" s="81" t="s">
        <v>730</v>
      </c>
      <c r="F365" s="81" t="s">
        <v>138</v>
      </c>
      <c r="G365" s="81" t="s">
        <v>138</v>
      </c>
      <c r="H365" s="81" t="s">
        <v>780</v>
      </c>
      <c r="I365" s="81" t="s">
        <v>756</v>
      </c>
      <c r="J365" s="81" t="s">
        <v>138</v>
      </c>
      <c r="K365" s="81" t="s">
        <v>138</v>
      </c>
      <c r="L365" s="81" t="s">
        <v>138</v>
      </c>
      <c r="M365" s="81" t="s">
        <v>138</v>
      </c>
      <c r="N365" s="81" t="s">
        <v>138</v>
      </c>
      <c r="O365" s="81" t="s">
        <v>138</v>
      </c>
      <c r="P365" s="81" t="s">
        <v>138</v>
      </c>
      <c r="Q365" s="81" t="s">
        <v>138</v>
      </c>
      <c r="R365" s="81" t="s">
        <v>731</v>
      </c>
      <c r="S365" s="81" t="s">
        <v>138</v>
      </c>
      <c r="T365" s="81" t="s">
        <v>138</v>
      </c>
      <c r="U365" s="81" t="s">
        <v>545</v>
      </c>
    </row>
    <row r="366" spans="1:21">
      <c r="A366" s="81" t="s">
        <v>781</v>
      </c>
      <c r="B366" s="81" t="s">
        <v>205</v>
      </c>
      <c r="C366" s="81" t="s">
        <v>220</v>
      </c>
      <c r="D366" s="81" t="s">
        <v>205</v>
      </c>
      <c r="E366" s="81" t="s">
        <v>730</v>
      </c>
      <c r="F366" s="81" t="s">
        <v>138</v>
      </c>
      <c r="G366" s="81" t="s">
        <v>138</v>
      </c>
      <c r="H366" s="81" t="s">
        <v>782</v>
      </c>
      <c r="I366" s="81" t="s">
        <v>776</v>
      </c>
      <c r="J366" s="81" t="s">
        <v>138</v>
      </c>
      <c r="K366" s="81" t="s">
        <v>138</v>
      </c>
      <c r="L366" s="81" t="s">
        <v>117</v>
      </c>
      <c r="M366" s="81" t="s">
        <v>138</v>
      </c>
      <c r="N366" s="81" t="s">
        <v>138</v>
      </c>
      <c r="O366" s="81" t="s">
        <v>138</v>
      </c>
      <c r="P366" s="81" t="s">
        <v>138</v>
      </c>
      <c r="Q366" s="81" t="s">
        <v>138</v>
      </c>
      <c r="R366" s="81" t="s">
        <v>138</v>
      </c>
      <c r="S366" s="81" t="s">
        <v>138</v>
      </c>
      <c r="T366" s="81" t="s">
        <v>138</v>
      </c>
      <c r="U366" s="81" t="s">
        <v>545</v>
      </c>
    </row>
    <row r="367" spans="1:21">
      <c r="A367" s="81" t="s">
        <v>783</v>
      </c>
      <c r="B367" s="81" t="s">
        <v>205</v>
      </c>
      <c r="C367" s="81" t="s">
        <v>220</v>
      </c>
      <c r="D367" s="81" t="s">
        <v>201</v>
      </c>
      <c r="E367" s="81" t="s">
        <v>435</v>
      </c>
      <c r="F367" s="81" t="s">
        <v>138</v>
      </c>
      <c r="G367" s="81" t="s">
        <v>138</v>
      </c>
      <c r="H367" s="81" t="s">
        <v>748</v>
      </c>
      <c r="I367" s="81" t="s">
        <v>205</v>
      </c>
      <c r="J367" s="81" t="s">
        <v>138</v>
      </c>
      <c r="K367" s="81" t="s">
        <v>138</v>
      </c>
      <c r="L367" s="81" t="s">
        <v>138</v>
      </c>
      <c r="M367" s="81" t="s">
        <v>138</v>
      </c>
      <c r="N367" s="81" t="s">
        <v>138</v>
      </c>
      <c r="O367" s="81" t="s">
        <v>138</v>
      </c>
      <c r="P367" s="81" t="s">
        <v>138</v>
      </c>
      <c r="Q367" s="81" t="s">
        <v>138</v>
      </c>
      <c r="R367" s="81" t="s">
        <v>138</v>
      </c>
      <c r="S367" s="81" t="s">
        <v>138</v>
      </c>
      <c r="T367" s="81" t="s">
        <v>138</v>
      </c>
      <c r="U367" s="81" t="s">
        <v>545</v>
      </c>
    </row>
    <row r="368" spans="1:21">
      <c r="A368" s="81" t="s">
        <v>784</v>
      </c>
      <c r="B368" s="81" t="s">
        <v>205</v>
      </c>
      <c r="C368" s="81" t="s">
        <v>220</v>
      </c>
      <c r="D368" s="81" t="s">
        <v>201</v>
      </c>
      <c r="E368" s="81" t="s">
        <v>435</v>
      </c>
      <c r="F368" s="81" t="s">
        <v>138</v>
      </c>
      <c r="G368" s="81" t="s">
        <v>138</v>
      </c>
      <c r="H368" s="81" t="s">
        <v>748</v>
      </c>
      <c r="I368" s="81" t="s">
        <v>205</v>
      </c>
      <c r="J368" s="81" t="s">
        <v>138</v>
      </c>
      <c r="K368" s="81" t="s">
        <v>138</v>
      </c>
      <c r="L368" s="81" t="s">
        <v>138</v>
      </c>
      <c r="M368" s="81" t="s">
        <v>138</v>
      </c>
      <c r="N368" s="81" t="s">
        <v>138</v>
      </c>
      <c r="O368" s="81" t="s">
        <v>138</v>
      </c>
      <c r="P368" s="81" t="s">
        <v>138</v>
      </c>
      <c r="Q368" s="81" t="s">
        <v>138</v>
      </c>
      <c r="R368" s="81" t="s">
        <v>138</v>
      </c>
      <c r="S368" s="81" t="s">
        <v>138</v>
      </c>
      <c r="T368" s="81" t="s">
        <v>138</v>
      </c>
      <c r="U368" s="81" t="s">
        <v>545</v>
      </c>
    </row>
    <row r="369" spans="1:21">
      <c r="A369" s="81" t="s">
        <v>785</v>
      </c>
      <c r="B369" s="81" t="s">
        <v>205</v>
      </c>
      <c r="C369" s="81" t="s">
        <v>220</v>
      </c>
      <c r="D369" s="81" t="s">
        <v>201</v>
      </c>
      <c r="E369" s="81" t="s">
        <v>435</v>
      </c>
      <c r="F369" s="81" t="s">
        <v>138</v>
      </c>
      <c r="G369" s="81" t="s">
        <v>138</v>
      </c>
      <c r="H369" s="81" t="s">
        <v>786</v>
      </c>
      <c r="I369" s="81" t="s">
        <v>205</v>
      </c>
      <c r="J369" s="81" t="s">
        <v>138</v>
      </c>
      <c r="K369" s="81" t="s">
        <v>138</v>
      </c>
      <c r="L369" s="81" t="s">
        <v>366</v>
      </c>
      <c r="M369" s="81" t="s">
        <v>138</v>
      </c>
      <c r="N369" s="81" t="s">
        <v>138</v>
      </c>
      <c r="O369" s="81" t="s">
        <v>138</v>
      </c>
      <c r="P369" s="81" t="s">
        <v>138</v>
      </c>
      <c r="Q369" s="81" t="s">
        <v>138</v>
      </c>
      <c r="R369" s="81" t="s">
        <v>787</v>
      </c>
      <c r="S369" s="81" t="s">
        <v>138</v>
      </c>
      <c r="T369" s="81" t="s">
        <v>138</v>
      </c>
      <c r="U369" s="81" t="s">
        <v>545</v>
      </c>
    </row>
    <row r="370" spans="1:21">
      <c r="A370" s="81" t="s">
        <v>788</v>
      </c>
      <c r="B370" s="81" t="s">
        <v>205</v>
      </c>
      <c r="C370" s="81" t="s">
        <v>220</v>
      </c>
      <c r="D370" s="81" t="s">
        <v>201</v>
      </c>
      <c r="E370" s="81" t="s">
        <v>435</v>
      </c>
      <c r="F370" s="81" t="s">
        <v>138</v>
      </c>
      <c r="G370" s="81" t="s">
        <v>138</v>
      </c>
      <c r="H370" s="81" t="s">
        <v>789</v>
      </c>
      <c r="I370" s="81" t="s">
        <v>756</v>
      </c>
      <c r="J370" s="81" t="s">
        <v>138</v>
      </c>
      <c r="K370" s="81" t="s">
        <v>138</v>
      </c>
      <c r="L370" s="81" t="s">
        <v>366</v>
      </c>
      <c r="M370" s="81" t="s">
        <v>138</v>
      </c>
      <c r="N370" s="81" t="s">
        <v>138</v>
      </c>
      <c r="O370" s="81" t="s">
        <v>138</v>
      </c>
      <c r="P370" s="81" t="s">
        <v>138</v>
      </c>
      <c r="Q370" s="81" t="s">
        <v>138</v>
      </c>
      <c r="R370" s="81" t="s">
        <v>787</v>
      </c>
      <c r="S370" s="81" t="s">
        <v>138</v>
      </c>
      <c r="T370" s="81" t="s">
        <v>138</v>
      </c>
      <c r="U370" s="81" t="s">
        <v>243</v>
      </c>
    </row>
    <row r="371" spans="1:21">
      <c r="A371" s="81" t="s">
        <v>790</v>
      </c>
      <c r="B371" s="81" t="s">
        <v>205</v>
      </c>
      <c r="C371" s="81" t="s">
        <v>220</v>
      </c>
      <c r="D371" s="81" t="s">
        <v>201</v>
      </c>
      <c r="E371" s="81" t="s">
        <v>435</v>
      </c>
      <c r="F371" s="81" t="s">
        <v>138</v>
      </c>
      <c r="G371" s="81" t="s">
        <v>138</v>
      </c>
      <c r="H371" s="81" t="s">
        <v>748</v>
      </c>
      <c r="I371" s="81" t="s">
        <v>205</v>
      </c>
      <c r="J371" s="81" t="s">
        <v>138</v>
      </c>
      <c r="K371" s="81" t="s">
        <v>138</v>
      </c>
      <c r="L371" s="81" t="s">
        <v>138</v>
      </c>
      <c r="M371" s="81" t="s">
        <v>138</v>
      </c>
      <c r="N371" s="81" t="s">
        <v>138</v>
      </c>
      <c r="O371" s="81" t="s">
        <v>138</v>
      </c>
      <c r="P371" s="81" t="s">
        <v>138</v>
      </c>
      <c r="Q371" s="81" t="s">
        <v>138</v>
      </c>
      <c r="R371" s="81" t="s">
        <v>138</v>
      </c>
      <c r="S371" s="81" t="s">
        <v>138</v>
      </c>
      <c r="T371" s="81" t="s">
        <v>138</v>
      </c>
      <c r="U371" s="81" t="s">
        <v>545</v>
      </c>
    </row>
    <row r="372" spans="1:21">
      <c r="A372" s="81" t="s">
        <v>791</v>
      </c>
      <c r="B372" s="81" t="s">
        <v>205</v>
      </c>
      <c r="C372" s="81" t="s">
        <v>220</v>
      </c>
      <c r="D372" s="81" t="s">
        <v>201</v>
      </c>
      <c r="E372" s="81" t="s">
        <v>435</v>
      </c>
      <c r="F372" s="81" t="s">
        <v>138</v>
      </c>
      <c r="G372" s="81" t="s">
        <v>138</v>
      </c>
      <c r="H372" s="81" t="s">
        <v>792</v>
      </c>
      <c r="I372" s="81" t="s">
        <v>776</v>
      </c>
      <c r="J372" s="81" t="s">
        <v>138</v>
      </c>
      <c r="K372" s="81" t="s">
        <v>138</v>
      </c>
      <c r="L372" s="81" t="s">
        <v>366</v>
      </c>
      <c r="M372" s="81" t="s">
        <v>138</v>
      </c>
      <c r="N372" s="81" t="s">
        <v>138</v>
      </c>
      <c r="O372" s="81" t="s">
        <v>138</v>
      </c>
      <c r="P372" s="81" t="s">
        <v>138</v>
      </c>
      <c r="Q372" s="81" t="s">
        <v>138</v>
      </c>
      <c r="R372" s="81" t="s">
        <v>793</v>
      </c>
      <c r="S372" s="81" t="s">
        <v>138</v>
      </c>
      <c r="T372" s="81" t="s">
        <v>138</v>
      </c>
      <c r="U372" s="81" t="s">
        <v>545</v>
      </c>
    </row>
    <row r="373" spans="1:21">
      <c r="A373" s="81" t="s">
        <v>794</v>
      </c>
      <c r="B373" s="81" t="s">
        <v>205</v>
      </c>
      <c r="C373" s="81" t="s">
        <v>220</v>
      </c>
      <c r="D373" s="81" t="s">
        <v>201</v>
      </c>
      <c r="E373" s="81" t="s">
        <v>435</v>
      </c>
      <c r="F373" s="81" t="s">
        <v>138</v>
      </c>
      <c r="G373" s="81" t="s">
        <v>138</v>
      </c>
      <c r="H373" s="81" t="s">
        <v>748</v>
      </c>
      <c r="I373" s="81" t="s">
        <v>205</v>
      </c>
      <c r="J373" s="81" t="s">
        <v>138</v>
      </c>
      <c r="K373" s="81" t="s">
        <v>138</v>
      </c>
      <c r="L373" s="81" t="s">
        <v>138</v>
      </c>
      <c r="M373" s="81" t="s">
        <v>138</v>
      </c>
      <c r="N373" s="81" t="s">
        <v>138</v>
      </c>
      <c r="O373" s="81" t="s">
        <v>138</v>
      </c>
      <c r="P373" s="81" t="s">
        <v>138</v>
      </c>
      <c r="Q373" s="81" t="s">
        <v>138</v>
      </c>
      <c r="R373" s="81" t="s">
        <v>138</v>
      </c>
      <c r="S373" s="81" t="s">
        <v>138</v>
      </c>
      <c r="T373" s="81" t="s">
        <v>138</v>
      </c>
      <c r="U373" s="81" t="s">
        <v>545</v>
      </c>
    </row>
    <row r="374" spans="1:21">
      <c r="A374" s="81" t="s">
        <v>795</v>
      </c>
      <c r="B374" s="81" t="s">
        <v>205</v>
      </c>
      <c r="C374" s="81" t="s">
        <v>220</v>
      </c>
      <c r="D374" s="81" t="s">
        <v>201</v>
      </c>
      <c r="E374" s="81" t="s">
        <v>435</v>
      </c>
      <c r="F374" s="81" t="s">
        <v>138</v>
      </c>
      <c r="G374" s="81" t="s">
        <v>138</v>
      </c>
      <c r="H374" s="81" t="s">
        <v>796</v>
      </c>
      <c r="I374" s="81" t="s">
        <v>756</v>
      </c>
      <c r="J374" s="81" t="s">
        <v>138</v>
      </c>
      <c r="K374" s="81" t="s">
        <v>138</v>
      </c>
      <c r="L374" s="81" t="s">
        <v>366</v>
      </c>
      <c r="M374" s="81" t="s">
        <v>138</v>
      </c>
      <c r="N374" s="81" t="s">
        <v>138</v>
      </c>
      <c r="O374" s="81" t="s">
        <v>138</v>
      </c>
      <c r="P374" s="81" t="s">
        <v>138</v>
      </c>
      <c r="Q374" s="81" t="s">
        <v>138</v>
      </c>
      <c r="R374" s="81" t="s">
        <v>793</v>
      </c>
      <c r="S374" s="81" t="s">
        <v>138</v>
      </c>
      <c r="T374" s="81" t="s">
        <v>138</v>
      </c>
      <c r="U374" s="81" t="s">
        <v>243</v>
      </c>
    </row>
    <row r="375" spans="1:21">
      <c r="A375" s="81" t="s">
        <v>797</v>
      </c>
      <c r="B375" s="81" t="s">
        <v>205</v>
      </c>
      <c r="C375" s="81" t="s">
        <v>220</v>
      </c>
      <c r="D375" s="81" t="s">
        <v>201</v>
      </c>
      <c r="E375" s="81" t="s">
        <v>435</v>
      </c>
      <c r="F375" s="81" t="s">
        <v>138</v>
      </c>
      <c r="G375" s="81" t="s">
        <v>138</v>
      </c>
      <c r="H375" s="81" t="s">
        <v>798</v>
      </c>
      <c r="I375" s="81" t="s">
        <v>205</v>
      </c>
      <c r="J375" s="81" t="s">
        <v>138</v>
      </c>
      <c r="K375" s="81" t="s">
        <v>138</v>
      </c>
      <c r="L375" s="81" t="s">
        <v>366</v>
      </c>
      <c r="M375" s="81" t="s">
        <v>138</v>
      </c>
      <c r="N375" s="81" t="s">
        <v>138</v>
      </c>
      <c r="O375" s="81" t="s">
        <v>138</v>
      </c>
      <c r="P375" s="81" t="s">
        <v>138</v>
      </c>
      <c r="Q375" s="81" t="s">
        <v>138</v>
      </c>
      <c r="R375" s="81" t="s">
        <v>793</v>
      </c>
      <c r="S375" s="81" t="s">
        <v>138</v>
      </c>
      <c r="T375" s="81" t="s">
        <v>138</v>
      </c>
      <c r="U375" s="81" t="s">
        <v>545</v>
      </c>
    </row>
    <row r="376" spans="1:21">
      <c r="A376" s="81" t="s">
        <v>799</v>
      </c>
      <c r="B376" s="81" t="s">
        <v>205</v>
      </c>
      <c r="C376" s="81" t="s">
        <v>220</v>
      </c>
      <c r="D376" s="81" t="s">
        <v>201</v>
      </c>
      <c r="E376" s="81" t="s">
        <v>435</v>
      </c>
      <c r="F376" s="81" t="s">
        <v>138</v>
      </c>
      <c r="G376" s="81" t="s">
        <v>138</v>
      </c>
      <c r="H376" s="81" t="s">
        <v>800</v>
      </c>
      <c r="I376" s="81" t="s">
        <v>756</v>
      </c>
      <c r="J376" s="81" t="s">
        <v>138</v>
      </c>
      <c r="K376" s="81" t="s">
        <v>138</v>
      </c>
      <c r="L376" s="81" t="s">
        <v>366</v>
      </c>
      <c r="M376" s="81" t="s">
        <v>138</v>
      </c>
      <c r="N376" s="81" t="s">
        <v>138</v>
      </c>
      <c r="O376" s="81" t="s">
        <v>138</v>
      </c>
      <c r="P376" s="81" t="s">
        <v>138</v>
      </c>
      <c r="Q376" s="81" t="s">
        <v>138</v>
      </c>
      <c r="R376" s="81" t="s">
        <v>793</v>
      </c>
      <c r="S376" s="81" t="s">
        <v>138</v>
      </c>
      <c r="T376" s="81" t="s">
        <v>138</v>
      </c>
      <c r="U376" s="81" t="s">
        <v>243</v>
      </c>
    </row>
    <row r="377" spans="1:21">
      <c r="A377" s="81" t="s">
        <v>801</v>
      </c>
      <c r="B377" s="81" t="s">
        <v>205</v>
      </c>
      <c r="C377" s="81" t="s">
        <v>220</v>
      </c>
      <c r="D377" s="81" t="s">
        <v>203</v>
      </c>
      <c r="E377" s="81" t="s">
        <v>802</v>
      </c>
      <c r="F377" s="81" t="s">
        <v>138</v>
      </c>
      <c r="G377" s="81" t="s">
        <v>138</v>
      </c>
      <c r="H377" s="81" t="s">
        <v>748</v>
      </c>
      <c r="I377" s="81" t="s">
        <v>205</v>
      </c>
      <c r="J377" s="81" t="s">
        <v>138</v>
      </c>
      <c r="K377" s="81" t="s">
        <v>138</v>
      </c>
      <c r="L377" s="81" t="s">
        <v>138</v>
      </c>
      <c r="M377" s="81" t="s">
        <v>138</v>
      </c>
      <c r="N377" s="81" t="s">
        <v>138</v>
      </c>
      <c r="O377" s="81" t="s">
        <v>138</v>
      </c>
      <c r="P377" s="81" t="s">
        <v>138</v>
      </c>
      <c r="Q377" s="81" t="s">
        <v>138</v>
      </c>
      <c r="R377" s="81" t="s">
        <v>138</v>
      </c>
      <c r="S377" s="81" t="s">
        <v>138</v>
      </c>
      <c r="T377" s="81" t="s">
        <v>138</v>
      </c>
      <c r="U377" s="81" t="s">
        <v>545</v>
      </c>
    </row>
    <row r="378" spans="1:21">
      <c r="A378" s="81" t="s">
        <v>803</v>
      </c>
      <c r="B378" s="81" t="s">
        <v>205</v>
      </c>
      <c r="C378" s="81" t="s">
        <v>220</v>
      </c>
      <c r="D378" s="81" t="s">
        <v>203</v>
      </c>
      <c r="E378" s="81" t="s">
        <v>802</v>
      </c>
      <c r="F378" s="81" t="s">
        <v>138</v>
      </c>
      <c r="G378" s="81" t="s">
        <v>138</v>
      </c>
      <c r="H378" s="81" t="s">
        <v>804</v>
      </c>
      <c r="I378" s="81" t="s">
        <v>776</v>
      </c>
      <c r="J378" s="81" t="s">
        <v>138</v>
      </c>
      <c r="K378" s="81" t="s">
        <v>138</v>
      </c>
      <c r="L378" s="81" t="s">
        <v>805</v>
      </c>
      <c r="M378" s="81" t="s">
        <v>138</v>
      </c>
      <c r="N378" s="81" t="s">
        <v>138</v>
      </c>
      <c r="O378" s="81" t="s">
        <v>138</v>
      </c>
      <c r="P378" s="81" t="s">
        <v>138</v>
      </c>
      <c r="Q378" s="81" t="s">
        <v>138</v>
      </c>
      <c r="R378" s="81" t="s">
        <v>501</v>
      </c>
      <c r="S378" s="81" t="s">
        <v>138</v>
      </c>
      <c r="T378" s="81" t="s">
        <v>138</v>
      </c>
      <c r="U378" s="81" t="s">
        <v>545</v>
      </c>
    </row>
    <row r="379" spans="1:21">
      <c r="A379" s="81" t="s">
        <v>806</v>
      </c>
      <c r="B379" s="81" t="s">
        <v>205</v>
      </c>
      <c r="C379" s="81" t="s">
        <v>220</v>
      </c>
      <c r="D379" s="81" t="s">
        <v>203</v>
      </c>
      <c r="E379" s="81" t="s">
        <v>560</v>
      </c>
      <c r="F379" s="81" t="s">
        <v>138</v>
      </c>
      <c r="G379" s="81" t="s">
        <v>138</v>
      </c>
      <c r="H379" s="81" t="s">
        <v>748</v>
      </c>
      <c r="I379" s="81" t="s">
        <v>205</v>
      </c>
      <c r="J379" s="81" t="s">
        <v>138</v>
      </c>
      <c r="K379" s="81" t="s">
        <v>138</v>
      </c>
      <c r="L379" s="81" t="s">
        <v>138</v>
      </c>
      <c r="M379" s="81" t="s">
        <v>138</v>
      </c>
      <c r="N379" s="81" t="s">
        <v>138</v>
      </c>
      <c r="O379" s="81" t="s">
        <v>138</v>
      </c>
      <c r="P379" s="81" t="s">
        <v>138</v>
      </c>
      <c r="Q379" s="81" t="s">
        <v>138</v>
      </c>
      <c r="R379" s="81" t="s">
        <v>138</v>
      </c>
      <c r="S379" s="81" t="s">
        <v>138</v>
      </c>
      <c r="T379" s="81" t="s">
        <v>138</v>
      </c>
      <c r="U379" s="81" t="s">
        <v>545</v>
      </c>
    </row>
    <row r="380" spans="1:21">
      <c r="A380" s="81" t="s">
        <v>807</v>
      </c>
      <c r="B380" s="81" t="s">
        <v>205</v>
      </c>
      <c r="C380" s="81" t="s">
        <v>220</v>
      </c>
      <c r="D380" s="81" t="s">
        <v>203</v>
      </c>
      <c r="E380" s="81" t="s">
        <v>560</v>
      </c>
      <c r="F380" s="81" t="s">
        <v>138</v>
      </c>
      <c r="G380" s="81" t="s">
        <v>138</v>
      </c>
      <c r="H380" s="81" t="s">
        <v>808</v>
      </c>
      <c r="I380" s="81" t="s">
        <v>776</v>
      </c>
      <c r="J380" s="81" t="s">
        <v>138</v>
      </c>
      <c r="K380" s="81" t="s">
        <v>138</v>
      </c>
      <c r="L380" s="81" t="s">
        <v>805</v>
      </c>
      <c r="M380" s="81" t="s">
        <v>138</v>
      </c>
      <c r="N380" s="81" t="s">
        <v>138</v>
      </c>
      <c r="O380" s="81" t="s">
        <v>138</v>
      </c>
      <c r="P380" s="81" t="s">
        <v>138</v>
      </c>
      <c r="Q380" s="81" t="s">
        <v>138</v>
      </c>
      <c r="R380" s="81" t="s">
        <v>558</v>
      </c>
      <c r="S380" s="81" t="s">
        <v>138</v>
      </c>
      <c r="T380" s="81" t="s">
        <v>138</v>
      </c>
      <c r="U380" s="81" t="s">
        <v>545</v>
      </c>
    </row>
    <row r="381" spans="1:21">
      <c r="A381" s="81" t="s">
        <v>809</v>
      </c>
      <c r="B381" s="81" t="s">
        <v>205</v>
      </c>
      <c r="C381" s="81" t="s">
        <v>220</v>
      </c>
      <c r="D381" s="81" t="s">
        <v>203</v>
      </c>
      <c r="E381" s="81" t="s">
        <v>483</v>
      </c>
      <c r="F381" s="81" t="s">
        <v>138</v>
      </c>
      <c r="G381" s="81" t="s">
        <v>138</v>
      </c>
      <c r="H381" s="81" t="s">
        <v>810</v>
      </c>
      <c r="I381" s="81" t="s">
        <v>205</v>
      </c>
      <c r="J381" s="81" t="s">
        <v>138</v>
      </c>
      <c r="K381" s="81" t="s">
        <v>138</v>
      </c>
      <c r="L381" s="81" t="s">
        <v>138</v>
      </c>
      <c r="M381" s="81" t="s">
        <v>138</v>
      </c>
      <c r="N381" s="81" t="s">
        <v>138</v>
      </c>
      <c r="O381" s="81" t="s">
        <v>138</v>
      </c>
      <c r="P381" s="81" t="s">
        <v>138</v>
      </c>
      <c r="Q381" s="81" t="s">
        <v>138</v>
      </c>
      <c r="R381" s="81" t="s">
        <v>527</v>
      </c>
      <c r="S381" s="81" t="s">
        <v>138</v>
      </c>
      <c r="T381" s="81" t="s">
        <v>138</v>
      </c>
      <c r="U381" s="81" t="s">
        <v>545</v>
      </c>
    </row>
    <row r="382" spans="1:21">
      <c r="A382" s="81" t="s">
        <v>811</v>
      </c>
      <c r="B382" s="81" t="s">
        <v>205</v>
      </c>
      <c r="C382" s="81" t="s">
        <v>220</v>
      </c>
      <c r="D382" s="81" t="s">
        <v>203</v>
      </c>
      <c r="E382" s="81" t="s">
        <v>483</v>
      </c>
      <c r="F382" s="81" t="s">
        <v>138</v>
      </c>
      <c r="G382" s="81" t="s">
        <v>138</v>
      </c>
      <c r="H382" s="81" t="s">
        <v>812</v>
      </c>
      <c r="I382" s="81" t="s">
        <v>745</v>
      </c>
      <c r="J382" s="81" t="s">
        <v>138</v>
      </c>
      <c r="K382" s="81" t="s">
        <v>138</v>
      </c>
      <c r="L382" s="81" t="s">
        <v>813</v>
      </c>
      <c r="M382" s="81" t="s">
        <v>138</v>
      </c>
      <c r="N382" s="81" t="s">
        <v>138</v>
      </c>
      <c r="O382" s="81" t="s">
        <v>138</v>
      </c>
      <c r="P382" s="81" t="s">
        <v>138</v>
      </c>
      <c r="Q382" s="81" t="s">
        <v>138</v>
      </c>
      <c r="R382" s="81" t="s">
        <v>527</v>
      </c>
      <c r="S382" s="81" t="s">
        <v>138</v>
      </c>
      <c r="T382" s="81" t="s">
        <v>138</v>
      </c>
      <c r="U382" s="81" t="s">
        <v>243</v>
      </c>
    </row>
    <row r="383" spans="1:21">
      <c r="A383" s="81" t="s">
        <v>814</v>
      </c>
      <c r="B383" s="81" t="s">
        <v>205</v>
      </c>
      <c r="C383" s="81" t="s">
        <v>220</v>
      </c>
      <c r="D383" s="81" t="s">
        <v>203</v>
      </c>
      <c r="E383" s="81" t="s">
        <v>802</v>
      </c>
      <c r="F383" s="81" t="s">
        <v>138</v>
      </c>
      <c r="G383" s="81" t="s">
        <v>138</v>
      </c>
      <c r="H383" s="81" t="s">
        <v>748</v>
      </c>
      <c r="I383" s="81" t="s">
        <v>205</v>
      </c>
      <c r="J383" s="81" t="s">
        <v>138</v>
      </c>
      <c r="K383" s="81" t="s">
        <v>138</v>
      </c>
      <c r="L383" s="81" t="s">
        <v>138</v>
      </c>
      <c r="M383" s="81" t="s">
        <v>138</v>
      </c>
      <c r="N383" s="81" t="s">
        <v>138</v>
      </c>
      <c r="O383" s="81" t="s">
        <v>138</v>
      </c>
      <c r="P383" s="81" t="s">
        <v>138</v>
      </c>
      <c r="Q383" s="81" t="s">
        <v>138</v>
      </c>
      <c r="R383" s="81" t="s">
        <v>138</v>
      </c>
      <c r="S383" s="81" t="s">
        <v>138</v>
      </c>
      <c r="T383" s="81" t="s">
        <v>138</v>
      </c>
      <c r="U383" s="81" t="s">
        <v>545</v>
      </c>
    </row>
    <row r="384" spans="1:21">
      <c r="A384" s="81" t="s">
        <v>815</v>
      </c>
      <c r="B384" s="81" t="s">
        <v>205</v>
      </c>
      <c r="C384" s="81" t="s">
        <v>220</v>
      </c>
      <c r="D384" s="81" t="s">
        <v>201</v>
      </c>
      <c r="E384" s="81" t="s">
        <v>802</v>
      </c>
      <c r="F384" s="81" t="s">
        <v>138</v>
      </c>
      <c r="G384" s="81" t="s">
        <v>138</v>
      </c>
      <c r="H384" s="81" t="s">
        <v>816</v>
      </c>
      <c r="I384" s="81" t="s">
        <v>776</v>
      </c>
      <c r="J384" s="81" t="s">
        <v>138</v>
      </c>
      <c r="K384" s="81" t="s">
        <v>138</v>
      </c>
      <c r="L384" s="81" t="s">
        <v>805</v>
      </c>
      <c r="M384" s="81" t="s">
        <v>138</v>
      </c>
      <c r="N384" s="81" t="s">
        <v>138</v>
      </c>
      <c r="O384" s="81" t="s">
        <v>138</v>
      </c>
      <c r="P384" s="81" t="s">
        <v>138</v>
      </c>
      <c r="Q384" s="81" t="s">
        <v>138</v>
      </c>
      <c r="R384" s="81" t="s">
        <v>501</v>
      </c>
      <c r="S384" s="81" t="s">
        <v>138</v>
      </c>
      <c r="T384" s="81" t="s">
        <v>138</v>
      </c>
      <c r="U384" s="81" t="s">
        <v>545</v>
      </c>
    </row>
    <row r="385" spans="1:21">
      <c r="A385" s="81" t="s">
        <v>817</v>
      </c>
      <c r="B385" s="81" t="s">
        <v>205</v>
      </c>
      <c r="C385" s="81" t="s">
        <v>220</v>
      </c>
      <c r="D385" s="81" t="s">
        <v>203</v>
      </c>
      <c r="E385" s="81" t="s">
        <v>483</v>
      </c>
      <c r="F385" s="81" t="s">
        <v>138</v>
      </c>
      <c r="G385" s="81" t="s">
        <v>138</v>
      </c>
      <c r="H385" s="81" t="s">
        <v>818</v>
      </c>
      <c r="I385" s="81" t="s">
        <v>776</v>
      </c>
      <c r="J385" s="81" t="s">
        <v>138</v>
      </c>
      <c r="K385" s="81" t="s">
        <v>138</v>
      </c>
      <c r="L385" s="81" t="s">
        <v>138</v>
      </c>
      <c r="M385" s="81" t="s">
        <v>138</v>
      </c>
      <c r="N385" s="81" t="s">
        <v>138</v>
      </c>
      <c r="O385" s="81" t="s">
        <v>138</v>
      </c>
      <c r="P385" s="81" t="s">
        <v>138</v>
      </c>
      <c r="Q385" s="81" t="s">
        <v>138</v>
      </c>
      <c r="R385" s="81" t="s">
        <v>527</v>
      </c>
      <c r="S385" s="81" t="s">
        <v>138</v>
      </c>
      <c r="T385" s="81" t="s">
        <v>138</v>
      </c>
      <c r="U385" s="81" t="s">
        <v>545</v>
      </c>
    </row>
    <row r="386" spans="1:21">
      <c r="A386" s="81" t="s">
        <v>819</v>
      </c>
      <c r="B386" s="81" t="s">
        <v>205</v>
      </c>
      <c r="C386" s="81" t="s">
        <v>220</v>
      </c>
      <c r="D386" s="81" t="s">
        <v>203</v>
      </c>
      <c r="E386" s="81" t="s">
        <v>629</v>
      </c>
      <c r="F386" s="81" t="s">
        <v>138</v>
      </c>
      <c r="G386" s="81" t="s">
        <v>138</v>
      </c>
      <c r="H386" s="81" t="s">
        <v>748</v>
      </c>
      <c r="I386" s="81" t="s">
        <v>205</v>
      </c>
      <c r="J386" s="81" t="s">
        <v>138</v>
      </c>
      <c r="K386" s="81" t="s">
        <v>138</v>
      </c>
      <c r="L386" s="81" t="s">
        <v>138</v>
      </c>
      <c r="M386" s="81" t="s">
        <v>138</v>
      </c>
      <c r="N386" s="81" t="s">
        <v>138</v>
      </c>
      <c r="O386" s="81" t="s">
        <v>138</v>
      </c>
      <c r="P386" s="81" t="s">
        <v>138</v>
      </c>
      <c r="Q386" s="81" t="s">
        <v>138</v>
      </c>
      <c r="R386" s="81" t="s">
        <v>138</v>
      </c>
      <c r="S386" s="81" t="s">
        <v>138</v>
      </c>
      <c r="T386" s="81" t="s">
        <v>138</v>
      </c>
      <c r="U386" s="81" t="s">
        <v>545</v>
      </c>
    </row>
    <row r="387" spans="1:21">
      <c r="A387" s="81" t="s">
        <v>820</v>
      </c>
      <c r="B387" s="81" t="s">
        <v>205</v>
      </c>
      <c r="C387" s="81" t="s">
        <v>220</v>
      </c>
      <c r="D387" s="81" t="s">
        <v>203</v>
      </c>
      <c r="E387" s="81" t="s">
        <v>629</v>
      </c>
      <c r="F387" s="81" t="s">
        <v>138</v>
      </c>
      <c r="G387" s="81" t="s">
        <v>138</v>
      </c>
      <c r="H387" s="81" t="s">
        <v>821</v>
      </c>
      <c r="I387" s="81" t="s">
        <v>776</v>
      </c>
      <c r="J387" s="81" t="s">
        <v>138</v>
      </c>
      <c r="K387" s="81" t="s">
        <v>138</v>
      </c>
      <c r="L387" s="81" t="s">
        <v>138</v>
      </c>
      <c r="M387" s="81" t="s">
        <v>138</v>
      </c>
      <c r="N387" s="81" t="s">
        <v>138</v>
      </c>
      <c r="O387" s="81" t="s">
        <v>138</v>
      </c>
      <c r="P387" s="81" t="s">
        <v>138</v>
      </c>
      <c r="Q387" s="81" t="s">
        <v>138</v>
      </c>
      <c r="R387" s="81" t="s">
        <v>634</v>
      </c>
      <c r="S387" s="81" t="s">
        <v>138</v>
      </c>
      <c r="T387" s="81" t="s">
        <v>138</v>
      </c>
      <c r="U387" s="81" t="s">
        <v>545</v>
      </c>
    </row>
    <row r="388" spans="1:21">
      <c r="A388" s="81" t="s">
        <v>822</v>
      </c>
      <c r="B388" s="81" t="s">
        <v>205</v>
      </c>
      <c r="C388" s="81" t="s">
        <v>220</v>
      </c>
      <c r="D388" s="81" t="s">
        <v>203</v>
      </c>
      <c r="E388" s="81" t="s">
        <v>629</v>
      </c>
      <c r="F388" s="81" t="s">
        <v>138</v>
      </c>
      <c r="G388" s="81" t="s">
        <v>138</v>
      </c>
      <c r="H388" s="81" t="s">
        <v>823</v>
      </c>
      <c r="I388" s="81" t="s">
        <v>756</v>
      </c>
      <c r="J388" s="81" t="s">
        <v>138</v>
      </c>
      <c r="K388" s="81" t="s">
        <v>138</v>
      </c>
      <c r="L388" s="81" t="s">
        <v>632</v>
      </c>
      <c r="M388" s="81" t="s">
        <v>138</v>
      </c>
      <c r="N388" s="81" t="s">
        <v>138</v>
      </c>
      <c r="O388" s="81" t="s">
        <v>138</v>
      </c>
      <c r="P388" s="81" t="s">
        <v>138</v>
      </c>
      <c r="Q388" s="81" t="s">
        <v>138</v>
      </c>
      <c r="R388" s="81" t="s">
        <v>634</v>
      </c>
      <c r="S388" s="81" t="s">
        <v>138</v>
      </c>
      <c r="T388" s="81" t="s">
        <v>138</v>
      </c>
      <c r="U388" s="81" t="s">
        <v>243</v>
      </c>
    </row>
    <row r="389" spans="1:21">
      <c r="A389" s="81" t="s">
        <v>824</v>
      </c>
      <c r="B389" s="81" t="s">
        <v>205</v>
      </c>
      <c r="C389" s="81" t="s">
        <v>220</v>
      </c>
      <c r="D389" s="81" t="s">
        <v>203</v>
      </c>
      <c r="E389" s="81" t="s">
        <v>641</v>
      </c>
      <c r="F389" s="81" t="s">
        <v>138</v>
      </c>
      <c r="G389" s="81" t="s">
        <v>138</v>
      </c>
      <c r="H389" s="81" t="s">
        <v>825</v>
      </c>
      <c r="I389" s="81" t="s">
        <v>756</v>
      </c>
      <c r="J389" s="81" t="s">
        <v>138</v>
      </c>
      <c r="K389" s="81" t="s">
        <v>138</v>
      </c>
      <c r="L389" s="81" t="s">
        <v>138</v>
      </c>
      <c r="M389" s="81" t="s">
        <v>138</v>
      </c>
      <c r="N389" s="81" t="s">
        <v>138</v>
      </c>
      <c r="O389" s="81" t="s">
        <v>138</v>
      </c>
      <c r="P389" s="81" t="s">
        <v>138</v>
      </c>
      <c r="Q389" s="81" t="s">
        <v>138</v>
      </c>
      <c r="R389" s="81" t="s">
        <v>647</v>
      </c>
      <c r="S389" s="81" t="s">
        <v>138</v>
      </c>
      <c r="T389" s="81" t="s">
        <v>138</v>
      </c>
      <c r="U389" s="81" t="s">
        <v>243</v>
      </c>
    </row>
    <row r="390" spans="1:21">
      <c r="A390" s="81" t="s">
        <v>826</v>
      </c>
      <c r="B390" s="81" t="s">
        <v>205</v>
      </c>
      <c r="C390" s="81" t="s">
        <v>220</v>
      </c>
      <c r="D390" s="81" t="s">
        <v>203</v>
      </c>
      <c r="E390" s="81" t="s">
        <v>629</v>
      </c>
      <c r="F390" s="81" t="s">
        <v>138</v>
      </c>
      <c r="G390" s="81" t="s">
        <v>138</v>
      </c>
      <c r="H390" s="81" t="s">
        <v>748</v>
      </c>
      <c r="I390" s="81" t="s">
        <v>205</v>
      </c>
      <c r="J390" s="81" t="s">
        <v>138</v>
      </c>
      <c r="K390" s="81" t="s">
        <v>138</v>
      </c>
      <c r="L390" s="81" t="s">
        <v>138</v>
      </c>
      <c r="M390" s="81" t="s">
        <v>138</v>
      </c>
      <c r="N390" s="81" t="s">
        <v>138</v>
      </c>
      <c r="O390" s="81" t="s">
        <v>138</v>
      </c>
      <c r="P390" s="81" t="s">
        <v>138</v>
      </c>
      <c r="Q390" s="81" t="s">
        <v>138</v>
      </c>
      <c r="R390" s="81" t="s">
        <v>138</v>
      </c>
      <c r="S390" s="81" t="s">
        <v>138</v>
      </c>
      <c r="T390" s="81" t="s">
        <v>138</v>
      </c>
      <c r="U390" s="81" t="s">
        <v>545</v>
      </c>
    </row>
    <row r="391" spans="1:21">
      <c r="A391" s="81" t="s">
        <v>827</v>
      </c>
      <c r="B391" s="81" t="s">
        <v>205</v>
      </c>
      <c r="C391" s="81" t="s">
        <v>220</v>
      </c>
      <c r="D391" s="81" t="s">
        <v>203</v>
      </c>
      <c r="E391" s="81" t="s">
        <v>629</v>
      </c>
      <c r="F391" s="81" t="s">
        <v>138</v>
      </c>
      <c r="G391" s="81" t="s">
        <v>138</v>
      </c>
      <c r="H391" s="81" t="s">
        <v>828</v>
      </c>
      <c r="I391" s="81" t="s">
        <v>776</v>
      </c>
      <c r="J391" s="81" t="s">
        <v>138</v>
      </c>
      <c r="K391" s="81" t="s">
        <v>138</v>
      </c>
      <c r="L391" s="81" t="s">
        <v>138</v>
      </c>
      <c r="M391" s="81" t="s">
        <v>138</v>
      </c>
      <c r="N391" s="81" t="s">
        <v>138</v>
      </c>
      <c r="O391" s="81" t="s">
        <v>138</v>
      </c>
      <c r="P391" s="81" t="s">
        <v>138</v>
      </c>
      <c r="Q391" s="81" t="s">
        <v>138</v>
      </c>
      <c r="R391" s="81" t="s">
        <v>634</v>
      </c>
      <c r="S391" s="81" t="s">
        <v>138</v>
      </c>
      <c r="T391" s="81" t="s">
        <v>138</v>
      </c>
      <c r="U391" s="81" t="s">
        <v>545</v>
      </c>
    </row>
    <row r="392" spans="1:21">
      <c r="A392" s="81" t="s">
        <v>829</v>
      </c>
      <c r="B392" s="81" t="s">
        <v>205</v>
      </c>
      <c r="C392" s="81" t="s">
        <v>220</v>
      </c>
      <c r="D392" s="81" t="s">
        <v>203</v>
      </c>
      <c r="E392" s="81" t="s">
        <v>629</v>
      </c>
      <c r="F392" s="81" t="s">
        <v>138</v>
      </c>
      <c r="G392" s="81" t="s">
        <v>138</v>
      </c>
      <c r="H392" s="81" t="s">
        <v>830</v>
      </c>
      <c r="I392" s="81" t="s">
        <v>776</v>
      </c>
      <c r="J392" s="81" t="s">
        <v>138</v>
      </c>
      <c r="K392" s="81" t="s">
        <v>138</v>
      </c>
      <c r="L392" s="81" t="s">
        <v>138</v>
      </c>
      <c r="M392" s="81" t="s">
        <v>138</v>
      </c>
      <c r="N392" s="81" t="s">
        <v>138</v>
      </c>
      <c r="O392" s="81" t="s">
        <v>138</v>
      </c>
      <c r="P392" s="81" t="s">
        <v>138</v>
      </c>
      <c r="Q392" s="81" t="s">
        <v>138</v>
      </c>
      <c r="R392" s="81" t="s">
        <v>736</v>
      </c>
      <c r="S392" s="81" t="s">
        <v>138</v>
      </c>
      <c r="T392" s="81" t="s">
        <v>138</v>
      </c>
      <c r="U392" s="81" t="s">
        <v>545</v>
      </c>
    </row>
    <row r="393" spans="1:21">
      <c r="A393" s="81" t="s">
        <v>831</v>
      </c>
      <c r="B393" s="81" t="s">
        <v>205</v>
      </c>
      <c r="C393" s="81" t="s">
        <v>220</v>
      </c>
      <c r="D393" s="81" t="s">
        <v>203</v>
      </c>
      <c r="E393" s="81" t="s">
        <v>629</v>
      </c>
      <c r="F393" s="81" t="s">
        <v>138</v>
      </c>
      <c r="G393" s="81" t="s">
        <v>138</v>
      </c>
      <c r="H393" s="81" t="s">
        <v>832</v>
      </c>
      <c r="I393" s="81" t="s">
        <v>756</v>
      </c>
      <c r="J393" s="81" t="s">
        <v>138</v>
      </c>
      <c r="K393" s="81" t="s">
        <v>138</v>
      </c>
      <c r="L393" s="81" t="s">
        <v>138</v>
      </c>
      <c r="M393" s="81" t="s">
        <v>138</v>
      </c>
      <c r="N393" s="81" t="s">
        <v>138</v>
      </c>
      <c r="O393" s="81" t="s">
        <v>138</v>
      </c>
      <c r="P393" s="81" t="s">
        <v>138</v>
      </c>
      <c r="Q393" s="81" t="s">
        <v>138</v>
      </c>
      <c r="R393" s="81" t="s">
        <v>736</v>
      </c>
      <c r="S393" s="81" t="s">
        <v>138</v>
      </c>
      <c r="T393" s="81" t="s">
        <v>138</v>
      </c>
      <c r="U393" s="81" t="s">
        <v>243</v>
      </c>
    </row>
    <row r="394" spans="1:21">
      <c r="A394" s="81" t="s">
        <v>833</v>
      </c>
      <c r="B394" s="81" t="s">
        <v>205</v>
      </c>
      <c r="C394" s="81" t="s">
        <v>220</v>
      </c>
      <c r="D394" s="81" t="s">
        <v>203</v>
      </c>
      <c r="E394" s="81" t="s">
        <v>724</v>
      </c>
      <c r="F394" s="81" t="s">
        <v>138</v>
      </c>
      <c r="G394" s="81" t="s">
        <v>138</v>
      </c>
      <c r="H394" s="81" t="s">
        <v>834</v>
      </c>
      <c r="I394" s="81" t="s">
        <v>756</v>
      </c>
      <c r="J394" s="81" t="s">
        <v>138</v>
      </c>
      <c r="K394" s="81" t="s">
        <v>138</v>
      </c>
      <c r="L394" s="81" t="s">
        <v>138</v>
      </c>
      <c r="M394" s="81" t="s">
        <v>138</v>
      </c>
      <c r="N394" s="81" t="s">
        <v>138</v>
      </c>
      <c r="O394" s="81" t="s">
        <v>138</v>
      </c>
      <c r="P394" s="81" t="s">
        <v>138</v>
      </c>
      <c r="Q394" s="81" t="s">
        <v>138</v>
      </c>
      <c r="R394" s="81" t="s">
        <v>726</v>
      </c>
      <c r="S394" s="81" t="s">
        <v>138</v>
      </c>
      <c r="T394" s="81" t="s">
        <v>138</v>
      </c>
      <c r="U394" s="81" t="s">
        <v>545</v>
      </c>
    </row>
    <row r="395" spans="1:21">
      <c r="A395" s="81" t="s">
        <v>835</v>
      </c>
      <c r="B395" s="81" t="s">
        <v>205</v>
      </c>
      <c r="C395" s="81" t="s">
        <v>220</v>
      </c>
      <c r="D395" s="81" t="s">
        <v>203</v>
      </c>
      <c r="E395" s="81" t="s">
        <v>724</v>
      </c>
      <c r="F395" s="81" t="s">
        <v>138</v>
      </c>
      <c r="G395" s="81" t="s">
        <v>138</v>
      </c>
      <c r="H395" s="81" t="s">
        <v>836</v>
      </c>
      <c r="I395" s="81" t="s">
        <v>776</v>
      </c>
      <c r="J395" s="81" t="s">
        <v>138</v>
      </c>
      <c r="K395" s="81" t="s">
        <v>138</v>
      </c>
      <c r="L395" s="81" t="s">
        <v>138</v>
      </c>
      <c r="M395" s="81" t="s">
        <v>138</v>
      </c>
      <c r="N395" s="81" t="s">
        <v>138</v>
      </c>
      <c r="O395" s="81" t="s">
        <v>138</v>
      </c>
      <c r="P395" s="81" t="s">
        <v>138</v>
      </c>
      <c r="Q395" s="81" t="s">
        <v>138</v>
      </c>
      <c r="R395" s="81" t="s">
        <v>726</v>
      </c>
      <c r="S395" s="81" t="s">
        <v>138</v>
      </c>
      <c r="T395" s="81" t="s">
        <v>138</v>
      </c>
      <c r="U395" s="81" t="s">
        <v>545</v>
      </c>
    </row>
    <row r="396" spans="1:21">
      <c r="A396" s="81" t="s">
        <v>837</v>
      </c>
      <c r="B396" s="81" t="s">
        <v>205</v>
      </c>
      <c r="C396" s="81" t="s">
        <v>220</v>
      </c>
      <c r="D396" s="81" t="s">
        <v>203</v>
      </c>
      <c r="E396" s="81" t="s">
        <v>692</v>
      </c>
      <c r="F396" s="81" t="s">
        <v>138</v>
      </c>
      <c r="G396" s="81" t="s">
        <v>138</v>
      </c>
      <c r="H396" s="81" t="s">
        <v>838</v>
      </c>
      <c r="I396" s="81" t="s">
        <v>776</v>
      </c>
      <c r="J396" s="81" t="s">
        <v>138</v>
      </c>
      <c r="K396" s="81" t="s">
        <v>138</v>
      </c>
      <c r="L396" s="81" t="s">
        <v>138</v>
      </c>
      <c r="M396" s="81" t="s">
        <v>138</v>
      </c>
      <c r="N396" s="81" t="s">
        <v>138</v>
      </c>
      <c r="O396" s="81" t="s">
        <v>138</v>
      </c>
      <c r="P396" s="81" t="s">
        <v>138</v>
      </c>
      <c r="Q396" s="81" t="s">
        <v>138</v>
      </c>
      <c r="R396" s="81" t="s">
        <v>695</v>
      </c>
      <c r="S396" s="81" t="s">
        <v>138</v>
      </c>
      <c r="T396" s="81" t="s">
        <v>138</v>
      </c>
      <c r="U396" s="81" t="s">
        <v>545</v>
      </c>
    </row>
    <row r="397" spans="1:21">
      <c r="A397" s="81" t="s">
        <v>839</v>
      </c>
      <c r="B397" s="81" t="s">
        <v>205</v>
      </c>
      <c r="C397" s="81" t="s">
        <v>220</v>
      </c>
      <c r="D397" s="81" t="s">
        <v>203</v>
      </c>
      <c r="E397" s="81" t="s">
        <v>692</v>
      </c>
      <c r="F397" s="81" t="s">
        <v>138</v>
      </c>
      <c r="G397" s="81" t="s">
        <v>138</v>
      </c>
      <c r="H397" s="81" t="s">
        <v>840</v>
      </c>
      <c r="I397" s="81" t="s">
        <v>776</v>
      </c>
      <c r="J397" s="81" t="s">
        <v>138</v>
      </c>
      <c r="K397" s="81" t="s">
        <v>138</v>
      </c>
      <c r="L397" s="81" t="s">
        <v>138</v>
      </c>
      <c r="M397" s="81" t="s">
        <v>138</v>
      </c>
      <c r="N397" s="81" t="s">
        <v>138</v>
      </c>
      <c r="O397" s="81" t="s">
        <v>138</v>
      </c>
      <c r="P397" s="81" t="s">
        <v>138</v>
      </c>
      <c r="Q397" s="81" t="s">
        <v>138</v>
      </c>
      <c r="R397" s="81" t="s">
        <v>841</v>
      </c>
      <c r="S397" s="81" t="s">
        <v>138</v>
      </c>
      <c r="T397" s="81" t="s">
        <v>138</v>
      </c>
      <c r="U397" s="81" t="s">
        <v>545</v>
      </c>
    </row>
    <row r="398" spans="1:21">
      <c r="A398" s="81" t="s">
        <v>842</v>
      </c>
      <c r="B398" s="81" t="s">
        <v>205</v>
      </c>
      <c r="C398" s="81" t="s">
        <v>220</v>
      </c>
      <c r="D398" s="81" t="s">
        <v>203</v>
      </c>
      <c r="E398" s="81" t="s">
        <v>697</v>
      </c>
      <c r="F398" s="81" t="s">
        <v>138</v>
      </c>
      <c r="G398" s="81" t="s">
        <v>138</v>
      </c>
      <c r="H398" s="81" t="s">
        <v>843</v>
      </c>
      <c r="I398" s="81" t="s">
        <v>756</v>
      </c>
      <c r="J398" s="81" t="s">
        <v>138</v>
      </c>
      <c r="K398" s="81" t="s">
        <v>138</v>
      </c>
      <c r="L398" s="81" t="s">
        <v>138</v>
      </c>
      <c r="M398" s="81" t="s">
        <v>138</v>
      </c>
      <c r="N398" s="81" t="s">
        <v>138</v>
      </c>
      <c r="O398" s="81" t="s">
        <v>138</v>
      </c>
      <c r="P398" s="81" t="s">
        <v>138</v>
      </c>
      <c r="Q398" s="81" t="s">
        <v>138</v>
      </c>
      <c r="R398" s="81" t="s">
        <v>707</v>
      </c>
      <c r="S398" s="81" t="s">
        <v>138</v>
      </c>
      <c r="T398" s="81" t="s">
        <v>138</v>
      </c>
      <c r="U398" s="81" t="s">
        <v>545</v>
      </c>
    </row>
    <row r="399" spans="1:21">
      <c r="A399" s="81" t="s">
        <v>844</v>
      </c>
      <c r="B399" s="81" t="s">
        <v>205</v>
      </c>
      <c r="C399" s="81" t="s">
        <v>220</v>
      </c>
      <c r="D399" s="81" t="s">
        <v>203</v>
      </c>
      <c r="E399" s="81" t="s">
        <v>697</v>
      </c>
      <c r="F399" s="81" t="s">
        <v>138</v>
      </c>
      <c r="G399" s="81" t="s">
        <v>138</v>
      </c>
      <c r="H399" s="81" t="s">
        <v>748</v>
      </c>
      <c r="I399" s="81" t="s">
        <v>205</v>
      </c>
      <c r="J399" s="81" t="s">
        <v>138</v>
      </c>
      <c r="K399" s="81" t="s">
        <v>138</v>
      </c>
      <c r="L399" s="81" t="s">
        <v>138</v>
      </c>
      <c r="M399" s="81" t="s">
        <v>138</v>
      </c>
      <c r="N399" s="81" t="s">
        <v>138</v>
      </c>
      <c r="O399" s="81" t="s">
        <v>138</v>
      </c>
      <c r="P399" s="81" t="s">
        <v>138</v>
      </c>
      <c r="Q399" s="81" t="s">
        <v>138</v>
      </c>
      <c r="R399" s="81" t="s">
        <v>138</v>
      </c>
      <c r="S399" s="81" t="s">
        <v>138</v>
      </c>
      <c r="T399" s="81" t="s">
        <v>138</v>
      </c>
      <c r="U399" s="81" t="s">
        <v>545</v>
      </c>
    </row>
    <row r="400" spans="1:21">
      <c r="A400" s="81" t="s">
        <v>845</v>
      </c>
      <c r="B400" s="81" t="s">
        <v>205</v>
      </c>
      <c r="C400" s="81" t="s">
        <v>220</v>
      </c>
      <c r="D400" s="81" t="s">
        <v>203</v>
      </c>
      <c r="E400" s="81" t="s">
        <v>697</v>
      </c>
      <c r="F400" s="81" t="s">
        <v>138</v>
      </c>
      <c r="G400" s="81" t="s">
        <v>138</v>
      </c>
      <c r="H400" s="81" t="s">
        <v>846</v>
      </c>
      <c r="I400" s="81" t="s">
        <v>776</v>
      </c>
      <c r="J400" s="81" t="s">
        <v>138</v>
      </c>
      <c r="K400" s="81" t="s">
        <v>138</v>
      </c>
      <c r="L400" s="81" t="s">
        <v>138</v>
      </c>
      <c r="M400" s="81" t="s">
        <v>138</v>
      </c>
      <c r="N400" s="81" t="s">
        <v>138</v>
      </c>
      <c r="O400" s="81" t="s">
        <v>138</v>
      </c>
      <c r="P400" s="81" t="s">
        <v>138</v>
      </c>
      <c r="Q400" s="81" t="s">
        <v>138</v>
      </c>
      <c r="R400" s="81" t="s">
        <v>699</v>
      </c>
      <c r="S400" s="81" t="s">
        <v>138</v>
      </c>
      <c r="T400" s="81" t="s">
        <v>138</v>
      </c>
      <c r="U400" s="81" t="s">
        <v>545</v>
      </c>
    </row>
    <row r="401" spans="1:21">
      <c r="A401" s="81" t="s">
        <v>847</v>
      </c>
      <c r="B401" s="81" t="s">
        <v>205</v>
      </c>
      <c r="C401" s="81" t="s">
        <v>220</v>
      </c>
      <c r="D401" s="81" t="s">
        <v>203</v>
      </c>
      <c r="E401" s="81" t="s">
        <v>697</v>
      </c>
      <c r="F401" s="81" t="s">
        <v>138</v>
      </c>
      <c r="G401" s="81" t="s">
        <v>138</v>
      </c>
      <c r="H401" s="81" t="s">
        <v>848</v>
      </c>
      <c r="I401" s="81" t="s">
        <v>776</v>
      </c>
      <c r="J401" s="81" t="s">
        <v>138</v>
      </c>
      <c r="K401" s="81" t="s">
        <v>138</v>
      </c>
      <c r="L401" s="81" t="s">
        <v>138</v>
      </c>
      <c r="M401" s="81" t="s">
        <v>138</v>
      </c>
      <c r="N401" s="81" t="s">
        <v>138</v>
      </c>
      <c r="O401" s="81" t="s">
        <v>138</v>
      </c>
      <c r="P401" s="81" t="s">
        <v>138</v>
      </c>
      <c r="Q401" s="81" t="s">
        <v>138</v>
      </c>
      <c r="R401" s="81" t="s">
        <v>699</v>
      </c>
      <c r="S401" s="81" t="s">
        <v>138</v>
      </c>
      <c r="T401" s="81" t="s">
        <v>138</v>
      </c>
      <c r="U401" s="81" t="s">
        <v>545</v>
      </c>
    </row>
    <row r="402" spans="1:21">
      <c r="A402" s="81" t="s">
        <v>849</v>
      </c>
      <c r="B402" s="81" t="s">
        <v>205</v>
      </c>
      <c r="C402" s="81" t="s">
        <v>220</v>
      </c>
      <c r="D402" s="81" t="s">
        <v>203</v>
      </c>
      <c r="E402" s="81" t="s">
        <v>392</v>
      </c>
      <c r="F402" s="81" t="s">
        <v>138</v>
      </c>
      <c r="G402" s="81" t="s">
        <v>138</v>
      </c>
      <c r="H402" s="81" t="s">
        <v>850</v>
      </c>
      <c r="I402" s="81" t="s">
        <v>756</v>
      </c>
      <c r="J402" s="81" t="s">
        <v>138</v>
      </c>
      <c r="K402" s="81" t="s">
        <v>138</v>
      </c>
      <c r="L402" s="81" t="s">
        <v>138</v>
      </c>
      <c r="M402" s="81" t="s">
        <v>138</v>
      </c>
      <c r="N402" s="81" t="s">
        <v>138</v>
      </c>
      <c r="O402" s="81" t="s">
        <v>138</v>
      </c>
      <c r="P402" s="81" t="s">
        <v>138</v>
      </c>
      <c r="Q402" s="81" t="s">
        <v>138</v>
      </c>
      <c r="R402" s="81" t="s">
        <v>606</v>
      </c>
      <c r="S402" s="81" t="s">
        <v>138</v>
      </c>
      <c r="T402" s="81" t="s">
        <v>138</v>
      </c>
      <c r="U402" s="81" t="s">
        <v>545</v>
      </c>
    </row>
    <row r="403" spans="1:21">
      <c r="A403" s="81" t="s">
        <v>851</v>
      </c>
      <c r="B403" s="81" t="s">
        <v>205</v>
      </c>
      <c r="C403" s="81" t="s">
        <v>220</v>
      </c>
      <c r="D403" s="81" t="s">
        <v>203</v>
      </c>
      <c r="E403" s="81" t="s">
        <v>392</v>
      </c>
      <c r="F403" s="81" t="s">
        <v>138</v>
      </c>
      <c r="G403" s="81" t="s">
        <v>138</v>
      </c>
      <c r="H403" s="81" t="s">
        <v>748</v>
      </c>
      <c r="I403" s="81" t="s">
        <v>205</v>
      </c>
      <c r="J403" s="81" t="s">
        <v>138</v>
      </c>
      <c r="K403" s="81" t="s">
        <v>138</v>
      </c>
      <c r="L403" s="81" t="s">
        <v>138</v>
      </c>
      <c r="M403" s="81" t="s">
        <v>138</v>
      </c>
      <c r="N403" s="81" t="s">
        <v>138</v>
      </c>
      <c r="O403" s="81" t="s">
        <v>138</v>
      </c>
      <c r="P403" s="81" t="s">
        <v>138</v>
      </c>
      <c r="Q403" s="81" t="s">
        <v>138</v>
      </c>
      <c r="R403" s="81" t="s">
        <v>138</v>
      </c>
      <c r="S403" s="81" t="s">
        <v>138</v>
      </c>
      <c r="T403" s="81" t="s">
        <v>138</v>
      </c>
      <c r="U403" s="81" t="s">
        <v>545</v>
      </c>
    </row>
    <row r="404" spans="1:21">
      <c r="A404" s="81" t="s">
        <v>852</v>
      </c>
      <c r="B404" s="81" t="s">
        <v>205</v>
      </c>
      <c r="C404" s="81" t="s">
        <v>220</v>
      </c>
      <c r="D404" s="81" t="s">
        <v>203</v>
      </c>
      <c r="E404" s="81" t="s">
        <v>392</v>
      </c>
      <c r="F404" s="81" t="s">
        <v>138</v>
      </c>
      <c r="G404" s="81" t="s">
        <v>138</v>
      </c>
      <c r="H404" s="81" t="s">
        <v>853</v>
      </c>
      <c r="I404" s="81" t="s">
        <v>776</v>
      </c>
      <c r="J404" s="81" t="s">
        <v>138</v>
      </c>
      <c r="K404" s="81" t="s">
        <v>138</v>
      </c>
      <c r="L404" s="81" t="s">
        <v>813</v>
      </c>
      <c r="M404" s="81" t="s">
        <v>138</v>
      </c>
      <c r="N404" s="81" t="s">
        <v>138</v>
      </c>
      <c r="O404" s="81" t="s">
        <v>138</v>
      </c>
      <c r="P404" s="81" t="s">
        <v>138</v>
      </c>
      <c r="Q404" s="81" t="s">
        <v>138</v>
      </c>
      <c r="R404" s="81" t="s">
        <v>606</v>
      </c>
      <c r="S404" s="81" t="s">
        <v>138</v>
      </c>
      <c r="T404" s="81" t="s">
        <v>138</v>
      </c>
      <c r="U404" s="81" t="s">
        <v>545</v>
      </c>
    </row>
    <row r="405" spans="1:21">
      <c r="A405" s="81" t="s">
        <v>854</v>
      </c>
      <c r="B405" s="81" t="s">
        <v>205</v>
      </c>
      <c r="C405" s="81" t="s">
        <v>220</v>
      </c>
      <c r="D405" s="81" t="s">
        <v>203</v>
      </c>
      <c r="E405" s="81" t="s">
        <v>711</v>
      </c>
      <c r="F405" s="81" t="s">
        <v>138</v>
      </c>
      <c r="G405" s="81" t="s">
        <v>138</v>
      </c>
      <c r="H405" s="81" t="s">
        <v>748</v>
      </c>
      <c r="I405" s="81" t="s">
        <v>205</v>
      </c>
      <c r="J405" s="81" t="s">
        <v>138</v>
      </c>
      <c r="K405" s="81" t="s">
        <v>138</v>
      </c>
      <c r="L405" s="81" t="s">
        <v>138</v>
      </c>
      <c r="M405" s="81" t="s">
        <v>138</v>
      </c>
      <c r="N405" s="81" t="s">
        <v>138</v>
      </c>
      <c r="O405" s="81" t="s">
        <v>138</v>
      </c>
      <c r="P405" s="81" t="s">
        <v>138</v>
      </c>
      <c r="Q405" s="81" t="s">
        <v>138</v>
      </c>
      <c r="R405" s="81" t="s">
        <v>138</v>
      </c>
      <c r="S405" s="81" t="s">
        <v>138</v>
      </c>
      <c r="T405" s="81" t="s">
        <v>138</v>
      </c>
      <c r="U405" s="81" t="s">
        <v>545</v>
      </c>
    </row>
    <row r="406" spans="1:21">
      <c r="A406" s="81" t="s">
        <v>855</v>
      </c>
      <c r="B406" s="81" t="s">
        <v>205</v>
      </c>
      <c r="C406" s="81" t="s">
        <v>220</v>
      </c>
      <c r="D406" s="81" t="s">
        <v>203</v>
      </c>
      <c r="E406" s="81" t="s">
        <v>711</v>
      </c>
      <c r="F406" s="81" t="s">
        <v>138</v>
      </c>
      <c r="G406" s="81" t="s">
        <v>138</v>
      </c>
      <c r="H406" s="81" t="s">
        <v>856</v>
      </c>
      <c r="I406" s="81" t="s">
        <v>776</v>
      </c>
      <c r="J406" s="81" t="s">
        <v>138</v>
      </c>
      <c r="K406" s="81" t="s">
        <v>138</v>
      </c>
      <c r="L406" s="81" t="s">
        <v>366</v>
      </c>
      <c r="M406" s="81" t="s">
        <v>138</v>
      </c>
      <c r="N406" s="81" t="s">
        <v>138</v>
      </c>
      <c r="O406" s="81" t="s">
        <v>138</v>
      </c>
      <c r="P406" s="81" t="s">
        <v>138</v>
      </c>
      <c r="Q406" s="81" t="s">
        <v>138</v>
      </c>
      <c r="R406" s="81" t="s">
        <v>713</v>
      </c>
      <c r="S406" s="81" t="s">
        <v>138</v>
      </c>
      <c r="T406" s="81" t="s">
        <v>138</v>
      </c>
      <c r="U406" s="81" t="s">
        <v>545</v>
      </c>
    </row>
    <row r="407" spans="1:21">
      <c r="A407" s="81" t="s">
        <v>857</v>
      </c>
      <c r="B407" s="81" t="s">
        <v>205</v>
      </c>
      <c r="C407" s="81" t="s">
        <v>220</v>
      </c>
      <c r="D407" s="81" t="s">
        <v>203</v>
      </c>
      <c r="E407" s="81" t="s">
        <v>858</v>
      </c>
      <c r="F407" s="81" t="s">
        <v>138</v>
      </c>
      <c r="G407" s="81" t="s">
        <v>138</v>
      </c>
      <c r="H407" s="81" t="s">
        <v>859</v>
      </c>
      <c r="I407" s="81" t="s">
        <v>745</v>
      </c>
      <c r="J407" s="81" t="s">
        <v>138</v>
      </c>
      <c r="K407" s="81" t="s">
        <v>138</v>
      </c>
      <c r="L407" s="81" t="s">
        <v>138</v>
      </c>
      <c r="M407" s="81" t="s">
        <v>138</v>
      </c>
      <c r="N407" s="81" t="s">
        <v>138</v>
      </c>
      <c r="O407" s="81" t="s">
        <v>138</v>
      </c>
      <c r="P407" s="81" t="s">
        <v>138</v>
      </c>
      <c r="Q407" s="81" t="s">
        <v>138</v>
      </c>
      <c r="R407" s="81" t="s">
        <v>138</v>
      </c>
      <c r="S407" s="81" t="s">
        <v>138</v>
      </c>
      <c r="T407" s="81" t="s">
        <v>138</v>
      </c>
      <c r="U407" s="81" t="s">
        <v>545</v>
      </c>
    </row>
    <row r="408" spans="1:21">
      <c r="A408" s="81" t="s">
        <v>860</v>
      </c>
      <c r="B408" s="81" t="s">
        <v>205</v>
      </c>
      <c r="C408" s="81" t="s">
        <v>220</v>
      </c>
      <c r="D408" s="81" t="s">
        <v>203</v>
      </c>
      <c r="E408" s="81" t="s">
        <v>858</v>
      </c>
      <c r="F408" s="81" t="s">
        <v>138</v>
      </c>
      <c r="G408" s="81" t="s">
        <v>138</v>
      </c>
      <c r="H408" s="81" t="s">
        <v>861</v>
      </c>
      <c r="I408" s="81" t="s">
        <v>776</v>
      </c>
      <c r="J408" s="81" t="s">
        <v>138</v>
      </c>
      <c r="K408" s="81" t="s">
        <v>138</v>
      </c>
      <c r="L408" s="81" t="s">
        <v>138</v>
      </c>
      <c r="M408" s="81" t="s">
        <v>138</v>
      </c>
      <c r="N408" s="81" t="s">
        <v>138</v>
      </c>
      <c r="O408" s="81" t="s">
        <v>138</v>
      </c>
      <c r="P408" s="81" t="s">
        <v>138</v>
      </c>
      <c r="Q408" s="81" t="s">
        <v>138</v>
      </c>
      <c r="R408" s="81" t="s">
        <v>138</v>
      </c>
      <c r="S408" s="81" t="s">
        <v>138</v>
      </c>
      <c r="T408" s="81" t="s">
        <v>138</v>
      </c>
      <c r="U408" s="81" t="s">
        <v>545</v>
      </c>
    </row>
    <row r="409" spans="1:21">
      <c r="A409" s="81" t="s">
        <v>862</v>
      </c>
      <c r="B409" s="81" t="s">
        <v>205</v>
      </c>
      <c r="C409" s="81" t="s">
        <v>220</v>
      </c>
      <c r="D409" s="81" t="s">
        <v>203</v>
      </c>
      <c r="E409" s="81" t="s">
        <v>858</v>
      </c>
      <c r="F409" s="81" t="s">
        <v>138</v>
      </c>
      <c r="G409" s="81" t="s">
        <v>138</v>
      </c>
      <c r="H409" s="81" t="s">
        <v>863</v>
      </c>
      <c r="I409" s="81" t="s">
        <v>205</v>
      </c>
      <c r="J409" s="81" t="s">
        <v>138</v>
      </c>
      <c r="K409" s="81" t="s">
        <v>138</v>
      </c>
      <c r="L409" s="81" t="s">
        <v>138</v>
      </c>
      <c r="M409" s="81" t="s">
        <v>138</v>
      </c>
      <c r="N409" s="81" t="s">
        <v>138</v>
      </c>
      <c r="O409" s="81" t="s">
        <v>138</v>
      </c>
      <c r="P409" s="81" t="s">
        <v>138</v>
      </c>
      <c r="Q409" s="81" t="s">
        <v>138</v>
      </c>
      <c r="R409" s="81" t="s">
        <v>138</v>
      </c>
      <c r="S409" s="81" t="s">
        <v>138</v>
      </c>
      <c r="T409" s="81" t="s">
        <v>138</v>
      </c>
      <c r="U409" s="81" t="s">
        <v>545</v>
      </c>
    </row>
    <row r="410" spans="1:21">
      <c r="A410" s="81" t="s">
        <v>864</v>
      </c>
      <c r="B410" s="81" t="s">
        <v>205</v>
      </c>
      <c r="C410" s="81" t="s">
        <v>220</v>
      </c>
      <c r="D410" s="81" t="s">
        <v>203</v>
      </c>
      <c r="E410" s="81" t="s">
        <v>858</v>
      </c>
      <c r="F410" s="81" t="s">
        <v>138</v>
      </c>
      <c r="G410" s="81" t="s">
        <v>138</v>
      </c>
      <c r="H410" s="81" t="s">
        <v>865</v>
      </c>
      <c r="I410" s="81" t="s">
        <v>776</v>
      </c>
      <c r="J410" s="81" t="s">
        <v>138</v>
      </c>
      <c r="K410" s="81" t="s">
        <v>138</v>
      </c>
      <c r="L410" s="81" t="s">
        <v>138</v>
      </c>
      <c r="M410" s="81" t="s">
        <v>138</v>
      </c>
      <c r="N410" s="81" t="s">
        <v>138</v>
      </c>
      <c r="O410" s="81" t="s">
        <v>138</v>
      </c>
      <c r="P410" s="81" t="s">
        <v>138</v>
      </c>
      <c r="Q410" s="81" t="s">
        <v>138</v>
      </c>
      <c r="R410" s="81" t="s">
        <v>138</v>
      </c>
      <c r="S410" s="81" t="s">
        <v>138</v>
      </c>
      <c r="T410" s="81" t="s">
        <v>138</v>
      </c>
      <c r="U410" s="81" t="s">
        <v>545</v>
      </c>
    </row>
    <row r="411" spans="1:21">
      <c r="A411" s="81" t="s">
        <v>866</v>
      </c>
      <c r="B411" s="81" t="s">
        <v>205</v>
      </c>
      <c r="C411" s="81" t="s">
        <v>220</v>
      </c>
      <c r="D411" s="81" t="s">
        <v>203</v>
      </c>
      <c r="E411" s="81" t="s">
        <v>858</v>
      </c>
      <c r="F411" s="81" t="s">
        <v>138</v>
      </c>
      <c r="G411" s="81" t="s">
        <v>138</v>
      </c>
      <c r="H411" s="81" t="s">
        <v>867</v>
      </c>
      <c r="I411" s="81" t="s">
        <v>205</v>
      </c>
      <c r="J411" s="81" t="s">
        <v>138</v>
      </c>
      <c r="K411" s="81" t="s">
        <v>138</v>
      </c>
      <c r="L411" s="81" t="s">
        <v>138</v>
      </c>
      <c r="M411" s="81" t="s">
        <v>138</v>
      </c>
      <c r="N411" s="81" t="s">
        <v>138</v>
      </c>
      <c r="O411" s="81" t="s">
        <v>138</v>
      </c>
      <c r="P411" s="81" t="s">
        <v>138</v>
      </c>
      <c r="Q411" s="81" t="s">
        <v>138</v>
      </c>
      <c r="R411" s="81" t="s">
        <v>138</v>
      </c>
      <c r="S411" s="81" t="s">
        <v>138</v>
      </c>
      <c r="T411" s="81" t="s">
        <v>138</v>
      </c>
      <c r="U411" s="81" t="s">
        <v>545</v>
      </c>
    </row>
    <row r="412" spans="1:21">
      <c r="A412" s="81" t="s">
        <v>868</v>
      </c>
      <c r="B412" s="81" t="s">
        <v>205</v>
      </c>
      <c r="C412" s="81" t="s">
        <v>220</v>
      </c>
      <c r="D412" s="81" t="s">
        <v>203</v>
      </c>
      <c r="E412" s="81" t="s">
        <v>858</v>
      </c>
      <c r="F412" s="81" t="s">
        <v>138</v>
      </c>
      <c r="G412" s="81" t="s">
        <v>138</v>
      </c>
      <c r="H412" s="81" t="s">
        <v>869</v>
      </c>
      <c r="I412" s="81" t="s">
        <v>756</v>
      </c>
      <c r="J412" s="81" t="s">
        <v>138</v>
      </c>
      <c r="K412" s="81" t="s">
        <v>138</v>
      </c>
      <c r="L412" s="81" t="s">
        <v>138</v>
      </c>
      <c r="M412" s="81" t="s">
        <v>138</v>
      </c>
      <c r="N412" s="81" t="s">
        <v>138</v>
      </c>
      <c r="O412" s="81" t="s">
        <v>138</v>
      </c>
      <c r="P412" s="81" t="s">
        <v>138</v>
      </c>
      <c r="Q412" s="81" t="s">
        <v>138</v>
      </c>
      <c r="R412" s="81" t="s">
        <v>138</v>
      </c>
      <c r="S412" s="81" t="s">
        <v>138</v>
      </c>
      <c r="T412" s="81" t="s">
        <v>138</v>
      </c>
      <c r="U412" s="81" t="s">
        <v>545</v>
      </c>
    </row>
    <row r="413" spans="1:21">
      <c r="A413" s="81" t="s">
        <v>870</v>
      </c>
      <c r="B413" s="81" t="s">
        <v>205</v>
      </c>
      <c r="C413" s="81" t="s">
        <v>220</v>
      </c>
      <c r="D413" s="81" t="s">
        <v>205</v>
      </c>
      <c r="E413" s="81" t="s">
        <v>552</v>
      </c>
      <c r="F413" s="81" t="s">
        <v>138</v>
      </c>
      <c r="G413" s="81" t="s">
        <v>138</v>
      </c>
      <c r="H413" s="81" t="s">
        <v>871</v>
      </c>
      <c r="I413" s="81" t="s">
        <v>776</v>
      </c>
      <c r="J413" s="81" t="s">
        <v>138</v>
      </c>
      <c r="K413" s="81" t="s">
        <v>138</v>
      </c>
      <c r="L413" s="81" t="s">
        <v>138</v>
      </c>
      <c r="M413" s="81" t="s">
        <v>138</v>
      </c>
      <c r="N413" s="81" t="s">
        <v>138</v>
      </c>
      <c r="O413" s="81" t="s">
        <v>138</v>
      </c>
      <c r="P413" s="81" t="s">
        <v>138</v>
      </c>
      <c r="Q413" s="81" t="s">
        <v>138</v>
      </c>
      <c r="R413" s="81" t="s">
        <v>138</v>
      </c>
      <c r="S413" s="81" t="s">
        <v>138</v>
      </c>
      <c r="T413" s="81" t="s">
        <v>138</v>
      </c>
      <c r="U413" s="81" t="s">
        <v>545</v>
      </c>
    </row>
    <row r="414" spans="1:21">
      <c r="A414" s="81" t="s">
        <v>872</v>
      </c>
      <c r="B414" s="81" t="s">
        <v>205</v>
      </c>
      <c r="C414" s="81" t="s">
        <v>220</v>
      </c>
      <c r="D414" s="81" t="s">
        <v>205</v>
      </c>
      <c r="E414" s="81" t="s">
        <v>552</v>
      </c>
      <c r="F414" s="81" t="s">
        <v>138</v>
      </c>
      <c r="G414" s="81" t="s">
        <v>138</v>
      </c>
      <c r="H414" s="81" t="s">
        <v>873</v>
      </c>
      <c r="I414" s="81" t="s">
        <v>776</v>
      </c>
      <c r="J414" s="81" t="s">
        <v>138</v>
      </c>
      <c r="K414" s="81" t="s">
        <v>138</v>
      </c>
      <c r="L414" s="81" t="s">
        <v>138</v>
      </c>
      <c r="M414" s="81" t="s">
        <v>138</v>
      </c>
      <c r="N414" s="81" t="s">
        <v>138</v>
      </c>
      <c r="O414" s="81" t="s">
        <v>138</v>
      </c>
      <c r="P414" s="81" t="s">
        <v>138</v>
      </c>
      <c r="Q414" s="81" t="s">
        <v>138</v>
      </c>
      <c r="R414" s="81" t="s">
        <v>138</v>
      </c>
      <c r="S414" s="81" t="s">
        <v>138</v>
      </c>
      <c r="T414" s="81" t="s">
        <v>138</v>
      </c>
      <c r="U414" s="81" t="s">
        <v>545</v>
      </c>
    </row>
    <row r="415" spans="1:21">
      <c r="A415" s="81" t="s">
        <v>874</v>
      </c>
      <c r="B415" s="81" t="s">
        <v>205</v>
      </c>
      <c r="C415" s="81" t="s">
        <v>220</v>
      </c>
      <c r="D415" s="81" t="s">
        <v>205</v>
      </c>
      <c r="E415" s="81" t="s">
        <v>552</v>
      </c>
      <c r="F415" s="81" t="s">
        <v>138</v>
      </c>
      <c r="G415" s="81" t="s">
        <v>138</v>
      </c>
      <c r="H415" s="81" t="s">
        <v>875</v>
      </c>
      <c r="I415" s="81" t="s">
        <v>776</v>
      </c>
      <c r="J415" s="81" t="s">
        <v>138</v>
      </c>
      <c r="K415" s="81" t="s">
        <v>138</v>
      </c>
      <c r="L415" s="81" t="s">
        <v>138</v>
      </c>
      <c r="M415" s="81" t="s">
        <v>138</v>
      </c>
      <c r="N415" s="81" t="s">
        <v>138</v>
      </c>
      <c r="O415" s="81" t="s">
        <v>138</v>
      </c>
      <c r="P415" s="81" t="s">
        <v>138</v>
      </c>
      <c r="Q415" s="81" t="s">
        <v>138</v>
      </c>
      <c r="R415" s="81" t="s">
        <v>138</v>
      </c>
      <c r="S415" s="81" t="s">
        <v>138</v>
      </c>
      <c r="T415" s="81" t="s">
        <v>138</v>
      </c>
      <c r="U415" s="81" t="s">
        <v>545</v>
      </c>
    </row>
    <row r="416" spans="1:21">
      <c r="A416" s="81" t="s">
        <v>876</v>
      </c>
      <c r="B416" s="81" t="s">
        <v>205</v>
      </c>
      <c r="C416" s="81" t="s">
        <v>220</v>
      </c>
      <c r="D416" s="81" t="s">
        <v>205</v>
      </c>
      <c r="E416" s="81" t="s">
        <v>552</v>
      </c>
      <c r="F416" s="81" t="s">
        <v>138</v>
      </c>
      <c r="G416" s="81" t="s">
        <v>138</v>
      </c>
      <c r="H416" s="81" t="s">
        <v>877</v>
      </c>
      <c r="I416" s="81" t="s">
        <v>756</v>
      </c>
      <c r="J416" s="81" t="s">
        <v>138</v>
      </c>
      <c r="K416" s="81" t="s">
        <v>138</v>
      </c>
      <c r="L416" s="81" t="s">
        <v>138</v>
      </c>
      <c r="M416" s="81" t="s">
        <v>138</v>
      </c>
      <c r="N416" s="81" t="s">
        <v>138</v>
      </c>
      <c r="O416" s="81" t="s">
        <v>138</v>
      </c>
      <c r="P416" s="81" t="s">
        <v>138</v>
      </c>
      <c r="Q416" s="81" t="s">
        <v>138</v>
      </c>
      <c r="R416" s="81" t="s">
        <v>138</v>
      </c>
      <c r="S416" s="81" t="s">
        <v>138</v>
      </c>
      <c r="T416" s="81" t="s">
        <v>138</v>
      </c>
      <c r="U416" s="81" t="s">
        <v>545</v>
      </c>
    </row>
  </sheetData>
  <mergeCells count="1">
    <mergeCell ref="A1:R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6"/>
  <sheetViews>
    <sheetView showGridLines="0" workbookViewId="0">
      <selection activeCell="A1" sqref="A1:L1"/>
    </sheetView>
  </sheetViews>
  <sheetFormatPr defaultColWidth="9" defaultRowHeight="14.5"/>
  <cols>
    <col min="1" max="1" width="25" customWidth="1"/>
    <col min="2" max="2" width="16" customWidth="1"/>
    <col min="3" max="3" width="13" customWidth="1"/>
    <col min="4" max="4" width="14" customWidth="1"/>
    <col min="5" max="5" width="44" customWidth="1"/>
    <col min="6" max="6" width="17" customWidth="1"/>
    <col min="7" max="7" width="12" customWidth="1"/>
    <col min="8" max="8" width="14" customWidth="1"/>
    <col min="9" max="9" width="11" customWidth="1"/>
    <col min="10" max="12" width="10" customWidth="1"/>
  </cols>
  <sheetData>
    <row r="1" ht="21" spans="1:12">
      <c r="A1" s="78" t="s">
        <v>878</v>
      </c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>
      <c r="A3" s="80" t="s">
        <v>879</v>
      </c>
      <c r="B3" s="80" t="s">
        <v>880</v>
      </c>
      <c r="C3" s="80" t="s">
        <v>84</v>
      </c>
      <c r="D3" s="80" t="s">
        <v>92</v>
      </c>
      <c r="E3" s="80" t="s">
        <v>881</v>
      </c>
      <c r="F3" s="80" t="s">
        <v>72</v>
      </c>
      <c r="G3" s="80" t="s">
        <v>76</v>
      </c>
      <c r="H3" s="80" t="s">
        <v>110</v>
      </c>
      <c r="I3" s="80" t="s">
        <v>125</v>
      </c>
      <c r="J3" s="79"/>
      <c r="K3" s="79"/>
      <c r="L3" s="79"/>
    </row>
    <row r="4" spans="1:12">
      <c r="A4" s="81" t="s">
        <v>882</v>
      </c>
      <c r="B4" s="81" t="s">
        <v>85</v>
      </c>
      <c r="C4" s="81" t="s">
        <v>85</v>
      </c>
      <c r="D4" s="81" t="s">
        <v>93</v>
      </c>
      <c r="E4" s="81" t="s">
        <v>883</v>
      </c>
      <c r="F4" s="81" t="s">
        <v>236</v>
      </c>
      <c r="G4" s="81" t="s">
        <v>77</v>
      </c>
      <c r="H4" s="81" t="s">
        <v>884</v>
      </c>
      <c r="I4" s="81" t="s">
        <v>243</v>
      </c>
      <c r="J4" s="79"/>
      <c r="K4" s="79"/>
      <c r="L4" s="79"/>
    </row>
    <row r="5" spans="1:12">
      <c r="A5" s="81" t="s">
        <v>882</v>
      </c>
      <c r="B5" s="81" t="s">
        <v>85</v>
      </c>
      <c r="C5" s="81" t="s">
        <v>85</v>
      </c>
      <c r="D5" s="81" t="s">
        <v>93</v>
      </c>
      <c r="E5" s="81" t="s">
        <v>883</v>
      </c>
      <c r="F5" s="81" t="s">
        <v>244</v>
      </c>
      <c r="G5" s="81" t="s">
        <v>77</v>
      </c>
      <c r="H5" s="81" t="s">
        <v>884</v>
      </c>
      <c r="I5" s="81" t="s">
        <v>243</v>
      </c>
      <c r="J5" s="79"/>
      <c r="K5" s="79"/>
      <c r="L5" s="79"/>
    </row>
    <row r="6" spans="1:12">
      <c r="A6" s="81" t="s">
        <v>882</v>
      </c>
      <c r="B6" s="81" t="s">
        <v>85</v>
      </c>
      <c r="C6" s="81" t="s">
        <v>85</v>
      </c>
      <c r="D6" s="81" t="s">
        <v>93</v>
      </c>
      <c r="E6" s="81" t="s">
        <v>883</v>
      </c>
      <c r="F6" s="81" t="s">
        <v>247</v>
      </c>
      <c r="G6" s="81" t="s">
        <v>77</v>
      </c>
      <c r="H6" s="81" t="s">
        <v>884</v>
      </c>
      <c r="I6" s="81" t="s">
        <v>243</v>
      </c>
      <c r="J6" s="79"/>
      <c r="K6" s="79"/>
      <c r="L6" s="79"/>
    </row>
    <row r="7" spans="1:12">
      <c r="A7" s="81" t="s">
        <v>882</v>
      </c>
      <c r="B7" s="81" t="s">
        <v>85</v>
      </c>
      <c r="C7" s="81" t="s">
        <v>85</v>
      </c>
      <c r="D7" s="81" t="s">
        <v>93</v>
      </c>
      <c r="E7" s="81" t="s">
        <v>883</v>
      </c>
      <c r="F7" s="81" t="s">
        <v>250</v>
      </c>
      <c r="G7" s="81" t="s">
        <v>77</v>
      </c>
      <c r="H7" s="81" t="s">
        <v>884</v>
      </c>
      <c r="I7" s="81" t="s">
        <v>243</v>
      </c>
      <c r="J7" s="79"/>
      <c r="K7" s="79"/>
      <c r="L7" s="79"/>
    </row>
    <row r="8" spans="1:12">
      <c r="A8" s="81" t="s">
        <v>882</v>
      </c>
      <c r="B8" s="81" t="s">
        <v>85</v>
      </c>
      <c r="C8" s="81" t="s">
        <v>85</v>
      </c>
      <c r="D8" s="81" t="s">
        <v>93</v>
      </c>
      <c r="E8" s="81" t="s">
        <v>883</v>
      </c>
      <c r="F8" s="81" t="s">
        <v>255</v>
      </c>
      <c r="G8" s="81" t="s">
        <v>77</v>
      </c>
      <c r="H8" s="81" t="s">
        <v>884</v>
      </c>
      <c r="I8" s="81" t="s">
        <v>243</v>
      </c>
      <c r="J8" s="79"/>
      <c r="K8" s="79"/>
      <c r="L8" s="79"/>
    </row>
    <row r="9" spans="1:12">
      <c r="A9" s="81" t="s">
        <v>882</v>
      </c>
      <c r="B9" s="81" t="s">
        <v>85</v>
      </c>
      <c r="C9" s="81" t="s">
        <v>85</v>
      </c>
      <c r="D9" s="81" t="s">
        <v>93</v>
      </c>
      <c r="E9" s="81" t="s">
        <v>883</v>
      </c>
      <c r="F9" s="81" t="s">
        <v>258</v>
      </c>
      <c r="G9" s="81" t="s">
        <v>77</v>
      </c>
      <c r="H9" s="81" t="s">
        <v>884</v>
      </c>
      <c r="I9" s="81" t="s">
        <v>243</v>
      </c>
      <c r="J9" s="79"/>
      <c r="K9" s="79"/>
      <c r="L9" s="79"/>
    </row>
    <row r="10" spans="1:12">
      <c r="A10" s="81" t="s">
        <v>882</v>
      </c>
      <c r="B10" s="81" t="s">
        <v>85</v>
      </c>
      <c r="C10" s="81" t="s">
        <v>85</v>
      </c>
      <c r="D10" s="81" t="s">
        <v>93</v>
      </c>
      <c r="E10" s="81" t="s">
        <v>885</v>
      </c>
      <c r="F10" s="81" t="s">
        <v>259</v>
      </c>
      <c r="G10" s="81" t="s">
        <v>77</v>
      </c>
      <c r="H10" s="81" t="s">
        <v>884</v>
      </c>
      <c r="I10" s="81" t="s">
        <v>243</v>
      </c>
      <c r="J10" s="79"/>
      <c r="K10" s="79"/>
      <c r="L10" s="79"/>
    </row>
    <row r="11" spans="1:12">
      <c r="A11" s="81" t="s">
        <v>882</v>
      </c>
      <c r="B11" s="81" t="s">
        <v>85</v>
      </c>
      <c r="C11" s="81" t="s">
        <v>85</v>
      </c>
      <c r="D11" s="81" t="s">
        <v>93</v>
      </c>
      <c r="E11" s="81" t="s">
        <v>885</v>
      </c>
      <c r="F11" s="81" t="s">
        <v>261</v>
      </c>
      <c r="G11" s="81" t="s">
        <v>77</v>
      </c>
      <c r="H11" s="81" t="s">
        <v>884</v>
      </c>
      <c r="I11" s="81" t="s">
        <v>243</v>
      </c>
      <c r="J11" s="79"/>
      <c r="K11" s="79"/>
      <c r="L11" s="79"/>
    </row>
    <row r="12" spans="1:12">
      <c r="A12" s="81" t="s">
        <v>882</v>
      </c>
      <c r="B12" s="81" t="s">
        <v>85</v>
      </c>
      <c r="C12" s="81" t="s">
        <v>85</v>
      </c>
      <c r="D12" s="81" t="s">
        <v>93</v>
      </c>
      <c r="E12" s="81" t="s">
        <v>885</v>
      </c>
      <c r="F12" s="81" t="s">
        <v>262</v>
      </c>
      <c r="G12" s="81" t="s">
        <v>77</v>
      </c>
      <c r="H12" s="81" t="s">
        <v>884</v>
      </c>
      <c r="I12" s="81" t="s">
        <v>243</v>
      </c>
      <c r="J12" s="79"/>
      <c r="K12" s="79"/>
      <c r="L12" s="79"/>
    </row>
    <row r="13" spans="1:12">
      <c r="A13" s="81" t="s">
        <v>882</v>
      </c>
      <c r="B13" s="81" t="s">
        <v>85</v>
      </c>
      <c r="C13" s="81" t="s">
        <v>85</v>
      </c>
      <c r="D13" s="81" t="s">
        <v>93</v>
      </c>
      <c r="E13" s="81" t="s">
        <v>885</v>
      </c>
      <c r="F13" s="81" t="s">
        <v>263</v>
      </c>
      <c r="G13" s="81" t="s">
        <v>77</v>
      </c>
      <c r="H13" s="81" t="s">
        <v>884</v>
      </c>
      <c r="I13" s="81" t="s">
        <v>243</v>
      </c>
      <c r="J13" s="79"/>
      <c r="K13" s="79"/>
      <c r="L13" s="79"/>
    </row>
    <row r="14" spans="1:12">
      <c r="A14" s="81" t="s">
        <v>882</v>
      </c>
      <c r="B14" s="81" t="s">
        <v>85</v>
      </c>
      <c r="C14" s="81" t="s">
        <v>85</v>
      </c>
      <c r="D14" s="81" t="s">
        <v>93</v>
      </c>
      <c r="E14" s="81" t="s">
        <v>885</v>
      </c>
      <c r="F14" s="81" t="s">
        <v>264</v>
      </c>
      <c r="G14" s="81" t="s">
        <v>77</v>
      </c>
      <c r="H14" s="81" t="s">
        <v>884</v>
      </c>
      <c r="I14" s="81" t="s">
        <v>243</v>
      </c>
      <c r="J14" s="79"/>
      <c r="K14" s="79"/>
      <c r="L14" s="79"/>
    </row>
    <row r="15" spans="1:12">
      <c r="A15" s="81" t="s">
        <v>882</v>
      </c>
      <c r="B15" s="81" t="s">
        <v>85</v>
      </c>
      <c r="C15" s="81" t="s">
        <v>85</v>
      </c>
      <c r="D15" s="81" t="s">
        <v>93</v>
      </c>
      <c r="E15" s="81" t="s">
        <v>885</v>
      </c>
      <c r="F15" s="81" t="s">
        <v>265</v>
      </c>
      <c r="G15" s="81" t="s">
        <v>77</v>
      </c>
      <c r="H15" s="81" t="s">
        <v>884</v>
      </c>
      <c r="I15" s="81" t="s">
        <v>243</v>
      </c>
      <c r="J15" s="79"/>
      <c r="K15" s="79"/>
      <c r="L15" s="79"/>
    </row>
    <row r="16" spans="1:12">
      <c r="A16" s="81" t="s">
        <v>882</v>
      </c>
      <c r="B16" s="81" t="s">
        <v>85</v>
      </c>
      <c r="C16" s="81" t="s">
        <v>85</v>
      </c>
      <c r="D16" s="81" t="s">
        <v>93</v>
      </c>
      <c r="E16" s="81" t="s">
        <v>885</v>
      </c>
      <c r="F16" s="81" t="s">
        <v>266</v>
      </c>
      <c r="G16" s="81" t="s">
        <v>77</v>
      </c>
      <c r="H16" s="81" t="s">
        <v>884</v>
      </c>
      <c r="I16" s="81" t="s">
        <v>243</v>
      </c>
      <c r="J16" s="79"/>
      <c r="K16" s="79"/>
      <c r="L16" s="79"/>
    </row>
    <row r="17" spans="1:12">
      <c r="A17" s="81" t="s">
        <v>882</v>
      </c>
      <c r="B17" s="81" t="s">
        <v>85</v>
      </c>
      <c r="C17" s="81" t="s">
        <v>85</v>
      </c>
      <c r="D17" s="81" t="s">
        <v>93</v>
      </c>
      <c r="E17" s="81" t="s">
        <v>885</v>
      </c>
      <c r="F17" s="81" t="s">
        <v>268</v>
      </c>
      <c r="G17" s="81" t="s">
        <v>77</v>
      </c>
      <c r="H17" s="81" t="s">
        <v>884</v>
      </c>
      <c r="I17" s="81" t="s">
        <v>243</v>
      </c>
      <c r="J17" s="79"/>
      <c r="K17" s="79"/>
      <c r="L17" s="79"/>
    </row>
    <row r="18" spans="1:12">
      <c r="A18" s="81" t="s">
        <v>882</v>
      </c>
      <c r="B18" s="81" t="s">
        <v>85</v>
      </c>
      <c r="C18" s="81" t="s">
        <v>85</v>
      </c>
      <c r="D18" s="81" t="s">
        <v>93</v>
      </c>
      <c r="E18" s="81" t="s">
        <v>885</v>
      </c>
      <c r="F18" s="81" t="s">
        <v>269</v>
      </c>
      <c r="G18" s="81" t="s">
        <v>77</v>
      </c>
      <c r="H18" s="81" t="s">
        <v>884</v>
      </c>
      <c r="I18" s="81" t="s">
        <v>243</v>
      </c>
      <c r="J18" s="79"/>
      <c r="K18" s="79"/>
      <c r="L18" s="79"/>
    </row>
    <row r="19" spans="1:12">
      <c r="A19" s="81" t="s">
        <v>882</v>
      </c>
      <c r="B19" s="81" t="s">
        <v>85</v>
      </c>
      <c r="C19" s="81" t="s">
        <v>85</v>
      </c>
      <c r="D19" s="81" t="s">
        <v>93</v>
      </c>
      <c r="E19" s="81" t="s">
        <v>885</v>
      </c>
      <c r="F19" s="81" t="s">
        <v>270</v>
      </c>
      <c r="G19" s="81" t="s">
        <v>77</v>
      </c>
      <c r="H19" s="81" t="s">
        <v>884</v>
      </c>
      <c r="I19" s="81" t="s">
        <v>243</v>
      </c>
      <c r="J19" s="79"/>
      <c r="K19" s="79"/>
      <c r="L19" s="79"/>
    </row>
    <row r="20" spans="1:12">
      <c r="A20" s="81" t="s">
        <v>882</v>
      </c>
      <c r="B20" s="81" t="s">
        <v>85</v>
      </c>
      <c r="C20" s="81" t="s">
        <v>85</v>
      </c>
      <c r="D20" s="81" t="s">
        <v>93</v>
      </c>
      <c r="E20" s="81" t="s">
        <v>885</v>
      </c>
      <c r="F20" s="81" t="s">
        <v>271</v>
      </c>
      <c r="G20" s="81" t="s">
        <v>77</v>
      </c>
      <c r="H20" s="81" t="s">
        <v>884</v>
      </c>
      <c r="I20" s="81" t="s">
        <v>243</v>
      </c>
      <c r="J20" s="79"/>
      <c r="K20" s="79"/>
      <c r="L20" s="79"/>
    </row>
    <row r="21" spans="1:12">
      <c r="A21" s="81" t="s">
        <v>882</v>
      </c>
      <c r="B21" s="81" t="s">
        <v>85</v>
      </c>
      <c r="C21" s="81" t="s">
        <v>85</v>
      </c>
      <c r="D21" s="81" t="s">
        <v>93</v>
      </c>
      <c r="E21" s="81" t="s">
        <v>885</v>
      </c>
      <c r="F21" s="81" t="s">
        <v>272</v>
      </c>
      <c r="G21" s="81" t="s">
        <v>77</v>
      </c>
      <c r="H21" s="81" t="s">
        <v>884</v>
      </c>
      <c r="I21" s="81" t="s">
        <v>243</v>
      </c>
      <c r="J21" s="79"/>
      <c r="K21" s="79"/>
      <c r="L21" s="79"/>
    </row>
    <row r="22" spans="1:12">
      <c r="A22" s="81" t="s">
        <v>882</v>
      </c>
      <c r="B22" s="81" t="s">
        <v>85</v>
      </c>
      <c r="C22" s="81" t="s">
        <v>85</v>
      </c>
      <c r="D22" s="81" t="s">
        <v>93</v>
      </c>
      <c r="E22" s="81" t="s">
        <v>885</v>
      </c>
      <c r="F22" s="81" t="s">
        <v>273</v>
      </c>
      <c r="G22" s="81" t="s">
        <v>77</v>
      </c>
      <c r="H22" s="81" t="s">
        <v>884</v>
      </c>
      <c r="I22" s="81" t="s">
        <v>243</v>
      </c>
      <c r="J22" s="79"/>
      <c r="K22" s="79"/>
      <c r="L22" s="79"/>
    </row>
    <row r="23" spans="1:12">
      <c r="A23" s="81" t="s">
        <v>882</v>
      </c>
      <c r="B23" s="81" t="s">
        <v>85</v>
      </c>
      <c r="C23" s="81" t="s">
        <v>85</v>
      </c>
      <c r="D23" s="81" t="s">
        <v>93</v>
      </c>
      <c r="E23" s="81" t="s">
        <v>885</v>
      </c>
      <c r="F23" s="81" t="s">
        <v>277</v>
      </c>
      <c r="G23" s="81" t="s">
        <v>77</v>
      </c>
      <c r="H23" s="81" t="s">
        <v>884</v>
      </c>
      <c r="I23" s="81" t="s">
        <v>243</v>
      </c>
      <c r="J23" s="79"/>
      <c r="K23" s="79"/>
      <c r="L23" s="79"/>
    </row>
    <row r="24" spans="1:12">
      <c r="A24" s="81" t="s">
        <v>882</v>
      </c>
      <c r="B24" s="81" t="s">
        <v>85</v>
      </c>
      <c r="C24" s="81" t="s">
        <v>85</v>
      </c>
      <c r="D24" s="81" t="s">
        <v>93</v>
      </c>
      <c r="E24" s="81" t="s">
        <v>885</v>
      </c>
      <c r="F24" s="81" t="s">
        <v>279</v>
      </c>
      <c r="G24" s="81" t="s">
        <v>77</v>
      </c>
      <c r="H24" s="81" t="s">
        <v>884</v>
      </c>
      <c r="I24" s="81" t="s">
        <v>243</v>
      </c>
      <c r="J24" s="79"/>
      <c r="K24" s="79"/>
      <c r="L24" s="79"/>
    </row>
    <row r="25" spans="1:12">
      <c r="A25" s="81" t="s">
        <v>882</v>
      </c>
      <c r="B25" s="81" t="s">
        <v>85</v>
      </c>
      <c r="C25" s="81" t="s">
        <v>85</v>
      </c>
      <c r="D25" s="81" t="s">
        <v>93</v>
      </c>
      <c r="E25" s="81" t="s">
        <v>885</v>
      </c>
      <c r="F25" s="81" t="s">
        <v>280</v>
      </c>
      <c r="G25" s="81" t="s">
        <v>77</v>
      </c>
      <c r="H25" s="81" t="s">
        <v>884</v>
      </c>
      <c r="I25" s="81" t="s">
        <v>243</v>
      </c>
      <c r="J25" s="79"/>
      <c r="K25" s="79"/>
      <c r="L25" s="79"/>
    </row>
    <row r="26" spans="1:12">
      <c r="A26" s="81" t="s">
        <v>882</v>
      </c>
      <c r="B26" s="81" t="s">
        <v>85</v>
      </c>
      <c r="C26" s="81" t="s">
        <v>85</v>
      </c>
      <c r="D26" s="81" t="s">
        <v>93</v>
      </c>
      <c r="E26" s="81" t="s">
        <v>885</v>
      </c>
      <c r="F26" s="81" t="s">
        <v>281</v>
      </c>
      <c r="G26" s="81" t="s">
        <v>77</v>
      </c>
      <c r="H26" s="81" t="s">
        <v>884</v>
      </c>
      <c r="I26" s="81" t="s">
        <v>243</v>
      </c>
      <c r="J26" s="79"/>
      <c r="K26" s="79"/>
      <c r="L26" s="79"/>
    </row>
    <row r="27" spans="1:12">
      <c r="A27" s="81" t="s">
        <v>882</v>
      </c>
      <c r="B27" s="81" t="s">
        <v>85</v>
      </c>
      <c r="C27" s="81" t="s">
        <v>85</v>
      </c>
      <c r="D27" s="81" t="s">
        <v>93</v>
      </c>
      <c r="E27" s="81" t="s">
        <v>885</v>
      </c>
      <c r="F27" s="81" t="s">
        <v>282</v>
      </c>
      <c r="G27" s="81" t="s">
        <v>77</v>
      </c>
      <c r="H27" s="81" t="s">
        <v>884</v>
      </c>
      <c r="I27" s="81" t="s">
        <v>243</v>
      </c>
      <c r="J27" s="79"/>
      <c r="K27" s="79"/>
      <c r="L27" s="79"/>
    </row>
    <row r="28" spans="1:12">
      <c r="A28" s="81" t="s">
        <v>882</v>
      </c>
      <c r="B28" s="81" t="s">
        <v>85</v>
      </c>
      <c r="C28" s="81" t="s">
        <v>85</v>
      </c>
      <c r="D28" s="81" t="s">
        <v>93</v>
      </c>
      <c r="E28" s="81" t="s">
        <v>885</v>
      </c>
      <c r="F28" s="81" t="s">
        <v>283</v>
      </c>
      <c r="G28" s="81" t="s">
        <v>77</v>
      </c>
      <c r="H28" s="81" t="s">
        <v>884</v>
      </c>
      <c r="I28" s="81" t="s">
        <v>243</v>
      </c>
      <c r="J28" s="79"/>
      <c r="K28" s="79"/>
      <c r="L28" s="79"/>
    </row>
    <row r="29" spans="1:12">
      <c r="A29" s="81" t="s">
        <v>882</v>
      </c>
      <c r="B29" s="81" t="s">
        <v>85</v>
      </c>
      <c r="C29" s="81" t="s">
        <v>85</v>
      </c>
      <c r="D29" s="81" t="s">
        <v>93</v>
      </c>
      <c r="E29" s="81" t="s">
        <v>885</v>
      </c>
      <c r="F29" s="81" t="s">
        <v>284</v>
      </c>
      <c r="G29" s="81" t="s">
        <v>77</v>
      </c>
      <c r="H29" s="81" t="s">
        <v>884</v>
      </c>
      <c r="I29" s="81" t="s">
        <v>243</v>
      </c>
      <c r="J29" s="79"/>
      <c r="K29" s="79"/>
      <c r="L29" s="79"/>
    </row>
    <row r="30" spans="1:12">
      <c r="A30" s="81" t="s">
        <v>882</v>
      </c>
      <c r="B30" s="81" t="s">
        <v>85</v>
      </c>
      <c r="C30" s="81" t="s">
        <v>85</v>
      </c>
      <c r="D30" s="81" t="s">
        <v>93</v>
      </c>
      <c r="E30" s="81" t="s">
        <v>885</v>
      </c>
      <c r="F30" s="81" t="s">
        <v>287</v>
      </c>
      <c r="G30" s="81" t="s">
        <v>77</v>
      </c>
      <c r="H30" s="81" t="s">
        <v>884</v>
      </c>
      <c r="I30" s="81" t="s">
        <v>243</v>
      </c>
      <c r="J30" s="79"/>
      <c r="K30" s="79"/>
      <c r="L30" s="79"/>
    </row>
    <row r="31" spans="1:12">
      <c r="A31" s="81" t="s">
        <v>882</v>
      </c>
      <c r="B31" s="81" t="s">
        <v>85</v>
      </c>
      <c r="C31" s="81" t="s">
        <v>85</v>
      </c>
      <c r="D31" s="81" t="s">
        <v>93</v>
      </c>
      <c r="E31" s="81" t="s">
        <v>885</v>
      </c>
      <c r="F31" s="81" t="s">
        <v>288</v>
      </c>
      <c r="G31" s="81" t="s">
        <v>77</v>
      </c>
      <c r="H31" s="81" t="s">
        <v>884</v>
      </c>
      <c r="I31" s="81" t="s">
        <v>243</v>
      </c>
      <c r="J31" s="79"/>
      <c r="K31" s="79"/>
      <c r="L31" s="79"/>
    </row>
    <row r="32" spans="1:12">
      <c r="A32" s="81" t="s">
        <v>882</v>
      </c>
      <c r="B32" s="81" t="s">
        <v>85</v>
      </c>
      <c r="C32" s="81" t="s">
        <v>85</v>
      </c>
      <c r="D32" s="81" t="s">
        <v>93</v>
      </c>
      <c r="E32" s="81" t="s">
        <v>885</v>
      </c>
      <c r="F32" s="81" t="s">
        <v>289</v>
      </c>
      <c r="G32" s="81" t="s">
        <v>77</v>
      </c>
      <c r="H32" s="81" t="s">
        <v>884</v>
      </c>
      <c r="I32" s="81" t="s">
        <v>243</v>
      </c>
      <c r="J32" s="79"/>
      <c r="K32" s="79"/>
      <c r="L32" s="79"/>
    </row>
    <row r="33" spans="1:12">
      <c r="A33" s="81" t="s">
        <v>882</v>
      </c>
      <c r="B33" s="81" t="s">
        <v>85</v>
      </c>
      <c r="C33" s="81" t="s">
        <v>85</v>
      </c>
      <c r="D33" s="81" t="s">
        <v>93</v>
      </c>
      <c r="E33" s="81" t="s">
        <v>885</v>
      </c>
      <c r="F33" s="81" t="s">
        <v>290</v>
      </c>
      <c r="G33" s="81" t="s">
        <v>77</v>
      </c>
      <c r="H33" s="81" t="s">
        <v>884</v>
      </c>
      <c r="I33" s="81" t="s">
        <v>243</v>
      </c>
      <c r="J33" s="79"/>
      <c r="K33" s="79"/>
      <c r="L33" s="79"/>
    </row>
    <row r="34" spans="1:12">
      <c r="A34" s="81" t="s">
        <v>882</v>
      </c>
      <c r="B34" s="81" t="s">
        <v>85</v>
      </c>
      <c r="C34" s="81" t="s">
        <v>85</v>
      </c>
      <c r="D34" s="81" t="s">
        <v>93</v>
      </c>
      <c r="E34" s="81" t="s">
        <v>885</v>
      </c>
      <c r="F34" s="81" t="s">
        <v>292</v>
      </c>
      <c r="G34" s="81" t="s">
        <v>77</v>
      </c>
      <c r="H34" s="81" t="s">
        <v>884</v>
      </c>
      <c r="I34" s="81" t="s">
        <v>243</v>
      </c>
      <c r="J34" s="79"/>
      <c r="K34" s="79"/>
      <c r="L34" s="79"/>
    </row>
    <row r="35" spans="1:12">
      <c r="A35" s="81" t="s">
        <v>882</v>
      </c>
      <c r="B35" s="81" t="s">
        <v>85</v>
      </c>
      <c r="C35" s="81" t="s">
        <v>85</v>
      </c>
      <c r="D35" s="81" t="s">
        <v>93</v>
      </c>
      <c r="E35" s="81" t="s">
        <v>885</v>
      </c>
      <c r="F35" s="81" t="s">
        <v>293</v>
      </c>
      <c r="G35" s="81" t="s">
        <v>77</v>
      </c>
      <c r="H35" s="81" t="s">
        <v>884</v>
      </c>
      <c r="I35" s="81" t="s">
        <v>243</v>
      </c>
      <c r="J35" s="79"/>
      <c r="K35" s="79"/>
      <c r="L35" s="79"/>
    </row>
    <row r="36" spans="1:12">
      <c r="A36" s="81" t="s">
        <v>882</v>
      </c>
      <c r="B36" s="81" t="s">
        <v>85</v>
      </c>
      <c r="C36" s="81" t="s">
        <v>85</v>
      </c>
      <c r="D36" s="81" t="s">
        <v>93</v>
      </c>
      <c r="E36" s="81" t="s">
        <v>885</v>
      </c>
      <c r="F36" s="81" t="s">
        <v>294</v>
      </c>
      <c r="G36" s="81" t="s">
        <v>77</v>
      </c>
      <c r="H36" s="81" t="s">
        <v>884</v>
      </c>
      <c r="I36" s="81" t="s">
        <v>243</v>
      </c>
      <c r="J36" s="79"/>
      <c r="K36" s="79"/>
      <c r="L36" s="79"/>
    </row>
    <row r="37" spans="1:12">
      <c r="A37" s="81" t="s">
        <v>882</v>
      </c>
      <c r="B37" s="81" t="s">
        <v>85</v>
      </c>
      <c r="C37" s="81" t="s">
        <v>85</v>
      </c>
      <c r="D37" s="81" t="s">
        <v>93</v>
      </c>
      <c r="E37" s="81" t="s">
        <v>885</v>
      </c>
      <c r="F37" s="81" t="s">
        <v>295</v>
      </c>
      <c r="G37" s="81" t="s">
        <v>77</v>
      </c>
      <c r="H37" s="81" t="s">
        <v>884</v>
      </c>
      <c r="I37" s="81" t="s">
        <v>243</v>
      </c>
      <c r="J37" s="79"/>
      <c r="K37" s="79"/>
      <c r="L37" s="79"/>
    </row>
    <row r="38" spans="1:12">
      <c r="A38" s="81" t="s">
        <v>882</v>
      </c>
      <c r="B38" s="81" t="s">
        <v>85</v>
      </c>
      <c r="C38" s="81" t="s">
        <v>85</v>
      </c>
      <c r="D38" s="81" t="s">
        <v>93</v>
      </c>
      <c r="E38" s="81" t="s">
        <v>885</v>
      </c>
      <c r="F38" s="81" t="s">
        <v>296</v>
      </c>
      <c r="G38" s="81" t="s">
        <v>77</v>
      </c>
      <c r="H38" s="81" t="s">
        <v>884</v>
      </c>
      <c r="I38" s="81" t="s">
        <v>243</v>
      </c>
      <c r="J38" s="79"/>
      <c r="K38" s="79"/>
      <c r="L38" s="79"/>
    </row>
    <row r="39" spans="1:12">
      <c r="A39" s="81" t="s">
        <v>882</v>
      </c>
      <c r="B39" s="81" t="s">
        <v>85</v>
      </c>
      <c r="C39" s="81" t="s">
        <v>85</v>
      </c>
      <c r="D39" s="81" t="s">
        <v>93</v>
      </c>
      <c r="E39" s="81" t="s">
        <v>885</v>
      </c>
      <c r="F39" s="81" t="s">
        <v>299</v>
      </c>
      <c r="G39" s="81" t="s">
        <v>77</v>
      </c>
      <c r="H39" s="81" t="s">
        <v>884</v>
      </c>
      <c r="I39" s="81" t="s">
        <v>243</v>
      </c>
      <c r="J39" s="79"/>
      <c r="K39" s="79"/>
      <c r="L39" s="79"/>
    </row>
    <row r="40" spans="1:12">
      <c r="A40" s="81" t="s">
        <v>882</v>
      </c>
      <c r="B40" s="81" t="s">
        <v>85</v>
      </c>
      <c r="C40" s="81" t="s">
        <v>85</v>
      </c>
      <c r="D40" s="81" t="s">
        <v>93</v>
      </c>
      <c r="E40" s="81" t="s">
        <v>885</v>
      </c>
      <c r="F40" s="81" t="s">
        <v>300</v>
      </c>
      <c r="G40" s="81" t="s">
        <v>77</v>
      </c>
      <c r="H40" s="81" t="s">
        <v>884</v>
      </c>
      <c r="I40" s="81" t="s">
        <v>243</v>
      </c>
      <c r="J40" s="79"/>
      <c r="K40" s="79"/>
      <c r="L40" s="79"/>
    </row>
    <row r="41" spans="1:12">
      <c r="A41" s="81" t="s">
        <v>882</v>
      </c>
      <c r="B41" s="81" t="s">
        <v>85</v>
      </c>
      <c r="C41" s="81" t="s">
        <v>85</v>
      </c>
      <c r="D41" s="81" t="s">
        <v>93</v>
      </c>
      <c r="E41" s="81" t="s">
        <v>885</v>
      </c>
      <c r="F41" s="81" t="s">
        <v>301</v>
      </c>
      <c r="G41" s="81" t="s">
        <v>77</v>
      </c>
      <c r="H41" s="81" t="s">
        <v>884</v>
      </c>
      <c r="I41" s="81" t="s">
        <v>243</v>
      </c>
      <c r="J41" s="79"/>
      <c r="K41" s="79"/>
      <c r="L41" s="79"/>
    </row>
    <row r="42" spans="1:12">
      <c r="A42" s="81" t="s">
        <v>882</v>
      </c>
      <c r="B42" s="81" t="s">
        <v>85</v>
      </c>
      <c r="C42" s="81" t="s">
        <v>85</v>
      </c>
      <c r="D42" s="81" t="s">
        <v>93</v>
      </c>
      <c r="E42" s="81" t="s">
        <v>885</v>
      </c>
      <c r="F42" s="81" t="s">
        <v>302</v>
      </c>
      <c r="G42" s="81" t="s">
        <v>77</v>
      </c>
      <c r="H42" s="81" t="s">
        <v>884</v>
      </c>
      <c r="I42" s="81" t="s">
        <v>243</v>
      </c>
      <c r="J42" s="79"/>
      <c r="K42" s="79"/>
      <c r="L42" s="79"/>
    </row>
    <row r="43" spans="1:12">
      <c r="A43" s="81" t="s">
        <v>882</v>
      </c>
      <c r="B43" s="81" t="s">
        <v>85</v>
      </c>
      <c r="C43" s="81" t="s">
        <v>85</v>
      </c>
      <c r="D43" s="81" t="s">
        <v>93</v>
      </c>
      <c r="E43" s="81" t="s">
        <v>885</v>
      </c>
      <c r="F43" s="81" t="s">
        <v>303</v>
      </c>
      <c r="G43" s="81" t="s">
        <v>77</v>
      </c>
      <c r="H43" s="81" t="s">
        <v>884</v>
      </c>
      <c r="I43" s="81" t="s">
        <v>243</v>
      </c>
      <c r="J43" s="79"/>
      <c r="K43" s="79"/>
      <c r="L43" s="79"/>
    </row>
    <row r="44" spans="1:12">
      <c r="A44" s="81" t="s">
        <v>882</v>
      </c>
      <c r="B44" s="81" t="s">
        <v>85</v>
      </c>
      <c r="C44" s="81" t="s">
        <v>85</v>
      </c>
      <c r="D44" s="81" t="s">
        <v>93</v>
      </c>
      <c r="E44" s="81" t="s">
        <v>883</v>
      </c>
      <c r="F44" s="81" t="s">
        <v>304</v>
      </c>
      <c r="G44" s="81" t="s">
        <v>77</v>
      </c>
      <c r="H44" s="81" t="s">
        <v>884</v>
      </c>
      <c r="I44" s="81" t="s">
        <v>243</v>
      </c>
      <c r="J44" s="79"/>
      <c r="K44" s="79"/>
      <c r="L44" s="79"/>
    </row>
    <row r="45" spans="1:12">
      <c r="A45" s="81" t="s">
        <v>882</v>
      </c>
      <c r="B45" s="81" t="s">
        <v>85</v>
      </c>
      <c r="C45" s="81" t="s">
        <v>85</v>
      </c>
      <c r="D45" s="81" t="s">
        <v>93</v>
      </c>
      <c r="E45" s="81" t="s">
        <v>883</v>
      </c>
      <c r="F45" s="81" t="s">
        <v>306</v>
      </c>
      <c r="G45" s="81" t="s">
        <v>77</v>
      </c>
      <c r="H45" s="81" t="s">
        <v>884</v>
      </c>
      <c r="I45" s="81" t="s">
        <v>243</v>
      </c>
      <c r="J45" s="79"/>
      <c r="K45" s="79"/>
      <c r="L45" s="79"/>
    </row>
    <row r="46" spans="1:12">
      <c r="A46" s="81" t="s">
        <v>882</v>
      </c>
      <c r="B46" s="81" t="s">
        <v>85</v>
      </c>
      <c r="C46" s="81" t="s">
        <v>85</v>
      </c>
      <c r="D46" s="81" t="s">
        <v>93</v>
      </c>
      <c r="E46" s="81" t="s">
        <v>883</v>
      </c>
      <c r="F46" s="81" t="s">
        <v>307</v>
      </c>
      <c r="G46" s="81" t="s">
        <v>77</v>
      </c>
      <c r="H46" s="81" t="s">
        <v>884</v>
      </c>
      <c r="I46" s="81" t="s">
        <v>243</v>
      </c>
      <c r="J46" s="79"/>
      <c r="K46" s="79"/>
      <c r="L46" s="79"/>
    </row>
    <row r="47" spans="1:12">
      <c r="A47" s="81" t="s">
        <v>882</v>
      </c>
      <c r="B47" s="81" t="s">
        <v>85</v>
      </c>
      <c r="C47" s="81" t="s">
        <v>85</v>
      </c>
      <c r="D47" s="81" t="s">
        <v>93</v>
      </c>
      <c r="E47" s="81" t="s">
        <v>883</v>
      </c>
      <c r="F47" s="81" t="s">
        <v>308</v>
      </c>
      <c r="G47" s="81" t="s">
        <v>77</v>
      </c>
      <c r="H47" s="81" t="s">
        <v>884</v>
      </c>
      <c r="I47" s="81" t="s">
        <v>243</v>
      </c>
      <c r="J47" s="79"/>
      <c r="K47" s="79"/>
      <c r="L47" s="79"/>
    </row>
    <row r="48" spans="1:12">
      <c r="A48" s="81" t="s">
        <v>882</v>
      </c>
      <c r="B48" s="81" t="s">
        <v>85</v>
      </c>
      <c r="C48" s="81" t="s">
        <v>85</v>
      </c>
      <c r="D48" s="81" t="s">
        <v>93</v>
      </c>
      <c r="E48" s="81" t="s">
        <v>883</v>
      </c>
      <c r="F48" s="81" t="s">
        <v>309</v>
      </c>
      <c r="G48" s="81" t="s">
        <v>77</v>
      </c>
      <c r="H48" s="81" t="s">
        <v>884</v>
      </c>
      <c r="I48" s="81" t="s">
        <v>243</v>
      </c>
      <c r="J48" s="79"/>
      <c r="K48" s="79"/>
      <c r="L48" s="79"/>
    </row>
    <row r="49" spans="1:12">
      <c r="A49" s="81" t="s">
        <v>882</v>
      </c>
      <c r="B49" s="81" t="s">
        <v>85</v>
      </c>
      <c r="C49" s="81" t="s">
        <v>85</v>
      </c>
      <c r="D49" s="81" t="s">
        <v>93</v>
      </c>
      <c r="E49" s="81" t="s">
        <v>883</v>
      </c>
      <c r="F49" s="81" t="s">
        <v>310</v>
      </c>
      <c r="G49" s="81" t="s">
        <v>77</v>
      </c>
      <c r="H49" s="81" t="s">
        <v>884</v>
      </c>
      <c r="I49" s="81" t="s">
        <v>243</v>
      </c>
      <c r="J49" s="79"/>
      <c r="K49" s="79"/>
      <c r="L49" s="79"/>
    </row>
    <row r="50" spans="1:12">
      <c r="A50" s="81" t="s">
        <v>882</v>
      </c>
      <c r="B50" s="81" t="s">
        <v>85</v>
      </c>
      <c r="C50" s="81" t="s">
        <v>85</v>
      </c>
      <c r="D50" s="81" t="s">
        <v>93</v>
      </c>
      <c r="E50" s="81" t="s">
        <v>883</v>
      </c>
      <c r="F50" s="81" t="s">
        <v>311</v>
      </c>
      <c r="G50" s="81" t="s">
        <v>77</v>
      </c>
      <c r="H50" s="81" t="s">
        <v>884</v>
      </c>
      <c r="I50" s="81" t="s">
        <v>243</v>
      </c>
      <c r="J50" s="79"/>
      <c r="K50" s="79"/>
      <c r="L50" s="79"/>
    </row>
    <row r="51" spans="1:12">
      <c r="A51" s="81" t="s">
        <v>882</v>
      </c>
      <c r="B51" s="81" t="s">
        <v>85</v>
      </c>
      <c r="C51" s="81" t="s">
        <v>85</v>
      </c>
      <c r="D51" s="81" t="s">
        <v>93</v>
      </c>
      <c r="E51" s="81" t="s">
        <v>883</v>
      </c>
      <c r="F51" s="81" t="s">
        <v>313</v>
      </c>
      <c r="G51" s="81" t="s">
        <v>77</v>
      </c>
      <c r="H51" s="81" t="s">
        <v>884</v>
      </c>
      <c r="I51" s="81" t="s">
        <v>243</v>
      </c>
      <c r="J51" s="79"/>
      <c r="K51" s="79"/>
      <c r="L51" s="79"/>
    </row>
    <row r="52" spans="1:12">
      <c r="A52" s="81" t="s">
        <v>882</v>
      </c>
      <c r="B52" s="81" t="s">
        <v>85</v>
      </c>
      <c r="C52" s="81" t="s">
        <v>85</v>
      </c>
      <c r="D52" s="81" t="s">
        <v>93</v>
      </c>
      <c r="E52" s="81" t="s">
        <v>883</v>
      </c>
      <c r="F52" s="81" t="s">
        <v>314</v>
      </c>
      <c r="G52" s="81" t="s">
        <v>77</v>
      </c>
      <c r="H52" s="81" t="s">
        <v>884</v>
      </c>
      <c r="I52" s="81" t="s">
        <v>243</v>
      </c>
      <c r="J52" s="79"/>
      <c r="K52" s="79"/>
      <c r="L52" s="79"/>
    </row>
    <row r="53" spans="1:12">
      <c r="A53" s="81" t="s">
        <v>882</v>
      </c>
      <c r="B53" s="81" t="s">
        <v>85</v>
      </c>
      <c r="C53" s="81" t="s">
        <v>85</v>
      </c>
      <c r="D53" s="81" t="s">
        <v>93</v>
      </c>
      <c r="E53" s="81" t="s">
        <v>883</v>
      </c>
      <c r="F53" s="81" t="s">
        <v>315</v>
      </c>
      <c r="G53" s="81" t="s">
        <v>77</v>
      </c>
      <c r="H53" s="81" t="s">
        <v>884</v>
      </c>
      <c r="I53" s="81" t="s">
        <v>243</v>
      </c>
      <c r="J53" s="79"/>
      <c r="K53" s="79"/>
      <c r="L53" s="79"/>
    </row>
    <row r="54" spans="1:12">
      <c r="A54" s="81" t="s">
        <v>882</v>
      </c>
      <c r="B54" s="81" t="s">
        <v>85</v>
      </c>
      <c r="C54" s="81" t="s">
        <v>85</v>
      </c>
      <c r="D54" s="81" t="s">
        <v>93</v>
      </c>
      <c r="E54" s="81" t="s">
        <v>883</v>
      </c>
      <c r="F54" s="81" t="s">
        <v>316</v>
      </c>
      <c r="G54" s="81" t="s">
        <v>77</v>
      </c>
      <c r="H54" s="81" t="s">
        <v>884</v>
      </c>
      <c r="I54" s="81" t="s">
        <v>243</v>
      </c>
      <c r="J54" s="79"/>
      <c r="K54" s="79"/>
      <c r="L54" s="79"/>
    </row>
    <row r="55" spans="1:12">
      <c r="A55" s="81" t="s">
        <v>882</v>
      </c>
      <c r="B55" s="81" t="s">
        <v>85</v>
      </c>
      <c r="C55" s="81" t="s">
        <v>85</v>
      </c>
      <c r="D55" s="81" t="s">
        <v>93</v>
      </c>
      <c r="E55" s="81" t="s">
        <v>885</v>
      </c>
      <c r="F55" s="81" t="s">
        <v>317</v>
      </c>
      <c r="G55" s="81" t="s">
        <v>77</v>
      </c>
      <c r="H55" s="81" t="s">
        <v>884</v>
      </c>
      <c r="I55" s="81" t="s">
        <v>243</v>
      </c>
      <c r="J55" s="79"/>
      <c r="K55" s="79"/>
      <c r="L55" s="79"/>
    </row>
    <row r="56" spans="1:12">
      <c r="A56" s="81" t="s">
        <v>882</v>
      </c>
      <c r="B56" s="81" t="s">
        <v>85</v>
      </c>
      <c r="C56" s="81" t="s">
        <v>85</v>
      </c>
      <c r="D56" s="81" t="s">
        <v>93</v>
      </c>
      <c r="E56" s="81" t="s">
        <v>885</v>
      </c>
      <c r="F56" s="81" t="s">
        <v>320</v>
      </c>
      <c r="G56" s="81" t="s">
        <v>77</v>
      </c>
      <c r="H56" s="81" t="s">
        <v>884</v>
      </c>
      <c r="I56" s="81" t="s">
        <v>243</v>
      </c>
      <c r="J56" s="79"/>
      <c r="K56" s="79"/>
      <c r="L56" s="79"/>
    </row>
    <row r="57" spans="1:12">
      <c r="A57" s="81" t="s">
        <v>882</v>
      </c>
      <c r="B57" s="81" t="s">
        <v>85</v>
      </c>
      <c r="C57" s="81" t="s">
        <v>85</v>
      </c>
      <c r="D57" s="81" t="s">
        <v>93</v>
      </c>
      <c r="E57" s="81" t="s">
        <v>885</v>
      </c>
      <c r="F57" s="81" t="s">
        <v>321</v>
      </c>
      <c r="G57" s="81" t="s">
        <v>77</v>
      </c>
      <c r="H57" s="81" t="s">
        <v>884</v>
      </c>
      <c r="I57" s="81" t="s">
        <v>243</v>
      </c>
      <c r="J57" s="79"/>
      <c r="K57" s="79"/>
      <c r="L57" s="79"/>
    </row>
    <row r="58" spans="1:12">
      <c r="A58" s="81" t="s">
        <v>882</v>
      </c>
      <c r="B58" s="81" t="s">
        <v>85</v>
      </c>
      <c r="C58" s="81" t="s">
        <v>85</v>
      </c>
      <c r="D58" s="81" t="s">
        <v>93</v>
      </c>
      <c r="E58" s="81" t="s">
        <v>885</v>
      </c>
      <c r="F58" s="81" t="s">
        <v>322</v>
      </c>
      <c r="G58" s="81" t="s">
        <v>77</v>
      </c>
      <c r="H58" s="81" t="s">
        <v>884</v>
      </c>
      <c r="I58" s="81" t="s">
        <v>243</v>
      </c>
      <c r="J58" s="79"/>
      <c r="K58" s="79"/>
      <c r="L58" s="79"/>
    </row>
    <row r="59" spans="1:12">
      <c r="A59" s="81" t="s">
        <v>882</v>
      </c>
      <c r="B59" s="81" t="s">
        <v>85</v>
      </c>
      <c r="C59" s="81" t="s">
        <v>85</v>
      </c>
      <c r="D59" s="81" t="s">
        <v>93</v>
      </c>
      <c r="E59" s="81" t="s">
        <v>885</v>
      </c>
      <c r="F59" s="81" t="s">
        <v>323</v>
      </c>
      <c r="G59" s="81" t="s">
        <v>77</v>
      </c>
      <c r="H59" s="81" t="s">
        <v>884</v>
      </c>
      <c r="I59" s="81" t="s">
        <v>243</v>
      </c>
      <c r="J59" s="79"/>
      <c r="K59" s="79"/>
      <c r="L59" s="79"/>
    </row>
    <row r="60" spans="1:12">
      <c r="A60" s="81" t="s">
        <v>882</v>
      </c>
      <c r="B60" s="81" t="s">
        <v>85</v>
      </c>
      <c r="C60" s="81" t="s">
        <v>85</v>
      </c>
      <c r="D60" s="81" t="s">
        <v>93</v>
      </c>
      <c r="E60" s="81" t="s">
        <v>885</v>
      </c>
      <c r="F60" s="81" t="s">
        <v>324</v>
      </c>
      <c r="G60" s="81" t="s">
        <v>77</v>
      </c>
      <c r="H60" s="81" t="s">
        <v>884</v>
      </c>
      <c r="I60" s="81" t="s">
        <v>243</v>
      </c>
      <c r="J60" s="79"/>
      <c r="K60" s="79"/>
      <c r="L60" s="79"/>
    </row>
    <row r="61" spans="1:12">
      <c r="A61" s="81" t="s">
        <v>882</v>
      </c>
      <c r="B61" s="81" t="s">
        <v>85</v>
      </c>
      <c r="C61" s="81" t="s">
        <v>85</v>
      </c>
      <c r="D61" s="81" t="s">
        <v>93</v>
      </c>
      <c r="E61" s="81" t="s">
        <v>885</v>
      </c>
      <c r="F61" s="81" t="s">
        <v>326</v>
      </c>
      <c r="G61" s="81" t="s">
        <v>77</v>
      </c>
      <c r="H61" s="81" t="s">
        <v>884</v>
      </c>
      <c r="I61" s="81" t="s">
        <v>243</v>
      </c>
      <c r="J61" s="79"/>
      <c r="K61" s="79"/>
      <c r="L61" s="79"/>
    </row>
    <row r="62" spans="1:12">
      <c r="A62" s="81" t="s">
        <v>882</v>
      </c>
      <c r="B62" s="81" t="s">
        <v>85</v>
      </c>
      <c r="C62" s="81" t="s">
        <v>85</v>
      </c>
      <c r="D62" s="81" t="s">
        <v>93</v>
      </c>
      <c r="E62" s="81" t="s">
        <v>885</v>
      </c>
      <c r="F62" s="81" t="s">
        <v>327</v>
      </c>
      <c r="G62" s="81" t="s">
        <v>77</v>
      </c>
      <c r="H62" s="81" t="s">
        <v>884</v>
      </c>
      <c r="I62" s="81" t="s">
        <v>243</v>
      </c>
      <c r="J62" s="79"/>
      <c r="K62" s="79"/>
      <c r="L62" s="79"/>
    </row>
    <row r="63" spans="1:12">
      <c r="A63" s="81" t="s">
        <v>882</v>
      </c>
      <c r="B63" s="81" t="s">
        <v>85</v>
      </c>
      <c r="C63" s="81" t="s">
        <v>85</v>
      </c>
      <c r="D63" s="81" t="s">
        <v>93</v>
      </c>
      <c r="E63" s="81" t="s">
        <v>885</v>
      </c>
      <c r="F63" s="81" t="s">
        <v>328</v>
      </c>
      <c r="G63" s="81" t="s">
        <v>77</v>
      </c>
      <c r="H63" s="81" t="s">
        <v>884</v>
      </c>
      <c r="I63" s="81" t="s">
        <v>243</v>
      </c>
      <c r="J63" s="79"/>
      <c r="K63" s="79"/>
      <c r="L63" s="79"/>
    </row>
    <row r="64" spans="1:12">
      <c r="A64" s="81" t="s">
        <v>882</v>
      </c>
      <c r="B64" s="81" t="s">
        <v>85</v>
      </c>
      <c r="C64" s="81" t="s">
        <v>85</v>
      </c>
      <c r="D64" s="81" t="s">
        <v>93</v>
      </c>
      <c r="E64" s="81" t="s">
        <v>885</v>
      </c>
      <c r="F64" s="81" t="s">
        <v>329</v>
      </c>
      <c r="G64" s="81" t="s">
        <v>77</v>
      </c>
      <c r="H64" s="81" t="s">
        <v>884</v>
      </c>
      <c r="I64" s="81" t="s">
        <v>243</v>
      </c>
      <c r="J64" s="79"/>
      <c r="K64" s="79"/>
      <c r="L64" s="79"/>
    </row>
    <row r="65" spans="1:12">
      <c r="A65" s="81" t="s">
        <v>882</v>
      </c>
      <c r="B65" s="81" t="s">
        <v>85</v>
      </c>
      <c r="C65" s="81" t="s">
        <v>85</v>
      </c>
      <c r="D65" s="81" t="s">
        <v>93</v>
      </c>
      <c r="E65" s="81" t="s">
        <v>885</v>
      </c>
      <c r="F65" s="81" t="s">
        <v>330</v>
      </c>
      <c r="G65" s="81" t="s">
        <v>77</v>
      </c>
      <c r="H65" s="81" t="s">
        <v>884</v>
      </c>
      <c r="I65" s="81" t="s">
        <v>243</v>
      </c>
      <c r="J65" s="79"/>
      <c r="K65" s="79"/>
      <c r="L65" s="79"/>
    </row>
    <row r="66" spans="1:12">
      <c r="A66" s="81" t="s">
        <v>882</v>
      </c>
      <c r="B66" s="81" t="s">
        <v>85</v>
      </c>
      <c r="C66" s="81" t="s">
        <v>85</v>
      </c>
      <c r="D66" s="81" t="s">
        <v>335</v>
      </c>
      <c r="E66" s="81" t="s">
        <v>886</v>
      </c>
      <c r="F66" s="81" t="s">
        <v>334</v>
      </c>
      <c r="G66" s="81" t="s">
        <v>77</v>
      </c>
      <c r="H66" s="81" t="s">
        <v>887</v>
      </c>
      <c r="I66" s="81" t="s">
        <v>341</v>
      </c>
      <c r="J66" s="79"/>
      <c r="K66" s="79"/>
      <c r="L66" s="79"/>
    </row>
    <row r="67" spans="1:12">
      <c r="A67" s="81" t="s">
        <v>882</v>
      </c>
      <c r="B67" s="81" t="s">
        <v>85</v>
      </c>
      <c r="C67" s="81" t="s">
        <v>85</v>
      </c>
      <c r="D67" s="81" t="s">
        <v>335</v>
      </c>
      <c r="E67" s="81" t="s">
        <v>886</v>
      </c>
      <c r="F67" s="81" t="s">
        <v>342</v>
      </c>
      <c r="G67" s="81" t="s">
        <v>77</v>
      </c>
      <c r="H67" s="81" t="s">
        <v>887</v>
      </c>
      <c r="I67" s="81" t="s">
        <v>341</v>
      </c>
      <c r="J67" s="79"/>
      <c r="K67" s="79"/>
      <c r="L67" s="79"/>
    </row>
    <row r="68" spans="1:12">
      <c r="A68" s="81" t="s">
        <v>882</v>
      </c>
      <c r="B68" s="81" t="s">
        <v>85</v>
      </c>
      <c r="C68" s="81" t="s">
        <v>85</v>
      </c>
      <c r="D68" s="81" t="s">
        <v>93</v>
      </c>
      <c r="E68" s="81" t="s">
        <v>888</v>
      </c>
      <c r="F68" s="81" t="s">
        <v>343</v>
      </c>
      <c r="G68" s="81" t="s">
        <v>77</v>
      </c>
      <c r="H68" s="81" t="s">
        <v>884</v>
      </c>
      <c r="I68" s="81" t="s">
        <v>243</v>
      </c>
      <c r="J68" s="79"/>
      <c r="K68" s="79"/>
      <c r="L68" s="79"/>
    </row>
    <row r="69" spans="1:12">
      <c r="A69" s="81" t="s">
        <v>882</v>
      </c>
      <c r="B69" s="81" t="s">
        <v>85</v>
      </c>
      <c r="C69" s="81" t="s">
        <v>85</v>
      </c>
      <c r="D69" s="81" t="s">
        <v>93</v>
      </c>
      <c r="E69" s="81" t="s">
        <v>888</v>
      </c>
      <c r="F69" s="81" t="s">
        <v>347</v>
      </c>
      <c r="G69" s="81" t="s">
        <v>77</v>
      </c>
      <c r="H69" s="81" t="s">
        <v>884</v>
      </c>
      <c r="I69" s="81" t="s">
        <v>243</v>
      </c>
      <c r="J69" s="79"/>
      <c r="K69" s="79"/>
      <c r="L69" s="79"/>
    </row>
    <row r="70" spans="1:12">
      <c r="A70" s="81" t="s">
        <v>882</v>
      </c>
      <c r="B70" s="81" t="s">
        <v>85</v>
      </c>
      <c r="C70" s="81" t="s">
        <v>85</v>
      </c>
      <c r="D70" s="81" t="s">
        <v>93</v>
      </c>
      <c r="E70" s="81" t="s">
        <v>888</v>
      </c>
      <c r="F70" s="81" t="s">
        <v>348</v>
      </c>
      <c r="G70" s="81" t="s">
        <v>77</v>
      </c>
      <c r="H70" s="81" t="s">
        <v>884</v>
      </c>
      <c r="I70" s="81" t="s">
        <v>243</v>
      </c>
      <c r="J70" s="79"/>
      <c r="K70" s="79"/>
      <c r="L70" s="79"/>
    </row>
    <row r="71" spans="1:12">
      <c r="A71" s="81" t="s">
        <v>882</v>
      </c>
      <c r="B71" s="81" t="s">
        <v>85</v>
      </c>
      <c r="C71" s="81" t="s">
        <v>85</v>
      </c>
      <c r="D71" s="81" t="s">
        <v>93</v>
      </c>
      <c r="E71" s="81" t="s">
        <v>888</v>
      </c>
      <c r="F71" s="81" t="s">
        <v>349</v>
      </c>
      <c r="G71" s="81" t="s">
        <v>77</v>
      </c>
      <c r="H71" s="81" t="s">
        <v>884</v>
      </c>
      <c r="I71" s="81" t="s">
        <v>243</v>
      </c>
      <c r="J71" s="79"/>
      <c r="K71" s="79"/>
      <c r="L71" s="79"/>
    </row>
    <row r="72" spans="1:12">
      <c r="A72" s="81" t="s">
        <v>882</v>
      </c>
      <c r="B72" s="81" t="s">
        <v>85</v>
      </c>
      <c r="C72" s="81" t="s">
        <v>85</v>
      </c>
      <c r="D72" s="81" t="s">
        <v>93</v>
      </c>
      <c r="E72" s="81" t="s">
        <v>888</v>
      </c>
      <c r="F72" s="81" t="s">
        <v>350</v>
      </c>
      <c r="G72" s="81" t="s">
        <v>77</v>
      </c>
      <c r="H72" s="81" t="s">
        <v>884</v>
      </c>
      <c r="I72" s="81" t="s">
        <v>243</v>
      </c>
      <c r="J72" s="79"/>
      <c r="K72" s="79"/>
      <c r="L72" s="79"/>
    </row>
    <row r="73" spans="1:12">
      <c r="A73" s="81" t="s">
        <v>882</v>
      </c>
      <c r="B73" s="81" t="s">
        <v>85</v>
      </c>
      <c r="C73" s="81" t="s">
        <v>85</v>
      </c>
      <c r="D73" s="81" t="s">
        <v>352</v>
      </c>
      <c r="E73" s="81" t="s">
        <v>889</v>
      </c>
      <c r="F73" s="81" t="s">
        <v>351</v>
      </c>
      <c r="G73" s="81" t="s">
        <v>77</v>
      </c>
      <c r="H73" s="81" t="s">
        <v>887</v>
      </c>
      <c r="I73" s="81" t="s">
        <v>341</v>
      </c>
      <c r="J73" s="79"/>
      <c r="K73" s="79"/>
      <c r="L73" s="79"/>
    </row>
    <row r="74" spans="1:12">
      <c r="A74" s="81" t="s">
        <v>882</v>
      </c>
      <c r="B74" s="81" t="s">
        <v>85</v>
      </c>
      <c r="C74" s="81" t="s">
        <v>85</v>
      </c>
      <c r="D74" s="81" t="s">
        <v>352</v>
      </c>
      <c r="E74" s="81" t="s">
        <v>889</v>
      </c>
      <c r="F74" s="81" t="s">
        <v>353</v>
      </c>
      <c r="G74" s="81" t="s">
        <v>77</v>
      </c>
      <c r="H74" s="81" t="s">
        <v>887</v>
      </c>
      <c r="I74" s="81" t="s">
        <v>341</v>
      </c>
      <c r="J74" s="79"/>
      <c r="K74" s="79"/>
      <c r="L74" s="79"/>
    </row>
    <row r="75" spans="1:12">
      <c r="A75" s="81" t="s">
        <v>882</v>
      </c>
      <c r="B75" s="81" t="s">
        <v>85</v>
      </c>
      <c r="C75" s="81" t="s">
        <v>85</v>
      </c>
      <c r="D75" s="81" t="s">
        <v>352</v>
      </c>
      <c r="E75" s="81" t="s">
        <v>889</v>
      </c>
      <c r="F75" s="81" t="s">
        <v>354</v>
      </c>
      <c r="G75" s="81" t="s">
        <v>77</v>
      </c>
      <c r="H75" s="81" t="s">
        <v>887</v>
      </c>
      <c r="I75" s="81" t="s">
        <v>341</v>
      </c>
      <c r="J75" s="79"/>
      <c r="K75" s="79"/>
      <c r="L75" s="79"/>
    </row>
    <row r="76" spans="1:12">
      <c r="A76" s="81" t="s">
        <v>882</v>
      </c>
      <c r="B76" s="81" t="s">
        <v>85</v>
      </c>
      <c r="C76" s="81" t="s">
        <v>85</v>
      </c>
      <c r="D76" s="81" t="s">
        <v>352</v>
      </c>
      <c r="E76" s="81" t="s">
        <v>889</v>
      </c>
      <c r="F76" s="81" t="s">
        <v>355</v>
      </c>
      <c r="G76" s="81" t="s">
        <v>77</v>
      </c>
      <c r="H76" s="81" t="s">
        <v>887</v>
      </c>
      <c r="I76" s="81" t="s">
        <v>341</v>
      </c>
      <c r="J76" s="79"/>
      <c r="K76" s="79"/>
      <c r="L76" s="79"/>
    </row>
    <row r="77" spans="1:12">
      <c r="A77" s="81" t="s">
        <v>882</v>
      </c>
      <c r="B77" s="81" t="s">
        <v>85</v>
      </c>
      <c r="C77" s="81" t="s">
        <v>85</v>
      </c>
      <c r="D77" s="81" t="s">
        <v>352</v>
      </c>
      <c r="E77" s="81" t="s">
        <v>889</v>
      </c>
      <c r="F77" s="81" t="s">
        <v>356</v>
      </c>
      <c r="G77" s="81" t="s">
        <v>77</v>
      </c>
      <c r="H77" s="81" t="s">
        <v>887</v>
      </c>
      <c r="I77" s="81" t="s">
        <v>341</v>
      </c>
      <c r="J77" s="79"/>
      <c r="K77" s="79"/>
      <c r="L77" s="79"/>
    </row>
    <row r="78" spans="1:12">
      <c r="A78" s="81" t="s">
        <v>882</v>
      </c>
      <c r="B78" s="81" t="s">
        <v>85</v>
      </c>
      <c r="C78" s="81" t="s">
        <v>85</v>
      </c>
      <c r="D78" s="81" t="s">
        <v>352</v>
      </c>
      <c r="E78" s="81" t="s">
        <v>890</v>
      </c>
      <c r="F78" s="81" t="s">
        <v>357</v>
      </c>
      <c r="G78" s="81" t="s">
        <v>77</v>
      </c>
      <c r="H78" s="81" t="s">
        <v>887</v>
      </c>
      <c r="I78" s="81" t="s">
        <v>341</v>
      </c>
      <c r="J78" s="79"/>
      <c r="K78" s="79"/>
      <c r="L78" s="79"/>
    </row>
    <row r="79" spans="1:12">
      <c r="A79" s="81" t="s">
        <v>882</v>
      </c>
      <c r="B79" s="81" t="s">
        <v>85</v>
      </c>
      <c r="C79" s="81" t="s">
        <v>85</v>
      </c>
      <c r="D79" s="81" t="s">
        <v>93</v>
      </c>
      <c r="E79" s="81" t="s">
        <v>885</v>
      </c>
      <c r="F79" s="81" t="s">
        <v>359</v>
      </c>
      <c r="G79" s="81" t="s">
        <v>77</v>
      </c>
      <c r="H79" s="81" t="s">
        <v>884</v>
      </c>
      <c r="I79" s="81" t="s">
        <v>243</v>
      </c>
      <c r="J79" s="79"/>
      <c r="K79" s="79"/>
      <c r="L79" s="79"/>
    </row>
    <row r="80" spans="1:12">
      <c r="A80" s="81" t="s">
        <v>882</v>
      </c>
      <c r="B80" s="81" t="s">
        <v>85</v>
      </c>
      <c r="C80" s="81" t="s">
        <v>203</v>
      </c>
      <c r="D80" s="81" t="s">
        <v>362</v>
      </c>
      <c r="E80" s="81" t="s">
        <v>891</v>
      </c>
      <c r="F80" s="81" t="s">
        <v>361</v>
      </c>
      <c r="G80" s="81" t="s">
        <v>77</v>
      </c>
      <c r="H80" s="81" t="s">
        <v>892</v>
      </c>
      <c r="I80" s="81" t="s">
        <v>243</v>
      </c>
      <c r="J80" s="79"/>
      <c r="K80" s="79"/>
      <c r="L80" s="79"/>
    </row>
    <row r="81" spans="1:12">
      <c r="A81" s="81" t="s">
        <v>882</v>
      </c>
      <c r="B81" s="81" t="s">
        <v>85</v>
      </c>
      <c r="C81" s="81" t="s">
        <v>203</v>
      </c>
      <c r="D81" s="81" t="s">
        <v>362</v>
      </c>
      <c r="E81" s="81" t="s">
        <v>891</v>
      </c>
      <c r="F81" s="81" t="s">
        <v>370</v>
      </c>
      <c r="G81" s="81" t="s">
        <v>77</v>
      </c>
      <c r="H81" s="81" t="s">
        <v>892</v>
      </c>
      <c r="I81" s="81" t="s">
        <v>243</v>
      </c>
      <c r="J81" s="79"/>
      <c r="K81" s="79"/>
      <c r="L81" s="79"/>
    </row>
    <row r="82" spans="1:12">
      <c r="A82" s="81" t="s">
        <v>882</v>
      </c>
      <c r="B82" s="81" t="s">
        <v>85</v>
      </c>
      <c r="C82" s="81" t="s">
        <v>203</v>
      </c>
      <c r="D82" s="81" t="s">
        <v>362</v>
      </c>
      <c r="E82" s="81" t="s">
        <v>891</v>
      </c>
      <c r="F82" s="81" t="s">
        <v>371</v>
      </c>
      <c r="G82" s="81" t="s">
        <v>77</v>
      </c>
      <c r="H82" s="81" t="s">
        <v>892</v>
      </c>
      <c r="I82" s="81" t="s">
        <v>243</v>
      </c>
      <c r="J82" s="79"/>
      <c r="K82" s="79"/>
      <c r="L82" s="79"/>
    </row>
    <row r="83" spans="1:12">
      <c r="A83" s="81" t="s">
        <v>882</v>
      </c>
      <c r="B83" s="81" t="s">
        <v>85</v>
      </c>
      <c r="C83" s="81" t="s">
        <v>203</v>
      </c>
      <c r="D83" s="81" t="s">
        <v>362</v>
      </c>
      <c r="E83" s="81" t="s">
        <v>891</v>
      </c>
      <c r="F83" s="81" t="s">
        <v>372</v>
      </c>
      <c r="G83" s="81" t="s">
        <v>77</v>
      </c>
      <c r="H83" s="81" t="s">
        <v>892</v>
      </c>
      <c r="I83" s="81" t="s">
        <v>243</v>
      </c>
      <c r="J83" s="79"/>
      <c r="K83" s="79"/>
      <c r="L83" s="79"/>
    </row>
    <row r="84" spans="1:12">
      <c r="A84" s="81" t="s">
        <v>882</v>
      </c>
      <c r="B84" s="81" t="s">
        <v>85</v>
      </c>
      <c r="C84" s="81" t="s">
        <v>85</v>
      </c>
      <c r="D84" s="81" t="s">
        <v>335</v>
      </c>
      <c r="E84" s="81" t="s">
        <v>886</v>
      </c>
      <c r="F84" s="81" t="s">
        <v>373</v>
      </c>
      <c r="G84" s="81" t="s">
        <v>77</v>
      </c>
      <c r="H84" s="81" t="s">
        <v>887</v>
      </c>
      <c r="I84" s="81" t="s">
        <v>341</v>
      </c>
      <c r="J84" s="79"/>
      <c r="K84" s="79"/>
      <c r="L84" s="79"/>
    </row>
    <row r="85" spans="1:12">
      <c r="A85" s="81" t="s">
        <v>882</v>
      </c>
      <c r="B85" s="81" t="s">
        <v>85</v>
      </c>
      <c r="C85" s="81" t="s">
        <v>85</v>
      </c>
      <c r="D85" s="81" t="s">
        <v>352</v>
      </c>
      <c r="E85" s="81" t="s">
        <v>890</v>
      </c>
      <c r="F85" s="81" t="s">
        <v>374</v>
      </c>
      <c r="G85" s="81" t="s">
        <v>77</v>
      </c>
      <c r="H85" s="81" t="s">
        <v>887</v>
      </c>
      <c r="I85" s="81" t="s">
        <v>341</v>
      </c>
      <c r="J85" s="79"/>
      <c r="K85" s="79"/>
      <c r="L85" s="79"/>
    </row>
    <row r="86" spans="1:12">
      <c r="A86" s="81" t="s">
        <v>882</v>
      </c>
      <c r="B86" s="81" t="s">
        <v>85</v>
      </c>
      <c r="C86" s="81" t="s">
        <v>85</v>
      </c>
      <c r="D86" s="81" t="s">
        <v>352</v>
      </c>
      <c r="E86" s="81" t="s">
        <v>890</v>
      </c>
      <c r="F86" s="81" t="s">
        <v>376</v>
      </c>
      <c r="G86" s="81" t="s">
        <v>77</v>
      </c>
      <c r="H86" s="81" t="s">
        <v>887</v>
      </c>
      <c r="I86" s="81" t="s">
        <v>341</v>
      </c>
      <c r="J86" s="79"/>
      <c r="K86" s="79"/>
      <c r="L86" s="79"/>
    </row>
    <row r="87" spans="1:12">
      <c r="A87" s="81" t="s">
        <v>882</v>
      </c>
      <c r="B87" s="81" t="s">
        <v>85</v>
      </c>
      <c r="C87" s="81" t="s">
        <v>85</v>
      </c>
      <c r="D87" s="81" t="s">
        <v>352</v>
      </c>
      <c r="E87" s="81" t="s">
        <v>890</v>
      </c>
      <c r="F87" s="81" t="s">
        <v>377</v>
      </c>
      <c r="G87" s="81" t="s">
        <v>77</v>
      </c>
      <c r="H87" s="81" t="s">
        <v>887</v>
      </c>
      <c r="I87" s="81" t="s">
        <v>341</v>
      </c>
      <c r="J87" s="79"/>
      <c r="K87" s="79"/>
      <c r="L87" s="79"/>
    </row>
    <row r="88" spans="1:12">
      <c r="A88" s="81" t="s">
        <v>882</v>
      </c>
      <c r="B88" s="81" t="s">
        <v>85</v>
      </c>
      <c r="C88" s="81" t="s">
        <v>85</v>
      </c>
      <c r="D88" s="81" t="s">
        <v>352</v>
      </c>
      <c r="E88" s="81" t="s">
        <v>890</v>
      </c>
      <c r="F88" s="81" t="s">
        <v>378</v>
      </c>
      <c r="G88" s="81" t="s">
        <v>77</v>
      </c>
      <c r="H88" s="81" t="s">
        <v>887</v>
      </c>
      <c r="I88" s="81" t="s">
        <v>341</v>
      </c>
      <c r="J88" s="79"/>
      <c r="K88" s="79"/>
      <c r="L88" s="79"/>
    </row>
    <row r="89" spans="1:12">
      <c r="A89" s="81" t="s">
        <v>882</v>
      </c>
      <c r="B89" s="81" t="s">
        <v>85</v>
      </c>
      <c r="C89" s="81" t="s">
        <v>85</v>
      </c>
      <c r="D89" s="81" t="s">
        <v>352</v>
      </c>
      <c r="E89" s="81" t="s">
        <v>890</v>
      </c>
      <c r="F89" s="81" t="s">
        <v>379</v>
      </c>
      <c r="G89" s="81" t="s">
        <v>77</v>
      </c>
      <c r="H89" s="81" t="s">
        <v>887</v>
      </c>
      <c r="I89" s="81" t="s">
        <v>341</v>
      </c>
      <c r="J89" s="79"/>
      <c r="K89" s="79"/>
      <c r="L89" s="79"/>
    </row>
    <row r="90" spans="1:12">
      <c r="A90" s="81" t="s">
        <v>882</v>
      </c>
      <c r="B90" s="81" t="s">
        <v>85</v>
      </c>
      <c r="C90" s="81" t="s">
        <v>85</v>
      </c>
      <c r="D90" s="81" t="s">
        <v>352</v>
      </c>
      <c r="E90" s="81" t="s">
        <v>890</v>
      </c>
      <c r="F90" s="81" t="s">
        <v>380</v>
      </c>
      <c r="G90" s="81" t="s">
        <v>77</v>
      </c>
      <c r="H90" s="81" t="s">
        <v>887</v>
      </c>
      <c r="I90" s="81" t="s">
        <v>341</v>
      </c>
      <c r="J90" s="79"/>
      <c r="K90" s="79"/>
      <c r="L90" s="79"/>
    </row>
    <row r="91" spans="1:12">
      <c r="A91" s="81" t="s">
        <v>882</v>
      </c>
      <c r="B91" s="81" t="s">
        <v>85</v>
      </c>
      <c r="C91" s="81" t="s">
        <v>85</v>
      </c>
      <c r="D91" s="81" t="s">
        <v>352</v>
      </c>
      <c r="E91" s="81" t="s">
        <v>890</v>
      </c>
      <c r="F91" s="81" t="s">
        <v>381</v>
      </c>
      <c r="G91" s="81" t="s">
        <v>77</v>
      </c>
      <c r="H91" s="81" t="s">
        <v>887</v>
      </c>
      <c r="I91" s="81" t="s">
        <v>341</v>
      </c>
      <c r="J91" s="79"/>
      <c r="K91" s="79"/>
      <c r="L91" s="79"/>
    </row>
    <row r="92" spans="1:12">
      <c r="A92" s="81" t="s">
        <v>882</v>
      </c>
      <c r="B92" s="81" t="s">
        <v>85</v>
      </c>
      <c r="C92" s="81" t="s">
        <v>85</v>
      </c>
      <c r="D92" s="81" t="s">
        <v>352</v>
      </c>
      <c r="E92" s="81" t="s">
        <v>890</v>
      </c>
      <c r="F92" s="81" t="s">
        <v>382</v>
      </c>
      <c r="G92" s="81" t="s">
        <v>77</v>
      </c>
      <c r="H92" s="81" t="s">
        <v>887</v>
      </c>
      <c r="I92" s="81" t="s">
        <v>341</v>
      </c>
      <c r="J92" s="79"/>
      <c r="K92" s="79"/>
      <c r="L92" s="79"/>
    </row>
    <row r="93" spans="1:12">
      <c r="A93" s="81" t="s">
        <v>882</v>
      </c>
      <c r="B93" s="81" t="s">
        <v>85</v>
      </c>
      <c r="C93" s="81" t="s">
        <v>85</v>
      </c>
      <c r="D93" s="81" t="s">
        <v>352</v>
      </c>
      <c r="E93" s="81" t="s">
        <v>890</v>
      </c>
      <c r="F93" s="81" t="s">
        <v>383</v>
      </c>
      <c r="G93" s="81" t="s">
        <v>77</v>
      </c>
      <c r="H93" s="81" t="s">
        <v>887</v>
      </c>
      <c r="I93" s="81" t="s">
        <v>341</v>
      </c>
      <c r="J93" s="79"/>
      <c r="K93" s="79"/>
      <c r="L93" s="79"/>
    </row>
    <row r="94" spans="1:12">
      <c r="A94" s="81" t="s">
        <v>882</v>
      </c>
      <c r="B94" s="81" t="s">
        <v>85</v>
      </c>
      <c r="C94" s="81" t="s">
        <v>85</v>
      </c>
      <c r="D94" s="81" t="s">
        <v>352</v>
      </c>
      <c r="E94" s="81" t="s">
        <v>893</v>
      </c>
      <c r="F94" s="81" t="s">
        <v>384</v>
      </c>
      <c r="G94" s="81" t="s">
        <v>77</v>
      </c>
      <c r="H94" s="81" t="s">
        <v>887</v>
      </c>
      <c r="I94" s="81" t="s">
        <v>341</v>
      </c>
      <c r="J94" s="79"/>
      <c r="K94" s="79"/>
      <c r="L94" s="79"/>
    </row>
    <row r="95" spans="1:12">
      <c r="A95" s="81" t="s">
        <v>882</v>
      </c>
      <c r="B95" s="81" t="s">
        <v>85</v>
      </c>
      <c r="C95" s="81" t="s">
        <v>85</v>
      </c>
      <c r="D95" s="81" t="s">
        <v>352</v>
      </c>
      <c r="E95" s="81" t="s">
        <v>893</v>
      </c>
      <c r="F95" s="81" t="s">
        <v>385</v>
      </c>
      <c r="G95" s="81" t="s">
        <v>77</v>
      </c>
      <c r="H95" s="81" t="s">
        <v>887</v>
      </c>
      <c r="I95" s="81" t="s">
        <v>341</v>
      </c>
      <c r="J95" s="79"/>
      <c r="K95" s="79"/>
      <c r="L95" s="79"/>
    </row>
    <row r="96" spans="1:12">
      <c r="A96" s="81" t="s">
        <v>882</v>
      </c>
      <c r="B96" s="81" t="s">
        <v>85</v>
      </c>
      <c r="C96" s="81" t="s">
        <v>85</v>
      </c>
      <c r="D96" s="81" t="s">
        <v>352</v>
      </c>
      <c r="E96" s="81" t="s">
        <v>893</v>
      </c>
      <c r="F96" s="81" t="s">
        <v>386</v>
      </c>
      <c r="G96" s="81" t="s">
        <v>77</v>
      </c>
      <c r="H96" s="81" t="s">
        <v>887</v>
      </c>
      <c r="I96" s="81" t="s">
        <v>341</v>
      </c>
      <c r="J96" s="79"/>
      <c r="K96" s="79"/>
      <c r="L96" s="79"/>
    </row>
    <row r="97" spans="1:12">
      <c r="A97" s="81" t="s">
        <v>882</v>
      </c>
      <c r="B97" s="81" t="s">
        <v>85</v>
      </c>
      <c r="C97" s="81" t="s">
        <v>85</v>
      </c>
      <c r="D97" s="81" t="s">
        <v>352</v>
      </c>
      <c r="E97" s="81" t="s">
        <v>893</v>
      </c>
      <c r="F97" s="81" t="s">
        <v>387</v>
      </c>
      <c r="G97" s="81" t="s">
        <v>77</v>
      </c>
      <c r="H97" s="81" t="s">
        <v>887</v>
      </c>
      <c r="I97" s="81" t="s">
        <v>341</v>
      </c>
      <c r="J97" s="79"/>
      <c r="K97" s="79"/>
      <c r="L97" s="79"/>
    </row>
    <row r="98" spans="1:12">
      <c r="A98" s="81" t="s">
        <v>882</v>
      </c>
      <c r="B98" s="81" t="s">
        <v>85</v>
      </c>
      <c r="C98" s="81" t="s">
        <v>85</v>
      </c>
      <c r="D98" s="81" t="s">
        <v>93</v>
      </c>
      <c r="E98" s="81" t="s">
        <v>885</v>
      </c>
      <c r="F98" s="81" t="s">
        <v>389</v>
      </c>
      <c r="G98" s="81" t="s">
        <v>77</v>
      </c>
      <c r="H98" s="81" t="s">
        <v>884</v>
      </c>
      <c r="I98" s="81" t="s">
        <v>243</v>
      </c>
      <c r="J98" s="79"/>
      <c r="K98" s="79"/>
      <c r="L98" s="79"/>
    </row>
    <row r="99" spans="1:12">
      <c r="A99" s="81" t="s">
        <v>882</v>
      </c>
      <c r="B99" s="81" t="s">
        <v>85</v>
      </c>
      <c r="C99" s="81" t="s">
        <v>203</v>
      </c>
      <c r="D99" s="81" t="s">
        <v>392</v>
      </c>
      <c r="E99" s="81" t="s">
        <v>894</v>
      </c>
      <c r="F99" s="81" t="s">
        <v>391</v>
      </c>
      <c r="G99" s="81" t="s">
        <v>77</v>
      </c>
      <c r="H99" s="81" t="s">
        <v>887</v>
      </c>
      <c r="I99" s="81" t="s">
        <v>341</v>
      </c>
      <c r="J99" s="79"/>
      <c r="K99" s="79"/>
      <c r="L99" s="79"/>
    </row>
    <row r="100" spans="1:12">
      <c r="A100" s="81" t="s">
        <v>882</v>
      </c>
      <c r="B100" s="81" t="s">
        <v>85</v>
      </c>
      <c r="C100" s="81" t="s">
        <v>203</v>
      </c>
      <c r="D100" s="81" t="s">
        <v>392</v>
      </c>
      <c r="E100" s="81" t="s">
        <v>894</v>
      </c>
      <c r="F100" s="81" t="s">
        <v>396</v>
      </c>
      <c r="G100" s="81" t="s">
        <v>77</v>
      </c>
      <c r="H100" s="81" t="s">
        <v>887</v>
      </c>
      <c r="I100" s="81" t="s">
        <v>341</v>
      </c>
      <c r="J100" s="79"/>
      <c r="K100" s="79"/>
      <c r="L100" s="79"/>
    </row>
    <row r="101" spans="1:12">
      <c r="A101" s="81" t="s">
        <v>882</v>
      </c>
      <c r="B101" s="81" t="s">
        <v>85</v>
      </c>
      <c r="C101" s="81" t="s">
        <v>203</v>
      </c>
      <c r="D101" s="81" t="s">
        <v>392</v>
      </c>
      <c r="E101" s="81" t="s">
        <v>894</v>
      </c>
      <c r="F101" s="81" t="s">
        <v>397</v>
      </c>
      <c r="G101" s="81" t="s">
        <v>77</v>
      </c>
      <c r="H101" s="81" t="s">
        <v>887</v>
      </c>
      <c r="I101" s="81" t="s">
        <v>341</v>
      </c>
      <c r="J101" s="79"/>
      <c r="K101" s="79"/>
      <c r="L101" s="79"/>
    </row>
    <row r="102" spans="1:12">
      <c r="A102" s="81" t="s">
        <v>882</v>
      </c>
      <c r="B102" s="81" t="s">
        <v>399</v>
      </c>
      <c r="C102" s="81" t="s">
        <v>201</v>
      </c>
      <c r="D102" s="81" t="s">
        <v>400</v>
      </c>
      <c r="E102" s="81" t="s">
        <v>895</v>
      </c>
      <c r="F102" s="81" t="s">
        <v>398</v>
      </c>
      <c r="G102" s="81" t="s">
        <v>77</v>
      </c>
      <c r="H102" s="81" t="s">
        <v>884</v>
      </c>
      <c r="I102" s="81" t="s">
        <v>243</v>
      </c>
      <c r="J102" s="79"/>
      <c r="K102" s="79"/>
      <c r="L102" s="79"/>
    </row>
    <row r="103" spans="1:12">
      <c r="A103" s="81" t="s">
        <v>882</v>
      </c>
      <c r="B103" s="81" t="s">
        <v>399</v>
      </c>
      <c r="C103" s="81" t="s">
        <v>85</v>
      </c>
      <c r="D103" s="81" t="s">
        <v>93</v>
      </c>
      <c r="E103" s="81" t="s">
        <v>888</v>
      </c>
      <c r="F103" s="81" t="s">
        <v>404</v>
      </c>
      <c r="G103" s="81" t="s">
        <v>77</v>
      </c>
      <c r="H103" s="81" t="s">
        <v>884</v>
      </c>
      <c r="I103" s="81" t="s">
        <v>243</v>
      </c>
      <c r="J103" s="79"/>
      <c r="K103" s="79"/>
      <c r="L103" s="79"/>
    </row>
    <row r="104" spans="1:12">
      <c r="A104" s="81" t="s">
        <v>882</v>
      </c>
      <c r="B104" s="81" t="s">
        <v>399</v>
      </c>
      <c r="C104" s="81" t="s">
        <v>85</v>
      </c>
      <c r="D104" s="81" t="s">
        <v>93</v>
      </c>
      <c r="E104" s="81" t="s">
        <v>896</v>
      </c>
      <c r="F104" s="81" t="s">
        <v>407</v>
      </c>
      <c r="G104" s="81" t="s">
        <v>77</v>
      </c>
      <c r="H104" s="81" t="s">
        <v>884</v>
      </c>
      <c r="I104" s="81" t="s">
        <v>243</v>
      </c>
      <c r="J104" s="79"/>
      <c r="K104" s="79"/>
      <c r="L104" s="79"/>
    </row>
    <row r="105" spans="1:12">
      <c r="A105" s="81" t="s">
        <v>882</v>
      </c>
      <c r="B105" s="81" t="s">
        <v>399</v>
      </c>
      <c r="C105" s="81" t="s">
        <v>85</v>
      </c>
      <c r="D105" s="81" t="s">
        <v>93</v>
      </c>
      <c r="E105" s="81" t="s">
        <v>885</v>
      </c>
      <c r="F105" s="81" t="s">
        <v>408</v>
      </c>
      <c r="G105" s="81" t="s">
        <v>77</v>
      </c>
      <c r="H105" s="81" t="s">
        <v>884</v>
      </c>
      <c r="I105" s="81" t="s">
        <v>243</v>
      </c>
      <c r="J105" s="79"/>
      <c r="K105" s="79"/>
      <c r="L105" s="79"/>
    </row>
    <row r="106" ht="26" spans="1:12">
      <c r="A106" s="81" t="s">
        <v>882</v>
      </c>
      <c r="B106" s="81" t="s">
        <v>399</v>
      </c>
      <c r="C106" s="81" t="s">
        <v>85</v>
      </c>
      <c r="D106" s="81" t="s">
        <v>411</v>
      </c>
      <c r="E106" s="81" t="s">
        <v>897</v>
      </c>
      <c r="F106" s="81" t="s">
        <v>410</v>
      </c>
      <c r="G106" s="81" t="s">
        <v>77</v>
      </c>
      <c r="H106" s="81" t="s">
        <v>887</v>
      </c>
      <c r="I106" s="81" t="s">
        <v>341</v>
      </c>
      <c r="J106" s="79"/>
      <c r="K106" s="79"/>
      <c r="L106" s="79"/>
    </row>
    <row r="107" ht="26" spans="1:12">
      <c r="A107" s="81" t="s">
        <v>882</v>
      </c>
      <c r="B107" s="81" t="s">
        <v>399</v>
      </c>
      <c r="C107" s="81" t="s">
        <v>85</v>
      </c>
      <c r="D107" s="81" t="s">
        <v>411</v>
      </c>
      <c r="E107" s="81" t="s">
        <v>897</v>
      </c>
      <c r="F107" s="81" t="s">
        <v>416</v>
      </c>
      <c r="G107" s="81" t="s">
        <v>77</v>
      </c>
      <c r="H107" s="81" t="s">
        <v>887</v>
      </c>
      <c r="I107" s="81" t="s">
        <v>341</v>
      </c>
      <c r="J107" s="79"/>
      <c r="K107" s="79"/>
      <c r="L107" s="79"/>
    </row>
    <row r="108" ht="26" spans="1:12">
      <c r="A108" s="81" t="s">
        <v>882</v>
      </c>
      <c r="B108" s="81" t="s">
        <v>399</v>
      </c>
      <c r="C108" s="81" t="s">
        <v>85</v>
      </c>
      <c r="D108" s="81" t="s">
        <v>411</v>
      </c>
      <c r="E108" s="81" t="s">
        <v>897</v>
      </c>
      <c r="F108" s="81" t="s">
        <v>418</v>
      </c>
      <c r="G108" s="81" t="s">
        <v>77</v>
      </c>
      <c r="H108" s="81" t="s">
        <v>887</v>
      </c>
      <c r="I108" s="81" t="s">
        <v>341</v>
      </c>
      <c r="J108" s="79"/>
      <c r="K108" s="79"/>
      <c r="L108" s="79"/>
    </row>
    <row r="109" spans="1:12">
      <c r="A109" s="81" t="s">
        <v>882</v>
      </c>
      <c r="B109" s="81" t="s">
        <v>399</v>
      </c>
      <c r="C109" s="81" t="s">
        <v>201</v>
      </c>
      <c r="D109" s="81" t="s">
        <v>421</v>
      </c>
      <c r="E109" s="81" t="s">
        <v>898</v>
      </c>
      <c r="F109" s="81" t="s">
        <v>420</v>
      </c>
      <c r="G109" s="81" t="s">
        <v>77</v>
      </c>
      <c r="H109" s="81" t="s">
        <v>884</v>
      </c>
      <c r="I109" s="81" t="s">
        <v>243</v>
      </c>
      <c r="J109" s="79"/>
      <c r="K109" s="79"/>
      <c r="L109" s="79"/>
    </row>
    <row r="110" spans="1:12">
      <c r="A110" s="81" t="s">
        <v>882</v>
      </c>
      <c r="B110" s="81" t="s">
        <v>399</v>
      </c>
      <c r="C110" s="81" t="s">
        <v>203</v>
      </c>
      <c r="D110" s="81" t="s">
        <v>362</v>
      </c>
      <c r="E110" s="81" t="s">
        <v>899</v>
      </c>
      <c r="F110" s="81" t="s">
        <v>424</v>
      </c>
      <c r="G110" s="81" t="s">
        <v>77</v>
      </c>
      <c r="H110" s="81" t="s">
        <v>892</v>
      </c>
      <c r="I110" s="81" t="s">
        <v>243</v>
      </c>
      <c r="J110" s="79"/>
      <c r="K110" s="79"/>
      <c r="L110" s="79"/>
    </row>
    <row r="111" spans="1:12">
      <c r="A111" s="81" t="s">
        <v>882</v>
      </c>
      <c r="B111" s="81" t="s">
        <v>399</v>
      </c>
      <c r="C111" s="81" t="s">
        <v>201</v>
      </c>
      <c r="D111" s="81" t="s">
        <v>421</v>
      </c>
      <c r="E111" s="81" t="s">
        <v>900</v>
      </c>
      <c r="F111" s="81" t="s">
        <v>426</v>
      </c>
      <c r="G111" s="81" t="s">
        <v>77</v>
      </c>
      <c r="H111" s="81" t="s">
        <v>884</v>
      </c>
      <c r="I111" s="81" t="s">
        <v>243</v>
      </c>
      <c r="J111" s="79"/>
      <c r="K111" s="79"/>
      <c r="L111" s="79"/>
    </row>
    <row r="112" ht="26" spans="1:12">
      <c r="A112" s="81" t="s">
        <v>882</v>
      </c>
      <c r="B112" s="81" t="s">
        <v>399</v>
      </c>
      <c r="C112" s="81" t="s">
        <v>201</v>
      </c>
      <c r="D112" s="81" t="s">
        <v>421</v>
      </c>
      <c r="E112" s="81" t="s">
        <v>901</v>
      </c>
      <c r="F112" s="81" t="s">
        <v>427</v>
      </c>
      <c r="G112" s="81" t="s">
        <v>77</v>
      </c>
      <c r="H112" s="81" t="s">
        <v>884</v>
      </c>
      <c r="I112" s="81" t="s">
        <v>243</v>
      </c>
      <c r="J112" s="79"/>
      <c r="K112" s="79"/>
      <c r="L112" s="79"/>
    </row>
    <row r="113" spans="1:12">
      <c r="A113" s="81" t="s">
        <v>882</v>
      </c>
      <c r="B113" s="81" t="s">
        <v>399</v>
      </c>
      <c r="C113" s="81" t="s">
        <v>201</v>
      </c>
      <c r="D113" s="81" t="s">
        <v>400</v>
      </c>
      <c r="E113" s="81" t="s">
        <v>902</v>
      </c>
      <c r="F113" s="81" t="s">
        <v>429</v>
      </c>
      <c r="G113" s="81" t="s">
        <v>77</v>
      </c>
      <c r="H113" s="81" t="s">
        <v>884</v>
      </c>
      <c r="I113" s="81" t="s">
        <v>243</v>
      </c>
      <c r="J113" s="79"/>
      <c r="K113" s="79"/>
      <c r="L113" s="79"/>
    </row>
    <row r="114" spans="1:12">
      <c r="A114" s="81" t="s">
        <v>882</v>
      </c>
      <c r="B114" s="81" t="s">
        <v>399</v>
      </c>
      <c r="C114" s="81" t="s">
        <v>201</v>
      </c>
      <c r="D114" s="81" t="s">
        <v>400</v>
      </c>
      <c r="E114" s="81" t="s">
        <v>902</v>
      </c>
      <c r="F114" s="81" t="s">
        <v>432</v>
      </c>
      <c r="G114" s="81" t="s">
        <v>77</v>
      </c>
      <c r="H114" s="81" t="s">
        <v>884</v>
      </c>
      <c r="I114" s="81" t="s">
        <v>243</v>
      </c>
      <c r="J114" s="79"/>
      <c r="K114" s="79"/>
      <c r="L114" s="79"/>
    </row>
    <row r="115" spans="1:12">
      <c r="A115" s="81" t="s">
        <v>882</v>
      </c>
      <c r="B115" s="81" t="s">
        <v>399</v>
      </c>
      <c r="C115" s="81" t="s">
        <v>201</v>
      </c>
      <c r="D115" s="81" t="s">
        <v>400</v>
      </c>
      <c r="E115" s="81" t="s">
        <v>902</v>
      </c>
      <c r="F115" s="81" t="s">
        <v>433</v>
      </c>
      <c r="G115" s="81" t="s">
        <v>77</v>
      </c>
      <c r="H115" s="81" t="s">
        <v>884</v>
      </c>
      <c r="I115" s="81" t="s">
        <v>243</v>
      </c>
      <c r="J115" s="79"/>
      <c r="K115" s="79"/>
      <c r="L115" s="79"/>
    </row>
    <row r="116" spans="1:12">
      <c r="A116" s="81" t="s">
        <v>882</v>
      </c>
      <c r="B116" s="81" t="s">
        <v>399</v>
      </c>
      <c r="C116" s="81" t="s">
        <v>201</v>
      </c>
      <c r="D116" s="81" t="s">
        <v>435</v>
      </c>
      <c r="E116" s="81" t="s">
        <v>903</v>
      </c>
      <c r="F116" s="81" t="s">
        <v>434</v>
      </c>
      <c r="G116" s="81" t="s">
        <v>77</v>
      </c>
      <c r="H116" s="81" t="s">
        <v>884</v>
      </c>
      <c r="I116" s="81" t="s">
        <v>243</v>
      </c>
      <c r="J116" s="79"/>
      <c r="K116" s="79"/>
      <c r="L116" s="79"/>
    </row>
    <row r="117" spans="1:12">
      <c r="A117" s="81" t="s">
        <v>882</v>
      </c>
      <c r="B117" s="81" t="s">
        <v>399</v>
      </c>
      <c r="C117" s="81" t="s">
        <v>201</v>
      </c>
      <c r="D117" s="81" t="s">
        <v>435</v>
      </c>
      <c r="E117" s="81" t="s">
        <v>903</v>
      </c>
      <c r="F117" s="81" t="s">
        <v>439</v>
      </c>
      <c r="G117" s="81" t="s">
        <v>77</v>
      </c>
      <c r="H117" s="81" t="s">
        <v>884</v>
      </c>
      <c r="I117" s="81" t="s">
        <v>243</v>
      </c>
      <c r="J117" s="79"/>
      <c r="K117" s="79"/>
      <c r="L117" s="79"/>
    </row>
    <row r="118" spans="1:12">
      <c r="A118" s="81" t="s">
        <v>882</v>
      </c>
      <c r="B118" s="81" t="s">
        <v>399</v>
      </c>
      <c r="C118" s="81" t="s">
        <v>201</v>
      </c>
      <c r="D118" s="81" t="s">
        <v>435</v>
      </c>
      <c r="E118" s="81" t="s">
        <v>903</v>
      </c>
      <c r="F118" s="81" t="s">
        <v>441</v>
      </c>
      <c r="G118" s="81" t="s">
        <v>77</v>
      </c>
      <c r="H118" s="81" t="s">
        <v>884</v>
      </c>
      <c r="I118" s="81" t="s">
        <v>243</v>
      </c>
      <c r="J118" s="79"/>
      <c r="K118" s="79"/>
      <c r="L118" s="79"/>
    </row>
    <row r="119" spans="1:12">
      <c r="A119" s="81" t="s">
        <v>882</v>
      </c>
      <c r="B119" s="81" t="s">
        <v>399</v>
      </c>
      <c r="C119" s="81" t="s">
        <v>201</v>
      </c>
      <c r="D119" s="81" t="s">
        <v>435</v>
      </c>
      <c r="E119" s="81" t="s">
        <v>903</v>
      </c>
      <c r="F119" s="81" t="s">
        <v>443</v>
      </c>
      <c r="G119" s="81" t="s">
        <v>77</v>
      </c>
      <c r="H119" s="81" t="s">
        <v>884</v>
      </c>
      <c r="I119" s="81" t="s">
        <v>243</v>
      </c>
      <c r="J119" s="79"/>
      <c r="K119" s="79"/>
      <c r="L119" s="79"/>
    </row>
    <row r="120" spans="1:12">
      <c r="A120" s="81" t="s">
        <v>882</v>
      </c>
      <c r="B120" s="81" t="s">
        <v>399</v>
      </c>
      <c r="C120" s="81" t="s">
        <v>201</v>
      </c>
      <c r="D120" s="81" t="s">
        <v>435</v>
      </c>
      <c r="E120" s="81" t="s">
        <v>903</v>
      </c>
      <c r="F120" s="81" t="s">
        <v>444</v>
      </c>
      <c r="G120" s="81" t="s">
        <v>77</v>
      </c>
      <c r="H120" s="81" t="s">
        <v>884</v>
      </c>
      <c r="I120" s="81" t="s">
        <v>243</v>
      </c>
      <c r="J120" s="79"/>
      <c r="K120" s="79"/>
      <c r="L120" s="79"/>
    </row>
    <row r="121" spans="1:12">
      <c r="A121" s="81" t="s">
        <v>882</v>
      </c>
      <c r="B121" s="81" t="s">
        <v>399</v>
      </c>
      <c r="C121" s="81" t="s">
        <v>201</v>
      </c>
      <c r="D121" s="81" t="s">
        <v>435</v>
      </c>
      <c r="E121" s="81" t="s">
        <v>903</v>
      </c>
      <c r="F121" s="81" t="s">
        <v>445</v>
      </c>
      <c r="G121" s="81" t="s">
        <v>77</v>
      </c>
      <c r="H121" s="81" t="s">
        <v>884</v>
      </c>
      <c r="I121" s="81" t="s">
        <v>243</v>
      </c>
      <c r="J121" s="79"/>
      <c r="K121" s="79"/>
      <c r="L121" s="79"/>
    </row>
    <row r="122" spans="1:12">
      <c r="A122" s="81" t="s">
        <v>882</v>
      </c>
      <c r="B122" s="81" t="s">
        <v>399</v>
      </c>
      <c r="C122" s="81" t="s">
        <v>201</v>
      </c>
      <c r="D122" s="81" t="s">
        <v>435</v>
      </c>
      <c r="E122" s="81" t="s">
        <v>904</v>
      </c>
      <c r="F122" s="81" t="s">
        <v>446</v>
      </c>
      <c r="G122" s="81" t="s">
        <v>77</v>
      </c>
      <c r="H122" s="81" t="s">
        <v>884</v>
      </c>
      <c r="I122" s="81" t="s">
        <v>243</v>
      </c>
      <c r="J122" s="79"/>
      <c r="K122" s="79"/>
      <c r="L122" s="79"/>
    </row>
    <row r="123" spans="1:12">
      <c r="A123" s="81" t="s">
        <v>882</v>
      </c>
      <c r="B123" s="81" t="s">
        <v>399</v>
      </c>
      <c r="C123" s="81" t="s">
        <v>201</v>
      </c>
      <c r="D123" s="81" t="s">
        <v>435</v>
      </c>
      <c r="E123" s="81" t="s">
        <v>903</v>
      </c>
      <c r="F123" s="81" t="s">
        <v>447</v>
      </c>
      <c r="G123" s="81" t="s">
        <v>77</v>
      </c>
      <c r="H123" s="81" t="s">
        <v>884</v>
      </c>
      <c r="I123" s="81" t="s">
        <v>243</v>
      </c>
      <c r="J123" s="79"/>
      <c r="K123" s="79"/>
      <c r="L123" s="79"/>
    </row>
    <row r="124" spans="1:12">
      <c r="A124" s="81" t="s">
        <v>882</v>
      </c>
      <c r="B124" s="81" t="s">
        <v>399</v>
      </c>
      <c r="C124" s="81" t="s">
        <v>203</v>
      </c>
      <c r="D124" s="81" t="s">
        <v>449</v>
      </c>
      <c r="E124" s="81" t="s">
        <v>905</v>
      </c>
      <c r="F124" s="81" t="s">
        <v>448</v>
      </c>
      <c r="G124" s="81" t="s">
        <v>77</v>
      </c>
      <c r="H124" s="81" t="s">
        <v>892</v>
      </c>
      <c r="I124" s="81" t="s">
        <v>243</v>
      </c>
      <c r="J124" s="79"/>
      <c r="K124" s="79"/>
      <c r="L124" s="79"/>
    </row>
    <row r="125" spans="1:12">
      <c r="A125" s="81" t="s">
        <v>882</v>
      </c>
      <c r="B125" s="81" t="s">
        <v>399</v>
      </c>
      <c r="C125" s="81" t="s">
        <v>201</v>
      </c>
      <c r="D125" s="81" t="s">
        <v>435</v>
      </c>
      <c r="E125" s="81" t="s">
        <v>906</v>
      </c>
      <c r="F125" s="81" t="s">
        <v>451</v>
      </c>
      <c r="G125" s="81" t="s">
        <v>77</v>
      </c>
      <c r="H125" s="81" t="s">
        <v>884</v>
      </c>
      <c r="I125" s="81" t="s">
        <v>243</v>
      </c>
      <c r="J125" s="79"/>
      <c r="K125" s="79"/>
      <c r="L125" s="79"/>
    </row>
    <row r="126" spans="1:12">
      <c r="A126" s="81" t="s">
        <v>882</v>
      </c>
      <c r="B126" s="81" t="s">
        <v>399</v>
      </c>
      <c r="C126" s="81" t="s">
        <v>203</v>
      </c>
      <c r="D126" s="81" t="s">
        <v>449</v>
      </c>
      <c r="E126" s="81" t="s">
        <v>905</v>
      </c>
      <c r="F126" s="81" t="s">
        <v>452</v>
      </c>
      <c r="G126" s="81" t="s">
        <v>77</v>
      </c>
      <c r="H126" s="81" t="s">
        <v>892</v>
      </c>
      <c r="I126" s="81" t="s">
        <v>243</v>
      </c>
      <c r="J126" s="79"/>
      <c r="K126" s="79"/>
      <c r="L126" s="79"/>
    </row>
    <row r="127" spans="1:12">
      <c r="A127" s="81" t="s">
        <v>882</v>
      </c>
      <c r="B127" s="81" t="s">
        <v>399</v>
      </c>
      <c r="C127" s="81" t="s">
        <v>203</v>
      </c>
      <c r="D127" s="81" t="s">
        <v>449</v>
      </c>
      <c r="E127" s="81" t="s">
        <v>905</v>
      </c>
      <c r="F127" s="81" t="s">
        <v>454</v>
      </c>
      <c r="G127" s="81" t="s">
        <v>77</v>
      </c>
      <c r="H127" s="81" t="s">
        <v>892</v>
      </c>
      <c r="I127" s="81" t="s">
        <v>243</v>
      </c>
      <c r="J127" s="79"/>
      <c r="K127" s="79"/>
      <c r="L127" s="79"/>
    </row>
    <row r="128" spans="1:12">
      <c r="A128" s="81" t="s">
        <v>882</v>
      </c>
      <c r="B128" s="81" t="s">
        <v>399</v>
      </c>
      <c r="C128" s="81" t="s">
        <v>201</v>
      </c>
      <c r="D128" s="81" t="s">
        <v>435</v>
      </c>
      <c r="E128" s="81" t="s">
        <v>907</v>
      </c>
      <c r="F128" s="81" t="s">
        <v>455</v>
      </c>
      <c r="G128" s="81" t="s">
        <v>77</v>
      </c>
      <c r="H128" s="81" t="s">
        <v>884</v>
      </c>
      <c r="I128" s="81" t="s">
        <v>243</v>
      </c>
      <c r="J128" s="79"/>
      <c r="K128" s="79"/>
      <c r="L128" s="79"/>
    </row>
    <row r="129" spans="1:12">
      <c r="A129" s="81" t="s">
        <v>882</v>
      </c>
      <c r="B129" s="81" t="s">
        <v>399</v>
      </c>
      <c r="C129" s="81" t="s">
        <v>201</v>
      </c>
      <c r="D129" s="81" t="s">
        <v>435</v>
      </c>
      <c r="E129" s="81" t="s">
        <v>903</v>
      </c>
      <c r="F129" s="81" t="s">
        <v>457</v>
      </c>
      <c r="G129" s="81" t="s">
        <v>77</v>
      </c>
      <c r="H129" s="81" t="s">
        <v>884</v>
      </c>
      <c r="I129" s="81" t="s">
        <v>243</v>
      </c>
      <c r="J129" s="79"/>
      <c r="K129" s="79"/>
      <c r="L129" s="79"/>
    </row>
    <row r="130" spans="1:12">
      <c r="A130" s="81" t="s">
        <v>882</v>
      </c>
      <c r="B130" s="81" t="s">
        <v>399</v>
      </c>
      <c r="C130" s="81" t="s">
        <v>201</v>
      </c>
      <c r="D130" s="81" t="s">
        <v>435</v>
      </c>
      <c r="E130" s="81" t="s">
        <v>908</v>
      </c>
      <c r="F130" s="81" t="s">
        <v>458</v>
      </c>
      <c r="G130" s="81" t="s">
        <v>77</v>
      </c>
      <c r="H130" s="81" t="s">
        <v>884</v>
      </c>
      <c r="I130" s="81" t="s">
        <v>243</v>
      </c>
      <c r="J130" s="79"/>
      <c r="K130" s="79"/>
      <c r="L130" s="79"/>
    </row>
    <row r="131" spans="1:12">
      <c r="A131" s="81" t="s">
        <v>882</v>
      </c>
      <c r="B131" s="81" t="s">
        <v>399</v>
      </c>
      <c r="C131" s="81" t="s">
        <v>201</v>
      </c>
      <c r="D131" s="81" t="s">
        <v>435</v>
      </c>
      <c r="E131" s="81" t="s">
        <v>903</v>
      </c>
      <c r="F131" s="81" t="s">
        <v>459</v>
      </c>
      <c r="G131" s="81" t="s">
        <v>77</v>
      </c>
      <c r="H131" s="81" t="s">
        <v>884</v>
      </c>
      <c r="I131" s="81" t="s">
        <v>243</v>
      </c>
      <c r="J131" s="79"/>
      <c r="K131" s="79"/>
      <c r="L131" s="79"/>
    </row>
    <row r="132" ht="26" spans="1:12">
      <c r="A132" s="81" t="s">
        <v>882</v>
      </c>
      <c r="B132" s="81" t="s">
        <v>399</v>
      </c>
      <c r="C132" s="81" t="s">
        <v>201</v>
      </c>
      <c r="D132" s="81" t="s">
        <v>435</v>
      </c>
      <c r="E132" s="81" t="s">
        <v>909</v>
      </c>
      <c r="F132" s="81" t="s">
        <v>461</v>
      </c>
      <c r="G132" s="81" t="s">
        <v>77</v>
      </c>
      <c r="H132" s="81" t="s">
        <v>884</v>
      </c>
      <c r="I132" s="81" t="s">
        <v>243</v>
      </c>
      <c r="J132" s="79"/>
      <c r="K132" s="79"/>
      <c r="L132" s="79"/>
    </row>
    <row r="133" ht="26" spans="1:12">
      <c r="A133" s="81" t="s">
        <v>882</v>
      </c>
      <c r="B133" s="81" t="s">
        <v>399</v>
      </c>
      <c r="C133" s="81" t="s">
        <v>201</v>
      </c>
      <c r="D133" s="81" t="s">
        <v>435</v>
      </c>
      <c r="E133" s="81" t="s">
        <v>909</v>
      </c>
      <c r="F133" s="81" t="s">
        <v>463</v>
      </c>
      <c r="G133" s="81" t="s">
        <v>77</v>
      </c>
      <c r="H133" s="81" t="s">
        <v>884</v>
      </c>
      <c r="I133" s="81" t="s">
        <v>243</v>
      </c>
      <c r="J133" s="79"/>
      <c r="K133" s="79"/>
      <c r="L133" s="79"/>
    </row>
    <row r="134" ht="26" spans="1:12">
      <c r="A134" s="81" t="s">
        <v>882</v>
      </c>
      <c r="B134" s="81" t="s">
        <v>399</v>
      </c>
      <c r="C134" s="81" t="s">
        <v>201</v>
      </c>
      <c r="D134" s="81" t="s">
        <v>435</v>
      </c>
      <c r="E134" s="81" t="s">
        <v>909</v>
      </c>
      <c r="F134" s="81" t="s">
        <v>464</v>
      </c>
      <c r="G134" s="81" t="s">
        <v>77</v>
      </c>
      <c r="H134" s="81" t="s">
        <v>884</v>
      </c>
      <c r="I134" s="81" t="s">
        <v>243</v>
      </c>
      <c r="J134" s="79"/>
      <c r="K134" s="79"/>
      <c r="L134" s="79"/>
    </row>
    <row r="135" spans="1:12">
      <c r="A135" s="81" t="s">
        <v>882</v>
      </c>
      <c r="B135" s="81" t="s">
        <v>399</v>
      </c>
      <c r="C135" s="81" t="s">
        <v>201</v>
      </c>
      <c r="D135" s="81" t="s">
        <v>435</v>
      </c>
      <c r="E135" s="81" t="s">
        <v>903</v>
      </c>
      <c r="F135" s="81" t="s">
        <v>465</v>
      </c>
      <c r="G135" s="81" t="s">
        <v>77</v>
      </c>
      <c r="H135" s="81" t="s">
        <v>884</v>
      </c>
      <c r="I135" s="81" t="s">
        <v>243</v>
      </c>
      <c r="J135" s="79"/>
      <c r="K135" s="79"/>
      <c r="L135" s="79"/>
    </row>
    <row r="136" ht="26" spans="1:12">
      <c r="A136" s="81" t="s">
        <v>882</v>
      </c>
      <c r="B136" s="81" t="s">
        <v>399</v>
      </c>
      <c r="C136" s="81" t="s">
        <v>201</v>
      </c>
      <c r="D136" s="81" t="s">
        <v>435</v>
      </c>
      <c r="E136" s="81" t="s">
        <v>909</v>
      </c>
      <c r="F136" s="81" t="s">
        <v>466</v>
      </c>
      <c r="G136" s="81" t="s">
        <v>77</v>
      </c>
      <c r="H136" s="81" t="s">
        <v>884</v>
      </c>
      <c r="I136" s="81" t="s">
        <v>243</v>
      </c>
      <c r="J136" s="79"/>
      <c r="K136" s="79"/>
      <c r="L136" s="79"/>
    </row>
    <row r="137" spans="1:12">
      <c r="A137" s="81" t="s">
        <v>882</v>
      </c>
      <c r="B137" s="81" t="s">
        <v>399</v>
      </c>
      <c r="C137" s="81" t="s">
        <v>203</v>
      </c>
      <c r="D137" s="81" t="s">
        <v>449</v>
      </c>
      <c r="E137" s="81" t="s">
        <v>905</v>
      </c>
      <c r="F137" s="81" t="s">
        <v>467</v>
      </c>
      <c r="G137" s="81" t="s">
        <v>77</v>
      </c>
      <c r="H137" s="81" t="s">
        <v>892</v>
      </c>
      <c r="I137" s="81" t="s">
        <v>243</v>
      </c>
      <c r="J137" s="79"/>
      <c r="K137" s="79"/>
      <c r="L137" s="79"/>
    </row>
    <row r="138" spans="1:12">
      <c r="A138" s="81" t="s">
        <v>882</v>
      </c>
      <c r="B138" s="81" t="s">
        <v>399</v>
      </c>
      <c r="C138" s="81" t="s">
        <v>203</v>
      </c>
      <c r="D138" s="81" t="s">
        <v>449</v>
      </c>
      <c r="E138" s="81" t="s">
        <v>905</v>
      </c>
      <c r="F138" s="81" t="s">
        <v>468</v>
      </c>
      <c r="G138" s="81" t="s">
        <v>77</v>
      </c>
      <c r="H138" s="81" t="s">
        <v>892</v>
      </c>
      <c r="I138" s="81" t="s">
        <v>243</v>
      </c>
      <c r="J138" s="79"/>
      <c r="K138" s="79"/>
      <c r="L138" s="79"/>
    </row>
    <row r="139" spans="1:12">
      <c r="A139" s="81" t="s">
        <v>882</v>
      </c>
      <c r="B139" s="81" t="s">
        <v>399</v>
      </c>
      <c r="C139" s="81" t="s">
        <v>201</v>
      </c>
      <c r="D139" s="81" t="s">
        <v>435</v>
      </c>
      <c r="E139" s="81" t="s">
        <v>903</v>
      </c>
      <c r="F139" s="81" t="s">
        <v>469</v>
      </c>
      <c r="G139" s="81" t="s">
        <v>77</v>
      </c>
      <c r="H139" s="81" t="s">
        <v>884</v>
      </c>
      <c r="I139" s="81" t="s">
        <v>243</v>
      </c>
      <c r="J139" s="79"/>
      <c r="K139" s="79"/>
      <c r="L139" s="79"/>
    </row>
    <row r="140" spans="1:12">
      <c r="A140" s="81" t="s">
        <v>882</v>
      </c>
      <c r="B140" s="81" t="s">
        <v>399</v>
      </c>
      <c r="C140" s="81" t="s">
        <v>201</v>
      </c>
      <c r="D140" s="81" t="s">
        <v>435</v>
      </c>
      <c r="E140" s="81" t="s">
        <v>903</v>
      </c>
      <c r="F140" s="81" t="s">
        <v>470</v>
      </c>
      <c r="G140" s="81" t="s">
        <v>77</v>
      </c>
      <c r="H140" s="81" t="s">
        <v>884</v>
      </c>
      <c r="I140" s="81" t="s">
        <v>243</v>
      </c>
      <c r="J140" s="79"/>
      <c r="K140" s="79"/>
      <c r="L140" s="79"/>
    </row>
    <row r="141" spans="1:12">
      <c r="A141" s="81" t="s">
        <v>882</v>
      </c>
      <c r="B141" s="81" t="s">
        <v>399</v>
      </c>
      <c r="C141" s="81" t="s">
        <v>201</v>
      </c>
      <c r="D141" s="81" t="s">
        <v>435</v>
      </c>
      <c r="E141" s="81" t="s">
        <v>907</v>
      </c>
      <c r="F141" s="81" t="s">
        <v>471</v>
      </c>
      <c r="G141" s="81" t="s">
        <v>77</v>
      </c>
      <c r="H141" s="81" t="s">
        <v>884</v>
      </c>
      <c r="I141" s="81" t="s">
        <v>243</v>
      </c>
      <c r="J141" s="79"/>
      <c r="K141" s="79"/>
      <c r="L141" s="79"/>
    </row>
    <row r="142" spans="1:12">
      <c r="A142" s="81" t="s">
        <v>882</v>
      </c>
      <c r="B142" s="81" t="s">
        <v>399</v>
      </c>
      <c r="C142" s="81" t="s">
        <v>201</v>
      </c>
      <c r="D142" s="81" t="s">
        <v>435</v>
      </c>
      <c r="E142" s="81" t="s">
        <v>903</v>
      </c>
      <c r="F142" s="81" t="s">
        <v>472</v>
      </c>
      <c r="G142" s="81" t="s">
        <v>77</v>
      </c>
      <c r="H142" s="81" t="s">
        <v>884</v>
      </c>
      <c r="I142" s="81" t="s">
        <v>243</v>
      </c>
      <c r="J142" s="79"/>
      <c r="K142" s="79"/>
      <c r="L142" s="79"/>
    </row>
    <row r="143" spans="1:12">
      <c r="A143" s="81" t="s">
        <v>882</v>
      </c>
      <c r="B143" s="81" t="s">
        <v>399</v>
      </c>
      <c r="C143" s="81" t="s">
        <v>201</v>
      </c>
      <c r="D143" s="81" t="s">
        <v>435</v>
      </c>
      <c r="E143" s="81" t="s">
        <v>903</v>
      </c>
      <c r="F143" s="81" t="s">
        <v>473</v>
      </c>
      <c r="G143" s="81" t="s">
        <v>77</v>
      </c>
      <c r="H143" s="81" t="s">
        <v>884</v>
      </c>
      <c r="I143" s="81" t="s">
        <v>243</v>
      </c>
      <c r="J143" s="79"/>
      <c r="K143" s="79"/>
      <c r="L143" s="79"/>
    </row>
    <row r="144" ht="26" spans="1:12">
      <c r="A144" s="81" t="s">
        <v>882</v>
      </c>
      <c r="B144" s="81" t="s">
        <v>399</v>
      </c>
      <c r="C144" s="81" t="s">
        <v>201</v>
      </c>
      <c r="D144" s="81" t="s">
        <v>435</v>
      </c>
      <c r="E144" s="81" t="s">
        <v>909</v>
      </c>
      <c r="F144" s="81" t="s">
        <v>474</v>
      </c>
      <c r="G144" s="81" t="s">
        <v>77</v>
      </c>
      <c r="H144" s="81" t="s">
        <v>884</v>
      </c>
      <c r="I144" s="81" t="s">
        <v>243</v>
      </c>
      <c r="J144" s="79"/>
      <c r="K144" s="79"/>
      <c r="L144" s="79"/>
    </row>
    <row r="145" ht="26" spans="1:12">
      <c r="A145" s="81" t="s">
        <v>882</v>
      </c>
      <c r="B145" s="81" t="s">
        <v>399</v>
      </c>
      <c r="C145" s="81" t="s">
        <v>201</v>
      </c>
      <c r="D145" s="81" t="s">
        <v>435</v>
      </c>
      <c r="E145" s="81" t="s">
        <v>909</v>
      </c>
      <c r="F145" s="81" t="s">
        <v>476</v>
      </c>
      <c r="G145" s="81" t="s">
        <v>77</v>
      </c>
      <c r="H145" s="81" t="s">
        <v>884</v>
      </c>
      <c r="I145" s="81" t="s">
        <v>243</v>
      </c>
      <c r="J145" s="79"/>
      <c r="K145" s="79"/>
      <c r="L145" s="79"/>
    </row>
    <row r="146" ht="26" spans="1:12">
      <c r="A146" s="81" t="s">
        <v>882</v>
      </c>
      <c r="B146" s="81" t="s">
        <v>399</v>
      </c>
      <c r="C146" s="81" t="s">
        <v>201</v>
      </c>
      <c r="D146" s="81" t="s">
        <v>435</v>
      </c>
      <c r="E146" s="81" t="s">
        <v>909</v>
      </c>
      <c r="F146" s="81" t="s">
        <v>477</v>
      </c>
      <c r="G146" s="81" t="s">
        <v>77</v>
      </c>
      <c r="H146" s="81" t="s">
        <v>884</v>
      </c>
      <c r="I146" s="81" t="s">
        <v>243</v>
      </c>
      <c r="J146" s="79"/>
      <c r="K146" s="79"/>
      <c r="L146" s="79"/>
    </row>
    <row r="147" ht="26" spans="1:12">
      <c r="A147" s="81" t="s">
        <v>882</v>
      </c>
      <c r="B147" s="81" t="s">
        <v>399</v>
      </c>
      <c r="C147" s="81" t="s">
        <v>201</v>
      </c>
      <c r="D147" s="81" t="s">
        <v>435</v>
      </c>
      <c r="E147" s="81" t="s">
        <v>909</v>
      </c>
      <c r="F147" s="81" t="s">
        <v>478</v>
      </c>
      <c r="G147" s="81" t="s">
        <v>77</v>
      </c>
      <c r="H147" s="81" t="s">
        <v>884</v>
      </c>
      <c r="I147" s="81" t="s">
        <v>243</v>
      </c>
      <c r="J147" s="79"/>
      <c r="K147" s="79"/>
      <c r="L147" s="79"/>
    </row>
    <row r="148" spans="1:12">
      <c r="A148" s="81" t="s">
        <v>882</v>
      </c>
      <c r="B148" s="81" t="s">
        <v>399</v>
      </c>
      <c r="C148" s="81" t="s">
        <v>201</v>
      </c>
      <c r="D148" s="81" t="s">
        <v>435</v>
      </c>
      <c r="E148" s="81" t="s">
        <v>903</v>
      </c>
      <c r="F148" s="81" t="s">
        <v>479</v>
      </c>
      <c r="G148" s="81" t="s">
        <v>77</v>
      </c>
      <c r="H148" s="81" t="s">
        <v>884</v>
      </c>
      <c r="I148" s="81" t="s">
        <v>243</v>
      </c>
      <c r="J148" s="79"/>
      <c r="K148" s="79"/>
      <c r="L148" s="79"/>
    </row>
    <row r="149" spans="1:12">
      <c r="A149" s="81" t="s">
        <v>882</v>
      </c>
      <c r="B149" s="81" t="s">
        <v>399</v>
      </c>
      <c r="C149" s="81" t="s">
        <v>201</v>
      </c>
      <c r="D149" s="81" t="s">
        <v>435</v>
      </c>
      <c r="E149" s="81" t="s">
        <v>903</v>
      </c>
      <c r="F149" s="81" t="s">
        <v>481</v>
      </c>
      <c r="G149" s="81" t="s">
        <v>77</v>
      </c>
      <c r="H149" s="81" t="s">
        <v>884</v>
      </c>
      <c r="I149" s="81" t="s">
        <v>243</v>
      </c>
      <c r="J149" s="79"/>
      <c r="K149" s="79"/>
      <c r="L149" s="79"/>
    </row>
    <row r="150" spans="1:12">
      <c r="A150" s="81" t="s">
        <v>882</v>
      </c>
      <c r="B150" s="81" t="s">
        <v>399</v>
      </c>
      <c r="C150" s="81" t="s">
        <v>203</v>
      </c>
      <c r="D150" s="81" t="s">
        <v>483</v>
      </c>
      <c r="E150" s="81" t="s">
        <v>910</v>
      </c>
      <c r="F150" s="81" t="s">
        <v>482</v>
      </c>
      <c r="G150" s="81" t="s">
        <v>77</v>
      </c>
      <c r="H150" s="81" t="s">
        <v>892</v>
      </c>
      <c r="I150" s="81" t="s">
        <v>243</v>
      </c>
      <c r="J150" s="79"/>
      <c r="K150" s="79"/>
      <c r="L150" s="79"/>
    </row>
    <row r="151" spans="1:12">
      <c r="A151" s="81" t="s">
        <v>882</v>
      </c>
      <c r="B151" s="81" t="s">
        <v>399</v>
      </c>
      <c r="C151" s="81" t="s">
        <v>203</v>
      </c>
      <c r="D151" s="81" t="s">
        <v>483</v>
      </c>
      <c r="E151" s="81" t="s">
        <v>910</v>
      </c>
      <c r="F151" s="81" t="s">
        <v>486</v>
      </c>
      <c r="G151" s="81" t="s">
        <v>77</v>
      </c>
      <c r="H151" s="81" t="s">
        <v>892</v>
      </c>
      <c r="I151" s="81" t="s">
        <v>243</v>
      </c>
      <c r="J151" s="79"/>
      <c r="K151" s="79"/>
      <c r="L151" s="79"/>
    </row>
    <row r="152" spans="1:12">
      <c r="A152" s="81" t="s">
        <v>882</v>
      </c>
      <c r="B152" s="81" t="s">
        <v>399</v>
      </c>
      <c r="C152" s="81" t="s">
        <v>201</v>
      </c>
      <c r="D152" s="81" t="s">
        <v>488</v>
      </c>
      <c r="E152" s="81" t="s">
        <v>911</v>
      </c>
      <c r="F152" s="81" t="s">
        <v>487</v>
      </c>
      <c r="G152" s="81" t="s">
        <v>77</v>
      </c>
      <c r="H152" s="81" t="s">
        <v>884</v>
      </c>
      <c r="I152" s="81" t="s">
        <v>243</v>
      </c>
      <c r="J152" s="79"/>
      <c r="K152" s="79"/>
      <c r="L152" s="79"/>
    </row>
    <row r="153" ht="26" spans="1:12">
      <c r="A153" s="81" t="s">
        <v>882</v>
      </c>
      <c r="B153" s="81" t="s">
        <v>399</v>
      </c>
      <c r="C153" s="81" t="s">
        <v>201</v>
      </c>
      <c r="D153" s="81" t="s">
        <v>488</v>
      </c>
      <c r="E153" s="81" t="s">
        <v>912</v>
      </c>
      <c r="F153" s="81" t="s">
        <v>490</v>
      </c>
      <c r="G153" s="81" t="s">
        <v>77</v>
      </c>
      <c r="H153" s="81" t="s">
        <v>884</v>
      </c>
      <c r="I153" s="81" t="s">
        <v>243</v>
      </c>
      <c r="J153" s="79"/>
      <c r="K153" s="79"/>
      <c r="L153" s="79"/>
    </row>
    <row r="154" spans="1:12">
      <c r="A154" s="81" t="s">
        <v>882</v>
      </c>
      <c r="B154" s="81" t="s">
        <v>399</v>
      </c>
      <c r="C154" s="81" t="s">
        <v>203</v>
      </c>
      <c r="D154" s="81" t="s">
        <v>362</v>
      </c>
      <c r="E154" s="81" t="s">
        <v>891</v>
      </c>
      <c r="F154" s="81" t="s">
        <v>491</v>
      </c>
      <c r="G154" s="81" t="s">
        <v>77</v>
      </c>
      <c r="H154" s="81" t="s">
        <v>892</v>
      </c>
      <c r="I154" s="81" t="s">
        <v>243</v>
      </c>
      <c r="J154" s="79"/>
      <c r="K154" s="79"/>
      <c r="L154" s="79"/>
    </row>
    <row r="155" spans="1:12">
      <c r="A155" s="81" t="s">
        <v>882</v>
      </c>
      <c r="B155" s="81" t="s">
        <v>399</v>
      </c>
      <c r="C155" s="81" t="s">
        <v>203</v>
      </c>
      <c r="D155" s="81" t="s">
        <v>362</v>
      </c>
      <c r="E155" s="81" t="s">
        <v>891</v>
      </c>
      <c r="F155" s="81" t="s">
        <v>494</v>
      </c>
      <c r="G155" s="81" t="s">
        <v>77</v>
      </c>
      <c r="H155" s="81" t="s">
        <v>892</v>
      </c>
      <c r="I155" s="81" t="s">
        <v>243</v>
      </c>
      <c r="J155" s="79"/>
      <c r="K155" s="79"/>
      <c r="L155" s="79"/>
    </row>
    <row r="156" spans="1:12">
      <c r="A156" s="81" t="s">
        <v>882</v>
      </c>
      <c r="B156" s="81" t="s">
        <v>399</v>
      </c>
      <c r="C156" s="81" t="s">
        <v>85</v>
      </c>
      <c r="D156" s="81" t="s">
        <v>93</v>
      </c>
      <c r="E156" s="81" t="s">
        <v>913</v>
      </c>
      <c r="F156" s="81" t="s">
        <v>495</v>
      </c>
      <c r="G156" s="81" t="s">
        <v>77</v>
      </c>
      <c r="H156" s="81" t="s">
        <v>884</v>
      </c>
      <c r="I156" s="81" t="s">
        <v>243</v>
      </c>
      <c r="J156" s="79"/>
      <c r="K156" s="79"/>
      <c r="L156" s="79"/>
    </row>
    <row r="157" spans="1:12">
      <c r="A157" s="81" t="s">
        <v>882</v>
      </c>
      <c r="B157" s="81" t="s">
        <v>399</v>
      </c>
      <c r="C157" s="81" t="s">
        <v>85</v>
      </c>
      <c r="D157" s="81" t="s">
        <v>93</v>
      </c>
      <c r="E157" s="81" t="s">
        <v>913</v>
      </c>
      <c r="F157" s="81" t="s">
        <v>496</v>
      </c>
      <c r="G157" s="81" t="s">
        <v>77</v>
      </c>
      <c r="H157" s="81" t="s">
        <v>884</v>
      </c>
      <c r="I157" s="81" t="s">
        <v>243</v>
      </c>
      <c r="J157" s="79"/>
      <c r="K157" s="79"/>
      <c r="L157" s="79"/>
    </row>
    <row r="158" spans="1:12">
      <c r="A158" s="81" t="s">
        <v>882</v>
      </c>
      <c r="B158" s="81" t="s">
        <v>399</v>
      </c>
      <c r="C158" s="81" t="s">
        <v>203</v>
      </c>
      <c r="D158" s="81" t="s">
        <v>362</v>
      </c>
      <c r="E158" s="81" t="s">
        <v>891</v>
      </c>
      <c r="F158" s="81" t="s">
        <v>498</v>
      </c>
      <c r="G158" s="81" t="s">
        <v>77</v>
      </c>
      <c r="H158" s="81" t="s">
        <v>892</v>
      </c>
      <c r="I158" s="81" t="s">
        <v>243</v>
      </c>
      <c r="J158" s="79"/>
      <c r="K158" s="79"/>
      <c r="L158" s="79"/>
    </row>
    <row r="159" spans="1:12">
      <c r="A159" s="81" t="s">
        <v>882</v>
      </c>
      <c r="B159" s="81" t="s">
        <v>399</v>
      </c>
      <c r="C159" s="81" t="s">
        <v>203</v>
      </c>
      <c r="D159" s="81" t="s">
        <v>362</v>
      </c>
      <c r="E159" s="81" t="s">
        <v>891</v>
      </c>
      <c r="F159" s="81" t="s">
        <v>502</v>
      </c>
      <c r="G159" s="81" t="s">
        <v>77</v>
      </c>
      <c r="H159" s="81" t="s">
        <v>892</v>
      </c>
      <c r="I159" s="81" t="s">
        <v>243</v>
      </c>
      <c r="J159" s="79"/>
      <c r="K159" s="79"/>
      <c r="L159" s="79"/>
    </row>
    <row r="160" spans="1:12">
      <c r="A160" s="81" t="s">
        <v>882</v>
      </c>
      <c r="B160" s="81" t="s">
        <v>399</v>
      </c>
      <c r="C160" s="81" t="s">
        <v>203</v>
      </c>
      <c r="D160" s="81" t="s">
        <v>362</v>
      </c>
      <c r="E160" s="81" t="s">
        <v>891</v>
      </c>
      <c r="F160" s="81" t="s">
        <v>503</v>
      </c>
      <c r="G160" s="81" t="s">
        <v>77</v>
      </c>
      <c r="H160" s="81" t="s">
        <v>892</v>
      </c>
      <c r="I160" s="81" t="s">
        <v>243</v>
      </c>
      <c r="J160" s="79"/>
      <c r="K160" s="79"/>
      <c r="L160" s="79"/>
    </row>
    <row r="161" spans="1:12">
      <c r="A161" s="81" t="s">
        <v>882</v>
      </c>
      <c r="B161" s="81" t="s">
        <v>399</v>
      </c>
      <c r="C161" s="81" t="s">
        <v>203</v>
      </c>
      <c r="D161" s="81" t="s">
        <v>362</v>
      </c>
      <c r="E161" s="81" t="s">
        <v>891</v>
      </c>
      <c r="F161" s="81" t="s">
        <v>504</v>
      </c>
      <c r="G161" s="81" t="s">
        <v>77</v>
      </c>
      <c r="H161" s="81" t="s">
        <v>892</v>
      </c>
      <c r="I161" s="81" t="s">
        <v>243</v>
      </c>
      <c r="J161" s="79"/>
      <c r="K161" s="79"/>
      <c r="L161" s="79"/>
    </row>
    <row r="162" spans="1:12">
      <c r="A162" s="81" t="s">
        <v>882</v>
      </c>
      <c r="B162" s="81" t="s">
        <v>399</v>
      </c>
      <c r="C162" s="81" t="s">
        <v>203</v>
      </c>
      <c r="D162" s="81" t="s">
        <v>362</v>
      </c>
      <c r="E162" s="81" t="s">
        <v>891</v>
      </c>
      <c r="F162" s="81" t="s">
        <v>505</v>
      </c>
      <c r="G162" s="81" t="s">
        <v>77</v>
      </c>
      <c r="H162" s="81" t="s">
        <v>892</v>
      </c>
      <c r="I162" s="81" t="s">
        <v>243</v>
      </c>
      <c r="J162" s="79"/>
      <c r="K162" s="79"/>
      <c r="L162" s="79"/>
    </row>
    <row r="163" spans="1:12">
      <c r="A163" s="81" t="s">
        <v>882</v>
      </c>
      <c r="B163" s="81" t="s">
        <v>399</v>
      </c>
      <c r="C163" s="81" t="s">
        <v>203</v>
      </c>
      <c r="D163" s="81" t="s">
        <v>362</v>
      </c>
      <c r="E163" s="81" t="s">
        <v>891</v>
      </c>
      <c r="F163" s="81" t="s">
        <v>507</v>
      </c>
      <c r="G163" s="81" t="s">
        <v>77</v>
      </c>
      <c r="H163" s="81" t="s">
        <v>892</v>
      </c>
      <c r="I163" s="81" t="s">
        <v>243</v>
      </c>
      <c r="J163" s="79"/>
      <c r="K163" s="79"/>
      <c r="L163" s="79"/>
    </row>
    <row r="164" spans="1:12">
      <c r="A164" s="81" t="s">
        <v>882</v>
      </c>
      <c r="B164" s="81" t="s">
        <v>399</v>
      </c>
      <c r="C164" s="81" t="s">
        <v>203</v>
      </c>
      <c r="D164" s="81" t="s">
        <v>362</v>
      </c>
      <c r="E164" s="81" t="s">
        <v>891</v>
      </c>
      <c r="F164" s="81" t="s">
        <v>508</v>
      </c>
      <c r="G164" s="81" t="s">
        <v>77</v>
      </c>
      <c r="H164" s="81" t="s">
        <v>892</v>
      </c>
      <c r="I164" s="81" t="s">
        <v>243</v>
      </c>
      <c r="J164" s="79"/>
      <c r="K164" s="79"/>
      <c r="L164" s="79"/>
    </row>
    <row r="165" spans="1:12">
      <c r="A165" s="81" t="s">
        <v>882</v>
      </c>
      <c r="B165" s="81" t="s">
        <v>399</v>
      </c>
      <c r="C165" s="81" t="s">
        <v>203</v>
      </c>
      <c r="D165" s="81" t="s">
        <v>362</v>
      </c>
      <c r="E165" s="81" t="s">
        <v>891</v>
      </c>
      <c r="F165" s="81" t="s">
        <v>509</v>
      </c>
      <c r="G165" s="81" t="s">
        <v>77</v>
      </c>
      <c r="H165" s="81" t="s">
        <v>892</v>
      </c>
      <c r="I165" s="81" t="s">
        <v>243</v>
      </c>
      <c r="J165" s="79"/>
      <c r="K165" s="79"/>
      <c r="L165" s="79"/>
    </row>
    <row r="166" spans="1:12">
      <c r="A166" s="81" t="s">
        <v>882</v>
      </c>
      <c r="B166" s="81" t="s">
        <v>399</v>
      </c>
      <c r="C166" s="81" t="s">
        <v>203</v>
      </c>
      <c r="D166" s="81" t="s">
        <v>362</v>
      </c>
      <c r="E166" s="81" t="s">
        <v>891</v>
      </c>
      <c r="F166" s="81" t="s">
        <v>510</v>
      </c>
      <c r="G166" s="81" t="s">
        <v>77</v>
      </c>
      <c r="H166" s="81" t="s">
        <v>892</v>
      </c>
      <c r="I166" s="81" t="s">
        <v>243</v>
      </c>
      <c r="J166" s="79"/>
      <c r="K166" s="79"/>
      <c r="L166" s="79"/>
    </row>
    <row r="167" spans="1:12">
      <c r="A167" s="81" t="s">
        <v>882</v>
      </c>
      <c r="B167" s="81" t="s">
        <v>399</v>
      </c>
      <c r="C167" s="81" t="s">
        <v>203</v>
      </c>
      <c r="D167" s="81" t="s">
        <v>362</v>
      </c>
      <c r="E167" s="81" t="s">
        <v>891</v>
      </c>
      <c r="F167" s="81" t="s">
        <v>511</v>
      </c>
      <c r="G167" s="81" t="s">
        <v>77</v>
      </c>
      <c r="H167" s="81" t="s">
        <v>892</v>
      </c>
      <c r="I167" s="81" t="s">
        <v>243</v>
      </c>
      <c r="J167" s="79"/>
      <c r="K167" s="79"/>
      <c r="L167" s="79"/>
    </row>
    <row r="168" spans="1:12">
      <c r="A168" s="81" t="s">
        <v>882</v>
      </c>
      <c r="B168" s="81" t="s">
        <v>399</v>
      </c>
      <c r="C168" s="81" t="s">
        <v>203</v>
      </c>
      <c r="D168" s="81" t="s">
        <v>362</v>
      </c>
      <c r="E168" s="81" t="s">
        <v>914</v>
      </c>
      <c r="F168" s="81" t="s">
        <v>512</v>
      </c>
      <c r="G168" s="81" t="s">
        <v>77</v>
      </c>
      <c r="H168" s="81" t="s">
        <v>892</v>
      </c>
      <c r="I168" s="81" t="s">
        <v>243</v>
      </c>
      <c r="J168" s="79"/>
      <c r="K168" s="79"/>
      <c r="L168" s="79"/>
    </row>
    <row r="169" spans="1:12">
      <c r="A169" s="81" t="s">
        <v>882</v>
      </c>
      <c r="B169" s="81" t="s">
        <v>399</v>
      </c>
      <c r="C169" s="81" t="s">
        <v>203</v>
      </c>
      <c r="D169" s="81" t="s">
        <v>362</v>
      </c>
      <c r="E169" s="81" t="s">
        <v>914</v>
      </c>
      <c r="F169" s="81" t="s">
        <v>514</v>
      </c>
      <c r="G169" s="81" t="s">
        <v>77</v>
      </c>
      <c r="H169" s="81" t="s">
        <v>892</v>
      </c>
      <c r="I169" s="81" t="s">
        <v>243</v>
      </c>
      <c r="J169" s="79"/>
      <c r="K169" s="79"/>
      <c r="L169" s="79"/>
    </row>
    <row r="170" spans="1:12">
      <c r="A170" s="81" t="s">
        <v>882</v>
      </c>
      <c r="B170" s="81" t="s">
        <v>399</v>
      </c>
      <c r="C170" s="81" t="s">
        <v>203</v>
      </c>
      <c r="D170" s="81" t="s">
        <v>449</v>
      </c>
      <c r="E170" s="81" t="s">
        <v>905</v>
      </c>
      <c r="F170" s="81" t="s">
        <v>515</v>
      </c>
      <c r="G170" s="81" t="s">
        <v>77</v>
      </c>
      <c r="H170" s="81" t="s">
        <v>892</v>
      </c>
      <c r="I170" s="81" t="s">
        <v>243</v>
      </c>
      <c r="J170" s="79"/>
      <c r="K170" s="79"/>
      <c r="L170" s="79"/>
    </row>
    <row r="171" spans="1:12">
      <c r="A171" s="81" t="s">
        <v>882</v>
      </c>
      <c r="B171" s="81" t="s">
        <v>399</v>
      </c>
      <c r="C171" s="81" t="s">
        <v>203</v>
      </c>
      <c r="D171" s="81" t="s">
        <v>362</v>
      </c>
      <c r="E171" s="81" t="s">
        <v>891</v>
      </c>
      <c r="F171" s="81" t="s">
        <v>517</v>
      </c>
      <c r="G171" s="81" t="s">
        <v>77</v>
      </c>
      <c r="H171" s="81" t="s">
        <v>892</v>
      </c>
      <c r="I171" s="81" t="s">
        <v>243</v>
      </c>
      <c r="J171" s="79"/>
      <c r="K171" s="79"/>
      <c r="L171" s="79"/>
    </row>
    <row r="172" spans="1:12">
      <c r="A172" s="81" t="s">
        <v>882</v>
      </c>
      <c r="B172" s="81" t="s">
        <v>399</v>
      </c>
      <c r="C172" s="81" t="s">
        <v>203</v>
      </c>
      <c r="D172" s="81" t="s">
        <v>362</v>
      </c>
      <c r="E172" s="81" t="s">
        <v>891</v>
      </c>
      <c r="F172" s="81" t="s">
        <v>518</v>
      </c>
      <c r="G172" s="81" t="s">
        <v>77</v>
      </c>
      <c r="H172" s="81" t="s">
        <v>892</v>
      </c>
      <c r="I172" s="81" t="s">
        <v>243</v>
      </c>
      <c r="J172" s="79"/>
      <c r="K172" s="79"/>
      <c r="L172" s="79"/>
    </row>
    <row r="173" spans="1:12">
      <c r="A173" s="81" t="s">
        <v>882</v>
      </c>
      <c r="B173" s="81" t="s">
        <v>399</v>
      </c>
      <c r="C173" s="81" t="s">
        <v>203</v>
      </c>
      <c r="D173" s="81" t="s">
        <v>362</v>
      </c>
      <c r="E173" s="81" t="s">
        <v>891</v>
      </c>
      <c r="F173" s="81" t="s">
        <v>519</v>
      </c>
      <c r="G173" s="81" t="s">
        <v>77</v>
      </c>
      <c r="H173" s="81" t="s">
        <v>892</v>
      </c>
      <c r="I173" s="81" t="s">
        <v>243</v>
      </c>
      <c r="J173" s="79"/>
      <c r="K173" s="79"/>
      <c r="L173" s="79"/>
    </row>
    <row r="174" spans="1:12">
      <c r="A174" s="81" t="s">
        <v>882</v>
      </c>
      <c r="B174" s="81" t="s">
        <v>399</v>
      </c>
      <c r="C174" s="81" t="s">
        <v>203</v>
      </c>
      <c r="D174" s="81" t="s">
        <v>362</v>
      </c>
      <c r="E174" s="81" t="s">
        <v>891</v>
      </c>
      <c r="F174" s="81" t="s">
        <v>520</v>
      </c>
      <c r="G174" s="81" t="s">
        <v>77</v>
      </c>
      <c r="H174" s="81" t="s">
        <v>892</v>
      </c>
      <c r="I174" s="81" t="s">
        <v>243</v>
      </c>
      <c r="J174" s="79"/>
      <c r="K174" s="79"/>
      <c r="L174" s="79"/>
    </row>
    <row r="175" spans="1:12">
      <c r="A175" s="81" t="s">
        <v>882</v>
      </c>
      <c r="B175" s="81" t="s">
        <v>399</v>
      </c>
      <c r="C175" s="81" t="s">
        <v>203</v>
      </c>
      <c r="D175" s="81" t="s">
        <v>362</v>
      </c>
      <c r="E175" s="81" t="s">
        <v>915</v>
      </c>
      <c r="F175" s="81" t="s">
        <v>521</v>
      </c>
      <c r="G175" s="81" t="s">
        <v>77</v>
      </c>
      <c r="H175" s="81" t="s">
        <v>892</v>
      </c>
      <c r="I175" s="81" t="s">
        <v>243</v>
      </c>
      <c r="J175" s="79"/>
      <c r="K175" s="79"/>
      <c r="L175" s="79"/>
    </row>
    <row r="176" spans="1:12">
      <c r="A176" s="81" t="s">
        <v>882</v>
      </c>
      <c r="B176" s="81" t="s">
        <v>399</v>
      </c>
      <c r="C176" s="81" t="s">
        <v>203</v>
      </c>
      <c r="D176" s="81" t="s">
        <v>362</v>
      </c>
      <c r="E176" s="81" t="s">
        <v>916</v>
      </c>
      <c r="F176" s="81" t="s">
        <v>523</v>
      </c>
      <c r="G176" s="81" t="s">
        <v>77</v>
      </c>
      <c r="H176" s="81" t="s">
        <v>892</v>
      </c>
      <c r="I176" s="81" t="s">
        <v>243</v>
      </c>
      <c r="J176" s="79"/>
      <c r="K176" s="79"/>
      <c r="L176" s="79"/>
    </row>
    <row r="177" spans="1:12">
      <c r="A177" s="81" t="s">
        <v>882</v>
      </c>
      <c r="B177" s="81" t="s">
        <v>399</v>
      </c>
      <c r="C177" s="81" t="s">
        <v>203</v>
      </c>
      <c r="D177" s="81" t="s">
        <v>449</v>
      </c>
      <c r="E177" s="81" t="s">
        <v>905</v>
      </c>
      <c r="F177" s="81" t="s">
        <v>524</v>
      </c>
      <c r="G177" s="81" t="s">
        <v>77</v>
      </c>
      <c r="H177" s="81" t="s">
        <v>892</v>
      </c>
      <c r="I177" s="81" t="s">
        <v>243</v>
      </c>
      <c r="J177" s="79"/>
      <c r="K177" s="79"/>
      <c r="L177" s="79"/>
    </row>
    <row r="178" spans="1:12">
      <c r="A178" s="81" t="s">
        <v>882</v>
      </c>
      <c r="B178" s="81" t="s">
        <v>399</v>
      </c>
      <c r="C178" s="81" t="s">
        <v>203</v>
      </c>
      <c r="D178" s="81" t="s">
        <v>362</v>
      </c>
      <c r="E178" s="81" t="s">
        <v>891</v>
      </c>
      <c r="F178" s="81" t="s">
        <v>525</v>
      </c>
      <c r="G178" s="81" t="s">
        <v>77</v>
      </c>
      <c r="H178" s="81" t="s">
        <v>892</v>
      </c>
      <c r="I178" s="81" t="s">
        <v>243</v>
      </c>
      <c r="J178" s="79"/>
      <c r="K178" s="79"/>
      <c r="L178" s="79"/>
    </row>
    <row r="179" spans="1:12">
      <c r="A179" s="81" t="s">
        <v>882</v>
      </c>
      <c r="B179" s="81" t="s">
        <v>399</v>
      </c>
      <c r="C179" s="81" t="s">
        <v>201</v>
      </c>
      <c r="D179" s="81" t="s">
        <v>435</v>
      </c>
      <c r="E179" s="81" t="s">
        <v>903</v>
      </c>
      <c r="F179" s="81" t="s">
        <v>526</v>
      </c>
      <c r="G179" s="81" t="s">
        <v>77</v>
      </c>
      <c r="H179" s="81" t="s">
        <v>884</v>
      </c>
      <c r="I179" s="81" t="s">
        <v>243</v>
      </c>
      <c r="J179" s="79"/>
      <c r="K179" s="79"/>
      <c r="L179" s="79"/>
    </row>
    <row r="180" spans="1:12">
      <c r="A180" s="81" t="s">
        <v>882</v>
      </c>
      <c r="B180" s="81" t="s">
        <v>399</v>
      </c>
      <c r="C180" s="81" t="s">
        <v>201</v>
      </c>
      <c r="D180" s="81" t="s">
        <v>435</v>
      </c>
      <c r="E180" s="81" t="s">
        <v>903</v>
      </c>
      <c r="F180" s="81" t="s">
        <v>528</v>
      </c>
      <c r="G180" s="81" t="s">
        <v>77</v>
      </c>
      <c r="H180" s="81" t="s">
        <v>884</v>
      </c>
      <c r="I180" s="81" t="s">
        <v>243</v>
      </c>
      <c r="J180" s="79"/>
      <c r="K180" s="79"/>
      <c r="L180" s="79"/>
    </row>
    <row r="181" spans="1:12">
      <c r="A181" s="81" t="s">
        <v>882</v>
      </c>
      <c r="B181" s="81" t="s">
        <v>399</v>
      </c>
      <c r="C181" s="81" t="s">
        <v>201</v>
      </c>
      <c r="D181" s="81" t="s">
        <v>435</v>
      </c>
      <c r="E181" s="81" t="s">
        <v>903</v>
      </c>
      <c r="F181" s="81" t="s">
        <v>529</v>
      </c>
      <c r="G181" s="81" t="s">
        <v>77</v>
      </c>
      <c r="H181" s="81" t="s">
        <v>884</v>
      </c>
      <c r="I181" s="81" t="s">
        <v>243</v>
      </c>
      <c r="J181" s="79"/>
      <c r="K181" s="79"/>
      <c r="L181" s="79"/>
    </row>
    <row r="182" spans="1:12">
      <c r="A182" s="81" t="s">
        <v>882</v>
      </c>
      <c r="B182" s="81" t="s">
        <v>399</v>
      </c>
      <c r="C182" s="81" t="s">
        <v>201</v>
      </c>
      <c r="D182" s="81" t="s">
        <v>435</v>
      </c>
      <c r="E182" s="81" t="s">
        <v>903</v>
      </c>
      <c r="F182" s="81" t="s">
        <v>530</v>
      </c>
      <c r="G182" s="81" t="s">
        <v>77</v>
      </c>
      <c r="H182" s="81" t="s">
        <v>884</v>
      </c>
      <c r="I182" s="81" t="s">
        <v>243</v>
      </c>
      <c r="J182" s="79"/>
      <c r="K182" s="79"/>
      <c r="L182" s="79"/>
    </row>
    <row r="183" spans="1:12">
      <c r="A183" s="81" t="s">
        <v>882</v>
      </c>
      <c r="B183" s="81" t="s">
        <v>399</v>
      </c>
      <c r="C183" s="81" t="s">
        <v>201</v>
      </c>
      <c r="D183" s="81" t="s">
        <v>435</v>
      </c>
      <c r="E183" s="81" t="s">
        <v>903</v>
      </c>
      <c r="F183" s="81" t="s">
        <v>531</v>
      </c>
      <c r="G183" s="81" t="s">
        <v>77</v>
      </c>
      <c r="H183" s="81" t="s">
        <v>884</v>
      </c>
      <c r="I183" s="81" t="s">
        <v>243</v>
      </c>
      <c r="J183" s="79"/>
      <c r="K183" s="79"/>
      <c r="L183" s="79"/>
    </row>
    <row r="184" spans="1:12">
      <c r="A184" s="81" t="s">
        <v>882</v>
      </c>
      <c r="B184" s="81" t="s">
        <v>399</v>
      </c>
      <c r="C184" s="81" t="s">
        <v>201</v>
      </c>
      <c r="D184" s="81" t="s">
        <v>435</v>
      </c>
      <c r="E184" s="81" t="s">
        <v>903</v>
      </c>
      <c r="F184" s="81" t="s">
        <v>532</v>
      </c>
      <c r="G184" s="81" t="s">
        <v>77</v>
      </c>
      <c r="H184" s="81" t="s">
        <v>884</v>
      </c>
      <c r="I184" s="81" t="s">
        <v>243</v>
      </c>
      <c r="J184" s="79"/>
      <c r="K184" s="79"/>
      <c r="L184" s="79"/>
    </row>
    <row r="185" spans="1:12">
      <c r="A185" s="81" t="s">
        <v>882</v>
      </c>
      <c r="B185" s="81" t="s">
        <v>399</v>
      </c>
      <c r="C185" s="81" t="s">
        <v>203</v>
      </c>
      <c r="D185" s="81" t="s">
        <v>362</v>
      </c>
      <c r="E185" s="81" t="s">
        <v>917</v>
      </c>
      <c r="F185" s="81" t="s">
        <v>533</v>
      </c>
      <c r="G185" s="81" t="s">
        <v>77</v>
      </c>
      <c r="H185" s="81" t="s">
        <v>892</v>
      </c>
      <c r="I185" s="81" t="s">
        <v>243</v>
      </c>
      <c r="J185" s="79"/>
      <c r="K185" s="79"/>
      <c r="L185" s="79"/>
    </row>
    <row r="186" spans="1:12">
      <c r="A186" s="81" t="s">
        <v>882</v>
      </c>
      <c r="B186" s="81" t="s">
        <v>399</v>
      </c>
      <c r="C186" s="81" t="s">
        <v>203</v>
      </c>
      <c r="D186" s="81" t="s">
        <v>362</v>
      </c>
      <c r="E186" s="81" t="s">
        <v>917</v>
      </c>
      <c r="F186" s="81" t="s">
        <v>534</v>
      </c>
      <c r="G186" s="81" t="s">
        <v>77</v>
      </c>
      <c r="H186" s="81" t="s">
        <v>892</v>
      </c>
      <c r="I186" s="81" t="s">
        <v>243</v>
      </c>
      <c r="J186" s="79"/>
      <c r="K186" s="79"/>
      <c r="L186" s="79"/>
    </row>
    <row r="187" spans="1:12">
      <c r="A187" s="81" t="s">
        <v>882</v>
      </c>
      <c r="B187" s="81" t="s">
        <v>399</v>
      </c>
      <c r="C187" s="81" t="s">
        <v>203</v>
      </c>
      <c r="D187" s="81" t="s">
        <v>362</v>
      </c>
      <c r="E187" s="81" t="s">
        <v>917</v>
      </c>
      <c r="F187" s="81" t="s">
        <v>535</v>
      </c>
      <c r="G187" s="81" t="s">
        <v>77</v>
      </c>
      <c r="H187" s="81" t="s">
        <v>892</v>
      </c>
      <c r="I187" s="81" t="s">
        <v>243</v>
      </c>
      <c r="J187" s="79"/>
      <c r="K187" s="79"/>
      <c r="L187" s="79"/>
    </row>
    <row r="188" spans="1:12">
      <c r="A188" s="81" t="s">
        <v>882</v>
      </c>
      <c r="B188" s="81" t="s">
        <v>399</v>
      </c>
      <c r="C188" s="81" t="s">
        <v>203</v>
      </c>
      <c r="D188" s="81" t="s">
        <v>362</v>
      </c>
      <c r="E188" s="81" t="s">
        <v>917</v>
      </c>
      <c r="F188" s="81" t="s">
        <v>536</v>
      </c>
      <c r="G188" s="81" t="s">
        <v>77</v>
      </c>
      <c r="H188" s="81" t="s">
        <v>892</v>
      </c>
      <c r="I188" s="81" t="s">
        <v>243</v>
      </c>
      <c r="J188" s="79"/>
      <c r="K188" s="79"/>
      <c r="L188" s="79"/>
    </row>
    <row r="189" spans="1:12">
      <c r="A189" s="81" t="s">
        <v>882</v>
      </c>
      <c r="B189" s="81" t="s">
        <v>399</v>
      </c>
      <c r="C189" s="81" t="s">
        <v>203</v>
      </c>
      <c r="D189" s="81" t="s">
        <v>362</v>
      </c>
      <c r="E189" s="81" t="s">
        <v>917</v>
      </c>
      <c r="F189" s="81" t="s">
        <v>537</v>
      </c>
      <c r="G189" s="81" t="s">
        <v>77</v>
      </c>
      <c r="H189" s="81" t="s">
        <v>892</v>
      </c>
      <c r="I189" s="81" t="s">
        <v>243</v>
      </c>
      <c r="J189" s="79"/>
      <c r="K189" s="79"/>
      <c r="L189" s="79"/>
    </row>
    <row r="190" spans="1:12">
      <c r="A190" s="81" t="s">
        <v>882</v>
      </c>
      <c r="B190" s="81" t="s">
        <v>399</v>
      </c>
      <c r="C190" s="81" t="s">
        <v>203</v>
      </c>
      <c r="D190" s="81" t="s">
        <v>362</v>
      </c>
      <c r="E190" s="81" t="s">
        <v>917</v>
      </c>
      <c r="F190" s="81" t="s">
        <v>538</v>
      </c>
      <c r="G190" s="81" t="s">
        <v>77</v>
      </c>
      <c r="H190" s="81" t="s">
        <v>892</v>
      </c>
      <c r="I190" s="81" t="s">
        <v>243</v>
      </c>
      <c r="J190" s="79"/>
      <c r="K190" s="79"/>
      <c r="L190" s="79"/>
    </row>
    <row r="191" spans="1:12">
      <c r="A191" s="81" t="s">
        <v>882</v>
      </c>
      <c r="B191" s="81" t="s">
        <v>399</v>
      </c>
      <c r="C191" s="81" t="s">
        <v>203</v>
      </c>
      <c r="D191" s="81" t="s">
        <v>362</v>
      </c>
      <c r="E191" s="81" t="s">
        <v>917</v>
      </c>
      <c r="F191" s="81" t="s">
        <v>539</v>
      </c>
      <c r="G191" s="81" t="s">
        <v>77</v>
      </c>
      <c r="H191" s="81" t="s">
        <v>892</v>
      </c>
      <c r="I191" s="81" t="s">
        <v>243</v>
      </c>
      <c r="J191" s="79"/>
      <c r="K191" s="79"/>
      <c r="L191" s="79"/>
    </row>
    <row r="192" spans="1:12">
      <c r="A192" s="81" t="s">
        <v>882</v>
      </c>
      <c r="B192" s="81" t="s">
        <v>399</v>
      </c>
      <c r="C192" s="81" t="s">
        <v>203</v>
      </c>
      <c r="D192" s="81" t="s">
        <v>483</v>
      </c>
      <c r="E192" s="81" t="s">
        <v>918</v>
      </c>
      <c r="F192" s="81" t="s">
        <v>540</v>
      </c>
      <c r="G192" s="81" t="s">
        <v>77</v>
      </c>
      <c r="H192" s="81" t="s">
        <v>892</v>
      </c>
      <c r="I192" s="81" t="s">
        <v>545</v>
      </c>
      <c r="J192" s="79"/>
      <c r="K192" s="79"/>
      <c r="L192" s="79"/>
    </row>
    <row r="193" spans="1:12">
      <c r="A193" s="81" t="s">
        <v>882</v>
      </c>
      <c r="B193" s="81" t="s">
        <v>399</v>
      </c>
      <c r="C193" s="81" t="s">
        <v>203</v>
      </c>
      <c r="D193" s="81" t="s">
        <v>483</v>
      </c>
      <c r="E193" s="81" t="s">
        <v>910</v>
      </c>
      <c r="F193" s="81" t="s">
        <v>546</v>
      </c>
      <c r="G193" s="81" t="s">
        <v>77</v>
      </c>
      <c r="H193" s="81" t="s">
        <v>892</v>
      </c>
      <c r="I193" s="81" t="s">
        <v>243</v>
      </c>
      <c r="J193" s="79"/>
      <c r="K193" s="79"/>
      <c r="L193" s="79"/>
    </row>
    <row r="194" spans="1:12">
      <c r="A194" s="81" t="s">
        <v>882</v>
      </c>
      <c r="B194" s="81" t="s">
        <v>399</v>
      </c>
      <c r="C194" s="81" t="s">
        <v>203</v>
      </c>
      <c r="D194" s="81" t="s">
        <v>483</v>
      </c>
      <c r="E194" s="81" t="s">
        <v>910</v>
      </c>
      <c r="F194" s="81" t="s">
        <v>547</v>
      </c>
      <c r="G194" s="81" t="s">
        <v>77</v>
      </c>
      <c r="H194" s="81" t="s">
        <v>892</v>
      </c>
      <c r="I194" s="81" t="s">
        <v>243</v>
      </c>
      <c r="J194" s="79"/>
      <c r="K194" s="79"/>
      <c r="L194" s="79"/>
    </row>
    <row r="195" spans="1:12">
      <c r="A195" s="81" t="s">
        <v>882</v>
      </c>
      <c r="B195" s="81" t="s">
        <v>399</v>
      </c>
      <c r="C195" s="81" t="s">
        <v>203</v>
      </c>
      <c r="D195" s="81" t="s">
        <v>483</v>
      </c>
      <c r="E195" s="81" t="s">
        <v>919</v>
      </c>
      <c r="F195" s="81" t="s">
        <v>548</v>
      </c>
      <c r="G195" s="81" t="s">
        <v>77</v>
      </c>
      <c r="H195" s="81" t="s">
        <v>892</v>
      </c>
      <c r="I195" s="81" t="s">
        <v>545</v>
      </c>
      <c r="J195" s="79"/>
      <c r="K195" s="79"/>
      <c r="L195" s="79"/>
    </row>
    <row r="196" spans="1:12">
      <c r="A196" s="81" t="s">
        <v>882</v>
      </c>
      <c r="B196" s="81" t="s">
        <v>399</v>
      </c>
      <c r="C196" s="81" t="s">
        <v>203</v>
      </c>
      <c r="D196" s="81" t="s">
        <v>483</v>
      </c>
      <c r="E196" s="81" t="s">
        <v>910</v>
      </c>
      <c r="F196" s="81" t="s">
        <v>549</v>
      </c>
      <c r="G196" s="81" t="s">
        <v>77</v>
      </c>
      <c r="H196" s="81" t="s">
        <v>892</v>
      </c>
      <c r="I196" s="81" t="s">
        <v>243</v>
      </c>
      <c r="J196" s="79"/>
      <c r="K196" s="79"/>
      <c r="L196" s="79"/>
    </row>
    <row r="197" spans="1:12">
      <c r="A197" s="81" t="s">
        <v>882</v>
      </c>
      <c r="B197" s="81" t="s">
        <v>399</v>
      </c>
      <c r="C197" s="81" t="s">
        <v>203</v>
      </c>
      <c r="D197" s="81" t="s">
        <v>483</v>
      </c>
      <c r="E197" s="81" t="s">
        <v>910</v>
      </c>
      <c r="F197" s="81" t="s">
        <v>550</v>
      </c>
      <c r="G197" s="81" t="s">
        <v>77</v>
      </c>
      <c r="H197" s="81" t="s">
        <v>892</v>
      </c>
      <c r="I197" s="81" t="s">
        <v>243</v>
      </c>
      <c r="J197" s="79"/>
      <c r="K197" s="79"/>
      <c r="L197" s="79"/>
    </row>
    <row r="198" spans="1:12">
      <c r="A198" s="81" t="s">
        <v>882</v>
      </c>
      <c r="B198" s="81" t="s">
        <v>399</v>
      </c>
      <c r="C198" s="81" t="s">
        <v>203</v>
      </c>
      <c r="D198" s="81" t="s">
        <v>552</v>
      </c>
      <c r="E198" s="81" t="s">
        <v>920</v>
      </c>
      <c r="F198" s="81" t="s">
        <v>551</v>
      </c>
      <c r="G198" s="81" t="s">
        <v>77</v>
      </c>
      <c r="H198" s="81" t="s">
        <v>887</v>
      </c>
      <c r="I198" s="81" t="s">
        <v>341</v>
      </c>
      <c r="J198" s="79"/>
      <c r="K198" s="79"/>
      <c r="L198" s="79"/>
    </row>
    <row r="199" spans="1:12">
      <c r="A199" s="81" t="s">
        <v>882</v>
      </c>
      <c r="B199" s="81" t="s">
        <v>399</v>
      </c>
      <c r="C199" s="81" t="s">
        <v>203</v>
      </c>
      <c r="D199" s="81" t="s">
        <v>362</v>
      </c>
      <c r="E199" s="81" t="s">
        <v>921</v>
      </c>
      <c r="F199" s="81" t="s">
        <v>555</v>
      </c>
      <c r="G199" s="81" t="s">
        <v>77</v>
      </c>
      <c r="H199" s="81" t="s">
        <v>892</v>
      </c>
      <c r="I199" s="81" t="s">
        <v>243</v>
      </c>
      <c r="J199" s="79"/>
      <c r="K199" s="79"/>
      <c r="L199" s="79"/>
    </row>
    <row r="200" ht="26" spans="1:12">
      <c r="A200" s="81" t="s">
        <v>882</v>
      </c>
      <c r="B200" s="81" t="s">
        <v>399</v>
      </c>
      <c r="C200" s="81" t="s">
        <v>203</v>
      </c>
      <c r="D200" s="81" t="s">
        <v>483</v>
      </c>
      <c r="E200" s="81" t="s">
        <v>922</v>
      </c>
      <c r="F200" s="81" t="s">
        <v>557</v>
      </c>
      <c r="G200" s="81" t="s">
        <v>77</v>
      </c>
      <c r="H200" s="81" t="s">
        <v>892</v>
      </c>
      <c r="I200" s="81" t="s">
        <v>243</v>
      </c>
      <c r="J200" s="79"/>
      <c r="K200" s="79"/>
      <c r="L200" s="79"/>
    </row>
    <row r="201" spans="1:12">
      <c r="A201" s="81" t="s">
        <v>882</v>
      </c>
      <c r="B201" s="81" t="s">
        <v>399</v>
      </c>
      <c r="C201" s="81" t="s">
        <v>203</v>
      </c>
      <c r="D201" s="81" t="s">
        <v>560</v>
      </c>
      <c r="E201" s="81" t="s">
        <v>923</v>
      </c>
      <c r="F201" s="81" t="s">
        <v>559</v>
      </c>
      <c r="G201" s="81" t="s">
        <v>77</v>
      </c>
      <c r="H201" s="81" t="s">
        <v>892</v>
      </c>
      <c r="I201" s="81" t="s">
        <v>243</v>
      </c>
      <c r="J201" s="79"/>
      <c r="K201" s="79"/>
      <c r="L201" s="79"/>
    </row>
    <row r="202" spans="1:12">
      <c r="A202" s="81" t="s">
        <v>882</v>
      </c>
      <c r="B202" s="81" t="s">
        <v>399</v>
      </c>
      <c r="C202" s="81" t="s">
        <v>203</v>
      </c>
      <c r="D202" s="81" t="s">
        <v>449</v>
      </c>
      <c r="E202" s="81" t="s">
        <v>924</v>
      </c>
      <c r="F202" s="81" t="s">
        <v>562</v>
      </c>
      <c r="G202" s="81" t="s">
        <v>77</v>
      </c>
      <c r="H202" s="81" t="s">
        <v>892</v>
      </c>
      <c r="I202" s="81" t="s">
        <v>243</v>
      </c>
      <c r="J202" s="79"/>
      <c r="K202" s="79"/>
      <c r="L202" s="79"/>
    </row>
    <row r="203" spans="1:12">
      <c r="A203" s="81" t="s">
        <v>882</v>
      </c>
      <c r="B203" s="81" t="s">
        <v>399</v>
      </c>
      <c r="C203" s="81" t="s">
        <v>203</v>
      </c>
      <c r="D203" s="81" t="s">
        <v>560</v>
      </c>
      <c r="E203" s="81" t="s">
        <v>923</v>
      </c>
      <c r="F203" s="81" t="s">
        <v>563</v>
      </c>
      <c r="G203" s="81" t="s">
        <v>77</v>
      </c>
      <c r="H203" s="81" t="s">
        <v>892</v>
      </c>
      <c r="I203" s="81" t="s">
        <v>243</v>
      </c>
      <c r="J203" s="79"/>
      <c r="K203" s="79"/>
      <c r="L203" s="79"/>
    </row>
    <row r="204" ht="26" spans="1:12">
      <c r="A204" s="81" t="s">
        <v>882</v>
      </c>
      <c r="B204" s="81" t="s">
        <v>399</v>
      </c>
      <c r="C204" s="81" t="s">
        <v>203</v>
      </c>
      <c r="D204" s="81" t="s">
        <v>483</v>
      </c>
      <c r="E204" s="81" t="s">
        <v>922</v>
      </c>
      <c r="F204" s="81" t="s">
        <v>564</v>
      </c>
      <c r="G204" s="81" t="s">
        <v>77</v>
      </c>
      <c r="H204" s="81" t="s">
        <v>892</v>
      </c>
      <c r="I204" s="81" t="s">
        <v>243</v>
      </c>
      <c r="J204" s="79"/>
      <c r="K204" s="79"/>
      <c r="L204" s="79"/>
    </row>
    <row r="205" ht="26" spans="1:12">
      <c r="A205" s="81" t="s">
        <v>882</v>
      </c>
      <c r="B205" s="81" t="s">
        <v>399</v>
      </c>
      <c r="C205" s="81" t="s">
        <v>203</v>
      </c>
      <c r="D205" s="81" t="s">
        <v>483</v>
      </c>
      <c r="E205" s="81" t="s">
        <v>922</v>
      </c>
      <c r="F205" s="81" t="s">
        <v>565</v>
      </c>
      <c r="G205" s="81" t="s">
        <v>77</v>
      </c>
      <c r="H205" s="81" t="s">
        <v>892</v>
      </c>
      <c r="I205" s="81" t="s">
        <v>243</v>
      </c>
      <c r="J205" s="79"/>
      <c r="K205" s="79"/>
      <c r="L205" s="79"/>
    </row>
    <row r="206" ht="26" spans="1:12">
      <c r="A206" s="81" t="s">
        <v>882</v>
      </c>
      <c r="B206" s="81" t="s">
        <v>399</v>
      </c>
      <c r="C206" s="81" t="s">
        <v>203</v>
      </c>
      <c r="D206" s="81" t="s">
        <v>483</v>
      </c>
      <c r="E206" s="81" t="s">
        <v>922</v>
      </c>
      <c r="F206" s="81" t="s">
        <v>566</v>
      </c>
      <c r="G206" s="81" t="s">
        <v>77</v>
      </c>
      <c r="H206" s="81" t="s">
        <v>892</v>
      </c>
      <c r="I206" s="81" t="s">
        <v>243</v>
      </c>
      <c r="J206" s="79"/>
      <c r="K206" s="79"/>
      <c r="L206" s="79"/>
    </row>
    <row r="207" spans="1:12">
      <c r="A207" s="81" t="s">
        <v>882</v>
      </c>
      <c r="B207" s="81" t="s">
        <v>399</v>
      </c>
      <c r="C207" s="81" t="s">
        <v>203</v>
      </c>
      <c r="D207" s="81" t="s">
        <v>449</v>
      </c>
      <c r="E207" s="81" t="s">
        <v>924</v>
      </c>
      <c r="F207" s="81" t="s">
        <v>567</v>
      </c>
      <c r="G207" s="81" t="s">
        <v>77</v>
      </c>
      <c r="H207" s="81" t="s">
        <v>892</v>
      </c>
      <c r="I207" s="81" t="s">
        <v>243</v>
      </c>
      <c r="J207" s="79"/>
      <c r="K207" s="79"/>
      <c r="L207" s="79"/>
    </row>
    <row r="208" spans="1:12">
      <c r="A208" s="81" t="s">
        <v>882</v>
      </c>
      <c r="B208" s="81" t="s">
        <v>399</v>
      </c>
      <c r="C208" s="81" t="s">
        <v>203</v>
      </c>
      <c r="D208" s="81" t="s">
        <v>560</v>
      </c>
      <c r="E208" s="81" t="s">
        <v>923</v>
      </c>
      <c r="F208" s="81" t="s">
        <v>569</v>
      </c>
      <c r="G208" s="81" t="s">
        <v>77</v>
      </c>
      <c r="H208" s="81" t="s">
        <v>892</v>
      </c>
      <c r="I208" s="81" t="s">
        <v>243</v>
      </c>
      <c r="J208" s="79"/>
      <c r="K208" s="79"/>
      <c r="L208" s="79"/>
    </row>
    <row r="209" spans="1:12">
      <c r="A209" s="81" t="s">
        <v>882</v>
      </c>
      <c r="B209" s="81" t="s">
        <v>399</v>
      </c>
      <c r="C209" s="81" t="s">
        <v>203</v>
      </c>
      <c r="D209" s="81" t="s">
        <v>449</v>
      </c>
      <c r="E209" s="81" t="s">
        <v>925</v>
      </c>
      <c r="F209" s="81" t="s">
        <v>570</v>
      </c>
      <c r="G209" s="81" t="s">
        <v>77</v>
      </c>
      <c r="H209" s="81" t="s">
        <v>892</v>
      </c>
      <c r="I209" s="81" t="s">
        <v>243</v>
      </c>
      <c r="J209" s="79"/>
      <c r="K209" s="79"/>
      <c r="L209" s="79"/>
    </row>
    <row r="210" spans="1:12">
      <c r="A210" s="81" t="s">
        <v>882</v>
      </c>
      <c r="B210" s="81" t="s">
        <v>399</v>
      </c>
      <c r="C210" s="81" t="s">
        <v>203</v>
      </c>
      <c r="D210" s="81" t="s">
        <v>449</v>
      </c>
      <c r="E210" s="81" t="s">
        <v>925</v>
      </c>
      <c r="F210" s="81" t="s">
        <v>573</v>
      </c>
      <c r="G210" s="81" t="s">
        <v>77</v>
      </c>
      <c r="H210" s="81" t="s">
        <v>892</v>
      </c>
      <c r="I210" s="81" t="s">
        <v>243</v>
      </c>
      <c r="J210" s="79"/>
      <c r="K210" s="79"/>
      <c r="L210" s="79"/>
    </row>
    <row r="211" spans="1:12">
      <c r="A211" s="81" t="s">
        <v>882</v>
      </c>
      <c r="B211" s="81" t="s">
        <v>399</v>
      </c>
      <c r="C211" s="81" t="s">
        <v>203</v>
      </c>
      <c r="D211" s="81" t="s">
        <v>449</v>
      </c>
      <c r="E211" s="81" t="s">
        <v>925</v>
      </c>
      <c r="F211" s="81" t="s">
        <v>574</v>
      </c>
      <c r="G211" s="81" t="s">
        <v>77</v>
      </c>
      <c r="H211" s="81" t="s">
        <v>892</v>
      </c>
      <c r="I211" s="81" t="s">
        <v>243</v>
      </c>
      <c r="J211" s="79"/>
      <c r="K211" s="79"/>
      <c r="L211" s="79"/>
    </row>
    <row r="212" spans="1:12">
      <c r="A212" s="81" t="s">
        <v>882</v>
      </c>
      <c r="B212" s="81" t="s">
        <v>399</v>
      </c>
      <c r="C212" s="81" t="s">
        <v>203</v>
      </c>
      <c r="D212" s="81" t="s">
        <v>449</v>
      </c>
      <c r="E212" s="81" t="s">
        <v>905</v>
      </c>
      <c r="F212" s="81" t="s">
        <v>575</v>
      </c>
      <c r="G212" s="81" t="s">
        <v>77</v>
      </c>
      <c r="H212" s="81" t="s">
        <v>892</v>
      </c>
      <c r="I212" s="81" t="s">
        <v>243</v>
      </c>
      <c r="J212" s="79"/>
      <c r="K212" s="79"/>
      <c r="L212" s="79"/>
    </row>
    <row r="213" spans="1:12">
      <c r="A213" s="81" t="s">
        <v>882</v>
      </c>
      <c r="B213" s="81" t="s">
        <v>399</v>
      </c>
      <c r="C213" s="81" t="s">
        <v>203</v>
      </c>
      <c r="D213" s="81" t="s">
        <v>449</v>
      </c>
      <c r="E213" s="81" t="s">
        <v>905</v>
      </c>
      <c r="F213" s="81" t="s">
        <v>577</v>
      </c>
      <c r="G213" s="81" t="s">
        <v>77</v>
      </c>
      <c r="H213" s="81" t="s">
        <v>892</v>
      </c>
      <c r="I213" s="81" t="s">
        <v>243</v>
      </c>
      <c r="J213" s="79"/>
      <c r="K213" s="79"/>
      <c r="L213" s="79"/>
    </row>
    <row r="214" spans="1:12">
      <c r="A214" s="81" t="s">
        <v>882</v>
      </c>
      <c r="B214" s="81" t="s">
        <v>399</v>
      </c>
      <c r="C214" s="81" t="s">
        <v>203</v>
      </c>
      <c r="D214" s="81" t="s">
        <v>449</v>
      </c>
      <c r="E214" s="81" t="s">
        <v>905</v>
      </c>
      <c r="F214" s="81" t="s">
        <v>578</v>
      </c>
      <c r="G214" s="81" t="s">
        <v>77</v>
      </c>
      <c r="H214" s="81" t="s">
        <v>892</v>
      </c>
      <c r="I214" s="81" t="s">
        <v>243</v>
      </c>
      <c r="J214" s="79"/>
      <c r="K214" s="79"/>
      <c r="L214" s="79"/>
    </row>
    <row r="215" spans="1:12">
      <c r="A215" s="81" t="s">
        <v>882</v>
      </c>
      <c r="B215" s="81" t="s">
        <v>399</v>
      </c>
      <c r="C215" s="81" t="s">
        <v>203</v>
      </c>
      <c r="D215" s="81" t="s">
        <v>449</v>
      </c>
      <c r="E215" s="81" t="s">
        <v>905</v>
      </c>
      <c r="F215" s="81" t="s">
        <v>579</v>
      </c>
      <c r="G215" s="81" t="s">
        <v>77</v>
      </c>
      <c r="H215" s="81" t="s">
        <v>892</v>
      </c>
      <c r="I215" s="81" t="s">
        <v>243</v>
      </c>
      <c r="J215" s="79"/>
      <c r="K215" s="79"/>
      <c r="L215" s="79"/>
    </row>
    <row r="216" spans="1:12">
      <c r="A216" s="81" t="s">
        <v>882</v>
      </c>
      <c r="B216" s="81" t="s">
        <v>399</v>
      </c>
      <c r="C216" s="81" t="s">
        <v>203</v>
      </c>
      <c r="D216" s="81" t="s">
        <v>449</v>
      </c>
      <c r="E216" s="81" t="s">
        <v>905</v>
      </c>
      <c r="F216" s="81" t="s">
        <v>580</v>
      </c>
      <c r="G216" s="81" t="s">
        <v>77</v>
      </c>
      <c r="H216" s="81" t="s">
        <v>892</v>
      </c>
      <c r="I216" s="81" t="s">
        <v>243</v>
      </c>
      <c r="J216" s="79"/>
      <c r="K216" s="79"/>
      <c r="L216" s="79"/>
    </row>
    <row r="217" spans="1:12">
      <c r="A217" s="81" t="s">
        <v>882</v>
      </c>
      <c r="B217" s="81" t="s">
        <v>399</v>
      </c>
      <c r="C217" s="81" t="s">
        <v>203</v>
      </c>
      <c r="D217" s="81" t="s">
        <v>449</v>
      </c>
      <c r="E217" s="81" t="s">
        <v>905</v>
      </c>
      <c r="F217" s="81" t="s">
        <v>581</v>
      </c>
      <c r="G217" s="81" t="s">
        <v>77</v>
      </c>
      <c r="H217" s="81" t="s">
        <v>892</v>
      </c>
      <c r="I217" s="81" t="s">
        <v>243</v>
      </c>
      <c r="J217" s="79"/>
      <c r="K217" s="79"/>
      <c r="L217" s="79"/>
    </row>
    <row r="218" spans="1:12">
      <c r="A218" s="81" t="s">
        <v>882</v>
      </c>
      <c r="B218" s="81" t="s">
        <v>399</v>
      </c>
      <c r="C218" s="81" t="s">
        <v>203</v>
      </c>
      <c r="D218" s="81" t="s">
        <v>449</v>
      </c>
      <c r="E218" s="81" t="s">
        <v>905</v>
      </c>
      <c r="F218" s="81" t="s">
        <v>582</v>
      </c>
      <c r="G218" s="81" t="s">
        <v>77</v>
      </c>
      <c r="H218" s="81" t="s">
        <v>892</v>
      </c>
      <c r="I218" s="81" t="s">
        <v>243</v>
      </c>
      <c r="J218" s="79"/>
      <c r="K218" s="79"/>
      <c r="L218" s="79"/>
    </row>
    <row r="219" spans="1:12">
      <c r="A219" s="81" t="s">
        <v>882</v>
      </c>
      <c r="B219" s="81" t="s">
        <v>399</v>
      </c>
      <c r="C219" s="81" t="s">
        <v>203</v>
      </c>
      <c r="D219" s="81" t="s">
        <v>449</v>
      </c>
      <c r="E219" s="81" t="s">
        <v>926</v>
      </c>
      <c r="F219" s="81" t="s">
        <v>583</v>
      </c>
      <c r="G219" s="81" t="s">
        <v>77</v>
      </c>
      <c r="H219" s="81" t="s">
        <v>892</v>
      </c>
      <c r="I219" s="81" t="s">
        <v>545</v>
      </c>
      <c r="J219" s="79"/>
      <c r="K219" s="79"/>
      <c r="L219" s="79"/>
    </row>
    <row r="220" spans="1:12">
      <c r="A220" s="81" t="s">
        <v>882</v>
      </c>
      <c r="B220" s="81" t="s">
        <v>399</v>
      </c>
      <c r="C220" s="81" t="s">
        <v>203</v>
      </c>
      <c r="D220" s="81" t="s">
        <v>449</v>
      </c>
      <c r="E220" s="81" t="s">
        <v>905</v>
      </c>
      <c r="F220" s="81" t="s">
        <v>584</v>
      </c>
      <c r="G220" s="81" t="s">
        <v>77</v>
      </c>
      <c r="H220" s="81" t="s">
        <v>892</v>
      </c>
      <c r="I220" s="81" t="s">
        <v>243</v>
      </c>
      <c r="J220" s="79"/>
      <c r="K220" s="79"/>
      <c r="L220" s="79"/>
    </row>
    <row r="221" spans="1:12">
      <c r="A221" s="81" t="s">
        <v>882</v>
      </c>
      <c r="B221" s="81" t="s">
        <v>399</v>
      </c>
      <c r="C221" s="81" t="s">
        <v>203</v>
      </c>
      <c r="D221" s="81" t="s">
        <v>449</v>
      </c>
      <c r="E221" s="81" t="s">
        <v>905</v>
      </c>
      <c r="F221" s="81" t="s">
        <v>585</v>
      </c>
      <c r="G221" s="81" t="s">
        <v>77</v>
      </c>
      <c r="H221" s="81" t="s">
        <v>892</v>
      </c>
      <c r="I221" s="81" t="s">
        <v>243</v>
      </c>
      <c r="J221" s="79"/>
      <c r="K221" s="79"/>
      <c r="L221" s="79"/>
    </row>
    <row r="222" spans="1:12">
      <c r="A222" s="81" t="s">
        <v>882</v>
      </c>
      <c r="B222" s="81" t="s">
        <v>399</v>
      </c>
      <c r="C222" s="81" t="s">
        <v>203</v>
      </c>
      <c r="D222" s="81" t="s">
        <v>449</v>
      </c>
      <c r="E222" s="81" t="s">
        <v>926</v>
      </c>
      <c r="F222" s="81" t="s">
        <v>586</v>
      </c>
      <c r="G222" s="81" t="s">
        <v>77</v>
      </c>
      <c r="H222" s="81" t="s">
        <v>892</v>
      </c>
      <c r="I222" s="81" t="s">
        <v>545</v>
      </c>
      <c r="J222" s="79"/>
      <c r="K222" s="79"/>
      <c r="L222" s="79"/>
    </row>
    <row r="223" spans="1:12">
      <c r="A223" s="81" t="s">
        <v>882</v>
      </c>
      <c r="B223" s="81" t="s">
        <v>399</v>
      </c>
      <c r="C223" s="81" t="s">
        <v>203</v>
      </c>
      <c r="D223" s="81" t="s">
        <v>449</v>
      </c>
      <c r="E223" s="81" t="s">
        <v>905</v>
      </c>
      <c r="F223" s="81" t="s">
        <v>587</v>
      </c>
      <c r="G223" s="81" t="s">
        <v>77</v>
      </c>
      <c r="H223" s="81" t="s">
        <v>892</v>
      </c>
      <c r="I223" s="81" t="s">
        <v>243</v>
      </c>
      <c r="J223" s="79"/>
      <c r="K223" s="79"/>
      <c r="L223" s="79"/>
    </row>
    <row r="224" spans="1:12">
      <c r="A224" s="81" t="s">
        <v>882</v>
      </c>
      <c r="B224" s="81" t="s">
        <v>399</v>
      </c>
      <c r="C224" s="81" t="s">
        <v>203</v>
      </c>
      <c r="D224" s="81" t="s">
        <v>449</v>
      </c>
      <c r="E224" s="81" t="s">
        <v>926</v>
      </c>
      <c r="F224" s="81" t="s">
        <v>588</v>
      </c>
      <c r="G224" s="81" t="s">
        <v>77</v>
      </c>
      <c r="H224" s="81" t="s">
        <v>892</v>
      </c>
      <c r="I224" s="81" t="s">
        <v>545</v>
      </c>
      <c r="J224" s="79"/>
      <c r="K224" s="79"/>
      <c r="L224" s="79"/>
    </row>
    <row r="225" spans="1:12">
      <c r="A225" s="81" t="s">
        <v>882</v>
      </c>
      <c r="B225" s="81" t="s">
        <v>399</v>
      </c>
      <c r="C225" s="81" t="s">
        <v>203</v>
      </c>
      <c r="D225" s="81" t="s">
        <v>449</v>
      </c>
      <c r="E225" s="81" t="s">
        <v>926</v>
      </c>
      <c r="F225" s="81" t="s">
        <v>589</v>
      </c>
      <c r="G225" s="81" t="s">
        <v>77</v>
      </c>
      <c r="H225" s="81" t="s">
        <v>892</v>
      </c>
      <c r="I225" s="81" t="s">
        <v>545</v>
      </c>
      <c r="J225" s="79"/>
      <c r="K225" s="79"/>
      <c r="L225" s="79"/>
    </row>
    <row r="226" spans="1:12">
      <c r="A226" s="81" t="s">
        <v>882</v>
      </c>
      <c r="B226" s="81" t="s">
        <v>399</v>
      </c>
      <c r="C226" s="81" t="s">
        <v>203</v>
      </c>
      <c r="D226" s="81" t="s">
        <v>449</v>
      </c>
      <c r="E226" s="81" t="s">
        <v>926</v>
      </c>
      <c r="F226" s="81" t="s">
        <v>590</v>
      </c>
      <c r="G226" s="81" t="s">
        <v>77</v>
      </c>
      <c r="H226" s="81" t="s">
        <v>892</v>
      </c>
      <c r="I226" s="81" t="s">
        <v>545</v>
      </c>
      <c r="J226" s="79"/>
      <c r="K226" s="79"/>
      <c r="L226" s="79"/>
    </row>
    <row r="227" spans="1:12">
      <c r="A227" s="81" t="s">
        <v>882</v>
      </c>
      <c r="B227" s="81" t="s">
        <v>399</v>
      </c>
      <c r="C227" s="81" t="s">
        <v>203</v>
      </c>
      <c r="D227" s="81" t="s">
        <v>449</v>
      </c>
      <c r="E227" s="81" t="s">
        <v>926</v>
      </c>
      <c r="F227" s="81" t="s">
        <v>591</v>
      </c>
      <c r="G227" s="81" t="s">
        <v>77</v>
      </c>
      <c r="H227" s="81" t="s">
        <v>892</v>
      </c>
      <c r="I227" s="81" t="s">
        <v>545</v>
      </c>
      <c r="J227" s="79"/>
      <c r="K227" s="79"/>
      <c r="L227" s="79"/>
    </row>
    <row r="228" spans="1:12">
      <c r="A228" s="81" t="s">
        <v>882</v>
      </c>
      <c r="B228" s="81" t="s">
        <v>399</v>
      </c>
      <c r="C228" s="81" t="s">
        <v>203</v>
      </c>
      <c r="D228" s="81" t="s">
        <v>449</v>
      </c>
      <c r="E228" s="81" t="s">
        <v>926</v>
      </c>
      <c r="F228" s="81" t="s">
        <v>592</v>
      </c>
      <c r="G228" s="81" t="s">
        <v>77</v>
      </c>
      <c r="H228" s="81" t="s">
        <v>892</v>
      </c>
      <c r="I228" s="81" t="s">
        <v>545</v>
      </c>
      <c r="J228" s="79"/>
      <c r="K228" s="79"/>
      <c r="L228" s="79"/>
    </row>
    <row r="229" spans="1:12">
      <c r="A229" s="81" t="s">
        <v>882</v>
      </c>
      <c r="B229" s="81" t="s">
        <v>399</v>
      </c>
      <c r="C229" s="81" t="s">
        <v>203</v>
      </c>
      <c r="D229" s="81" t="s">
        <v>449</v>
      </c>
      <c r="E229" s="81" t="s">
        <v>926</v>
      </c>
      <c r="F229" s="81" t="s">
        <v>593</v>
      </c>
      <c r="G229" s="81" t="s">
        <v>77</v>
      </c>
      <c r="H229" s="81" t="s">
        <v>892</v>
      </c>
      <c r="I229" s="81" t="s">
        <v>545</v>
      </c>
      <c r="J229" s="79"/>
      <c r="K229" s="79"/>
      <c r="L229" s="79"/>
    </row>
    <row r="230" spans="1:12">
      <c r="A230" s="81" t="s">
        <v>882</v>
      </c>
      <c r="B230" s="81" t="s">
        <v>399</v>
      </c>
      <c r="C230" s="81" t="s">
        <v>203</v>
      </c>
      <c r="D230" s="81" t="s">
        <v>449</v>
      </c>
      <c r="E230" s="81" t="s">
        <v>905</v>
      </c>
      <c r="F230" s="81" t="s">
        <v>594</v>
      </c>
      <c r="G230" s="81" t="s">
        <v>77</v>
      </c>
      <c r="H230" s="81" t="s">
        <v>892</v>
      </c>
      <c r="I230" s="81" t="s">
        <v>243</v>
      </c>
      <c r="J230" s="79"/>
      <c r="K230" s="79"/>
      <c r="L230" s="79"/>
    </row>
    <row r="231" spans="1:12">
      <c r="A231" s="81" t="s">
        <v>882</v>
      </c>
      <c r="B231" s="81" t="s">
        <v>399</v>
      </c>
      <c r="C231" s="81" t="s">
        <v>203</v>
      </c>
      <c r="D231" s="81" t="s">
        <v>449</v>
      </c>
      <c r="E231" s="81" t="s">
        <v>905</v>
      </c>
      <c r="F231" s="81" t="s">
        <v>595</v>
      </c>
      <c r="G231" s="81" t="s">
        <v>77</v>
      </c>
      <c r="H231" s="81" t="s">
        <v>892</v>
      </c>
      <c r="I231" s="81" t="s">
        <v>243</v>
      </c>
      <c r="J231" s="79"/>
      <c r="K231" s="79"/>
      <c r="L231" s="79"/>
    </row>
    <row r="232" spans="1:12">
      <c r="A232" s="81" t="s">
        <v>882</v>
      </c>
      <c r="B232" s="81" t="s">
        <v>399</v>
      </c>
      <c r="C232" s="81" t="s">
        <v>203</v>
      </c>
      <c r="D232" s="81" t="s">
        <v>449</v>
      </c>
      <c r="E232" s="81" t="s">
        <v>905</v>
      </c>
      <c r="F232" s="81" t="s">
        <v>596</v>
      </c>
      <c r="G232" s="81" t="s">
        <v>77</v>
      </c>
      <c r="H232" s="81" t="s">
        <v>892</v>
      </c>
      <c r="I232" s="81" t="s">
        <v>243</v>
      </c>
      <c r="J232" s="79"/>
      <c r="K232" s="79"/>
      <c r="L232" s="79"/>
    </row>
    <row r="233" spans="1:12">
      <c r="A233" s="81" t="s">
        <v>882</v>
      </c>
      <c r="B233" s="81" t="s">
        <v>399</v>
      </c>
      <c r="C233" s="81" t="s">
        <v>203</v>
      </c>
      <c r="D233" s="81" t="s">
        <v>449</v>
      </c>
      <c r="E233" s="81" t="s">
        <v>905</v>
      </c>
      <c r="F233" s="81" t="s">
        <v>597</v>
      </c>
      <c r="G233" s="81" t="s">
        <v>77</v>
      </c>
      <c r="H233" s="81" t="s">
        <v>892</v>
      </c>
      <c r="I233" s="81" t="s">
        <v>243</v>
      </c>
      <c r="J233" s="79"/>
      <c r="K233" s="79"/>
      <c r="L233" s="79"/>
    </row>
    <row r="234" spans="1:12">
      <c r="A234" s="81" t="s">
        <v>882</v>
      </c>
      <c r="B234" s="81" t="s">
        <v>399</v>
      </c>
      <c r="C234" s="81" t="s">
        <v>203</v>
      </c>
      <c r="D234" s="81" t="s">
        <v>449</v>
      </c>
      <c r="E234" s="81" t="s">
        <v>905</v>
      </c>
      <c r="F234" s="81" t="s">
        <v>598</v>
      </c>
      <c r="G234" s="81" t="s">
        <v>77</v>
      </c>
      <c r="H234" s="81" t="s">
        <v>892</v>
      </c>
      <c r="I234" s="81" t="s">
        <v>243</v>
      </c>
      <c r="J234" s="79"/>
      <c r="K234" s="79"/>
      <c r="L234" s="79"/>
    </row>
    <row r="235" spans="1:12">
      <c r="A235" s="81" t="s">
        <v>882</v>
      </c>
      <c r="B235" s="81" t="s">
        <v>399</v>
      </c>
      <c r="C235" s="81" t="s">
        <v>203</v>
      </c>
      <c r="D235" s="81" t="s">
        <v>449</v>
      </c>
      <c r="E235" s="81" t="s">
        <v>905</v>
      </c>
      <c r="F235" s="81" t="s">
        <v>599</v>
      </c>
      <c r="G235" s="81" t="s">
        <v>77</v>
      </c>
      <c r="H235" s="81" t="s">
        <v>892</v>
      </c>
      <c r="I235" s="81" t="s">
        <v>243</v>
      </c>
      <c r="J235" s="79"/>
      <c r="K235" s="79"/>
      <c r="L235" s="79"/>
    </row>
    <row r="236" spans="1:12">
      <c r="A236" s="81" t="s">
        <v>882</v>
      </c>
      <c r="B236" s="81" t="s">
        <v>399</v>
      </c>
      <c r="C236" s="81" t="s">
        <v>203</v>
      </c>
      <c r="D236" s="81" t="s">
        <v>449</v>
      </c>
      <c r="E236" s="81" t="s">
        <v>905</v>
      </c>
      <c r="F236" s="81" t="s">
        <v>600</v>
      </c>
      <c r="G236" s="81" t="s">
        <v>77</v>
      </c>
      <c r="H236" s="81" t="s">
        <v>892</v>
      </c>
      <c r="I236" s="81" t="s">
        <v>243</v>
      </c>
      <c r="J236" s="79"/>
      <c r="K236" s="79"/>
      <c r="L236" s="79"/>
    </row>
    <row r="237" spans="1:12">
      <c r="A237" s="81" t="s">
        <v>882</v>
      </c>
      <c r="B237" s="81" t="s">
        <v>399</v>
      </c>
      <c r="C237" s="81" t="s">
        <v>203</v>
      </c>
      <c r="D237" s="81" t="s">
        <v>449</v>
      </c>
      <c r="E237" s="81" t="s">
        <v>905</v>
      </c>
      <c r="F237" s="81" t="s">
        <v>601</v>
      </c>
      <c r="G237" s="81" t="s">
        <v>77</v>
      </c>
      <c r="H237" s="81" t="s">
        <v>892</v>
      </c>
      <c r="I237" s="81" t="s">
        <v>243</v>
      </c>
      <c r="J237" s="79"/>
      <c r="K237" s="79"/>
      <c r="L237" s="79"/>
    </row>
    <row r="238" spans="1:12">
      <c r="A238" s="81" t="s">
        <v>882</v>
      </c>
      <c r="B238" s="81" t="s">
        <v>399</v>
      </c>
      <c r="C238" s="81" t="s">
        <v>203</v>
      </c>
      <c r="D238" s="81" t="s">
        <v>449</v>
      </c>
      <c r="E238" s="81" t="s">
        <v>905</v>
      </c>
      <c r="F238" s="81" t="s">
        <v>602</v>
      </c>
      <c r="G238" s="81" t="s">
        <v>77</v>
      </c>
      <c r="H238" s="81" t="s">
        <v>892</v>
      </c>
      <c r="I238" s="81" t="s">
        <v>243</v>
      </c>
      <c r="J238" s="79"/>
      <c r="K238" s="79"/>
      <c r="L238" s="79"/>
    </row>
    <row r="239" spans="1:12">
      <c r="A239" s="81" t="s">
        <v>882</v>
      </c>
      <c r="B239" s="81" t="s">
        <v>399</v>
      </c>
      <c r="C239" s="81" t="s">
        <v>203</v>
      </c>
      <c r="D239" s="81" t="s">
        <v>392</v>
      </c>
      <c r="E239" s="81" t="s">
        <v>894</v>
      </c>
      <c r="F239" s="81" t="s">
        <v>604</v>
      </c>
      <c r="G239" s="81" t="s">
        <v>77</v>
      </c>
      <c r="H239" s="81" t="s">
        <v>887</v>
      </c>
      <c r="I239" s="81" t="s">
        <v>341</v>
      </c>
      <c r="J239" s="79"/>
      <c r="K239" s="79"/>
      <c r="L239" s="79"/>
    </row>
    <row r="240" spans="1:12">
      <c r="A240" s="81" t="s">
        <v>882</v>
      </c>
      <c r="B240" s="81" t="s">
        <v>399</v>
      </c>
      <c r="C240" s="81" t="s">
        <v>203</v>
      </c>
      <c r="D240" s="81" t="s">
        <v>392</v>
      </c>
      <c r="E240" s="81" t="s">
        <v>894</v>
      </c>
      <c r="F240" s="81" t="s">
        <v>607</v>
      </c>
      <c r="G240" s="81" t="s">
        <v>77</v>
      </c>
      <c r="H240" s="81" t="s">
        <v>887</v>
      </c>
      <c r="I240" s="81" t="s">
        <v>341</v>
      </c>
      <c r="J240" s="79"/>
      <c r="K240" s="79"/>
      <c r="L240" s="79"/>
    </row>
    <row r="241" spans="1:12">
      <c r="A241" s="81" t="s">
        <v>882</v>
      </c>
      <c r="B241" s="81" t="s">
        <v>399</v>
      </c>
      <c r="C241" s="81" t="s">
        <v>203</v>
      </c>
      <c r="D241" s="81" t="s">
        <v>392</v>
      </c>
      <c r="E241" s="81" t="s">
        <v>894</v>
      </c>
      <c r="F241" s="81" t="s">
        <v>608</v>
      </c>
      <c r="G241" s="81" t="s">
        <v>77</v>
      </c>
      <c r="H241" s="81" t="s">
        <v>887</v>
      </c>
      <c r="I241" s="81" t="s">
        <v>341</v>
      </c>
      <c r="J241" s="79"/>
      <c r="K241" s="79"/>
      <c r="L241" s="79"/>
    </row>
    <row r="242" spans="1:12">
      <c r="A242" s="81" t="s">
        <v>882</v>
      </c>
      <c r="B242" s="81" t="s">
        <v>399</v>
      </c>
      <c r="C242" s="81" t="s">
        <v>203</v>
      </c>
      <c r="D242" s="81" t="s">
        <v>392</v>
      </c>
      <c r="E242" s="81" t="s">
        <v>894</v>
      </c>
      <c r="F242" s="81" t="s">
        <v>609</v>
      </c>
      <c r="G242" s="81" t="s">
        <v>77</v>
      </c>
      <c r="H242" s="81" t="s">
        <v>887</v>
      </c>
      <c r="I242" s="81" t="s">
        <v>341</v>
      </c>
      <c r="J242" s="79"/>
      <c r="K242" s="79"/>
      <c r="L242" s="79"/>
    </row>
    <row r="243" spans="1:12">
      <c r="A243" s="81" t="s">
        <v>882</v>
      </c>
      <c r="B243" s="81" t="s">
        <v>399</v>
      </c>
      <c r="C243" s="81" t="s">
        <v>203</v>
      </c>
      <c r="D243" s="81" t="s">
        <v>392</v>
      </c>
      <c r="E243" s="81" t="s">
        <v>894</v>
      </c>
      <c r="F243" s="81" t="s">
        <v>610</v>
      </c>
      <c r="G243" s="81" t="s">
        <v>77</v>
      </c>
      <c r="H243" s="81" t="s">
        <v>887</v>
      </c>
      <c r="I243" s="81" t="s">
        <v>341</v>
      </c>
      <c r="J243" s="79"/>
      <c r="K243" s="79"/>
      <c r="L243" s="79"/>
    </row>
    <row r="244" spans="1:12">
      <c r="A244" s="81" t="s">
        <v>882</v>
      </c>
      <c r="B244" s="81" t="s">
        <v>399</v>
      </c>
      <c r="C244" s="81" t="s">
        <v>203</v>
      </c>
      <c r="D244" s="81" t="s">
        <v>392</v>
      </c>
      <c r="E244" s="81" t="s">
        <v>894</v>
      </c>
      <c r="F244" s="81" t="s">
        <v>611</v>
      </c>
      <c r="G244" s="81" t="s">
        <v>77</v>
      </c>
      <c r="H244" s="81" t="s">
        <v>887</v>
      </c>
      <c r="I244" s="81" t="s">
        <v>341</v>
      </c>
      <c r="J244" s="79"/>
      <c r="K244" s="79"/>
      <c r="L244" s="79"/>
    </row>
    <row r="245" spans="1:12">
      <c r="A245" s="81" t="s">
        <v>882</v>
      </c>
      <c r="B245" s="81" t="s">
        <v>399</v>
      </c>
      <c r="C245" s="81" t="s">
        <v>203</v>
      </c>
      <c r="D245" s="81" t="s">
        <v>392</v>
      </c>
      <c r="E245" s="81" t="s">
        <v>894</v>
      </c>
      <c r="F245" s="81" t="s">
        <v>612</v>
      </c>
      <c r="G245" s="81" t="s">
        <v>77</v>
      </c>
      <c r="H245" s="81" t="s">
        <v>887</v>
      </c>
      <c r="I245" s="81" t="s">
        <v>341</v>
      </c>
      <c r="J245" s="79"/>
      <c r="K245" s="79"/>
      <c r="L245" s="79"/>
    </row>
    <row r="246" spans="1:12">
      <c r="A246" s="81" t="s">
        <v>882</v>
      </c>
      <c r="B246" s="81" t="s">
        <v>399</v>
      </c>
      <c r="C246" s="81" t="s">
        <v>203</v>
      </c>
      <c r="D246" s="81" t="s">
        <v>392</v>
      </c>
      <c r="E246" s="81" t="s">
        <v>927</v>
      </c>
      <c r="F246" s="81" t="s">
        <v>613</v>
      </c>
      <c r="G246" s="81" t="s">
        <v>77</v>
      </c>
      <c r="H246" s="81" t="s">
        <v>887</v>
      </c>
      <c r="I246" s="81" t="s">
        <v>341</v>
      </c>
      <c r="J246" s="79"/>
      <c r="K246" s="79"/>
      <c r="L246" s="79"/>
    </row>
    <row r="247" spans="1:12">
      <c r="A247" s="81" t="s">
        <v>882</v>
      </c>
      <c r="B247" s="81" t="s">
        <v>399</v>
      </c>
      <c r="C247" s="81" t="s">
        <v>203</v>
      </c>
      <c r="D247" s="81" t="s">
        <v>362</v>
      </c>
      <c r="E247" s="81" t="s">
        <v>921</v>
      </c>
      <c r="F247" s="81" t="s">
        <v>614</v>
      </c>
      <c r="G247" s="81" t="s">
        <v>77</v>
      </c>
      <c r="H247" s="81" t="s">
        <v>892</v>
      </c>
      <c r="I247" s="81" t="s">
        <v>243</v>
      </c>
      <c r="J247" s="79"/>
      <c r="K247" s="79"/>
      <c r="L247" s="79"/>
    </row>
    <row r="248" spans="1:12">
      <c r="A248" s="81" t="s">
        <v>882</v>
      </c>
      <c r="B248" s="81" t="s">
        <v>399</v>
      </c>
      <c r="C248" s="81" t="s">
        <v>203</v>
      </c>
      <c r="D248" s="81" t="s">
        <v>392</v>
      </c>
      <c r="E248" s="81" t="s">
        <v>894</v>
      </c>
      <c r="F248" s="81" t="s">
        <v>615</v>
      </c>
      <c r="G248" s="81" t="s">
        <v>77</v>
      </c>
      <c r="H248" s="81" t="s">
        <v>887</v>
      </c>
      <c r="I248" s="81" t="s">
        <v>341</v>
      </c>
      <c r="J248" s="79"/>
      <c r="K248" s="79"/>
      <c r="L248" s="79"/>
    </row>
    <row r="249" spans="1:12">
      <c r="A249" s="81" t="s">
        <v>882</v>
      </c>
      <c r="B249" s="81" t="s">
        <v>399</v>
      </c>
      <c r="C249" s="81" t="s">
        <v>203</v>
      </c>
      <c r="D249" s="81" t="s">
        <v>392</v>
      </c>
      <c r="E249" s="81" t="s">
        <v>894</v>
      </c>
      <c r="F249" s="81" t="s">
        <v>617</v>
      </c>
      <c r="G249" s="81" t="s">
        <v>77</v>
      </c>
      <c r="H249" s="81" t="s">
        <v>887</v>
      </c>
      <c r="I249" s="81" t="s">
        <v>341</v>
      </c>
      <c r="J249" s="79"/>
      <c r="K249" s="79"/>
      <c r="L249" s="79"/>
    </row>
    <row r="250" spans="1:12">
      <c r="A250" s="81" t="s">
        <v>882</v>
      </c>
      <c r="B250" s="81" t="s">
        <v>399</v>
      </c>
      <c r="C250" s="81" t="s">
        <v>203</v>
      </c>
      <c r="D250" s="81" t="s">
        <v>392</v>
      </c>
      <c r="E250" s="81" t="s">
        <v>894</v>
      </c>
      <c r="F250" s="81" t="s">
        <v>618</v>
      </c>
      <c r="G250" s="81" t="s">
        <v>77</v>
      </c>
      <c r="H250" s="81" t="s">
        <v>887</v>
      </c>
      <c r="I250" s="81" t="s">
        <v>341</v>
      </c>
      <c r="J250" s="79"/>
      <c r="K250" s="79"/>
      <c r="L250" s="79"/>
    </row>
    <row r="251" spans="1:12">
      <c r="A251" s="81" t="s">
        <v>882</v>
      </c>
      <c r="B251" s="81" t="s">
        <v>399</v>
      </c>
      <c r="C251" s="81" t="s">
        <v>203</v>
      </c>
      <c r="D251" s="81" t="s">
        <v>392</v>
      </c>
      <c r="E251" s="81" t="s">
        <v>894</v>
      </c>
      <c r="F251" s="81" t="s">
        <v>619</v>
      </c>
      <c r="G251" s="81" t="s">
        <v>77</v>
      </c>
      <c r="H251" s="81" t="s">
        <v>887</v>
      </c>
      <c r="I251" s="81" t="s">
        <v>341</v>
      </c>
      <c r="J251" s="79"/>
      <c r="K251" s="79"/>
      <c r="L251" s="79"/>
    </row>
    <row r="252" spans="1:12">
      <c r="A252" s="81" t="s">
        <v>882</v>
      </c>
      <c r="B252" s="81" t="s">
        <v>399</v>
      </c>
      <c r="C252" s="81" t="s">
        <v>203</v>
      </c>
      <c r="D252" s="81" t="s">
        <v>392</v>
      </c>
      <c r="E252" s="81" t="s">
        <v>894</v>
      </c>
      <c r="F252" s="81" t="s">
        <v>620</v>
      </c>
      <c r="G252" s="81" t="s">
        <v>77</v>
      </c>
      <c r="H252" s="81" t="s">
        <v>887</v>
      </c>
      <c r="I252" s="81" t="s">
        <v>341</v>
      </c>
      <c r="J252" s="79"/>
      <c r="K252" s="79"/>
      <c r="L252" s="79"/>
    </row>
    <row r="253" spans="1:12">
      <c r="A253" s="81" t="s">
        <v>882</v>
      </c>
      <c r="B253" s="81" t="s">
        <v>399</v>
      </c>
      <c r="C253" s="81" t="s">
        <v>203</v>
      </c>
      <c r="D253" s="81" t="s">
        <v>392</v>
      </c>
      <c r="E253" s="81" t="s">
        <v>894</v>
      </c>
      <c r="F253" s="81" t="s">
        <v>621</v>
      </c>
      <c r="G253" s="81" t="s">
        <v>77</v>
      </c>
      <c r="H253" s="81" t="s">
        <v>887</v>
      </c>
      <c r="I253" s="81" t="s">
        <v>341</v>
      </c>
      <c r="J253" s="79"/>
      <c r="K253" s="79"/>
      <c r="L253" s="79"/>
    </row>
    <row r="254" spans="1:12">
      <c r="A254" s="81" t="s">
        <v>882</v>
      </c>
      <c r="B254" s="81" t="s">
        <v>399</v>
      </c>
      <c r="C254" s="81" t="s">
        <v>203</v>
      </c>
      <c r="D254" s="81" t="s">
        <v>392</v>
      </c>
      <c r="E254" s="81" t="s">
        <v>894</v>
      </c>
      <c r="F254" s="81" t="s">
        <v>622</v>
      </c>
      <c r="G254" s="81" t="s">
        <v>77</v>
      </c>
      <c r="H254" s="81" t="s">
        <v>887</v>
      </c>
      <c r="I254" s="81" t="s">
        <v>341</v>
      </c>
      <c r="J254" s="79"/>
      <c r="K254" s="79"/>
      <c r="L254" s="79"/>
    </row>
    <row r="255" spans="1:12">
      <c r="A255" s="81" t="s">
        <v>882</v>
      </c>
      <c r="B255" s="81" t="s">
        <v>399</v>
      </c>
      <c r="C255" s="81" t="s">
        <v>203</v>
      </c>
      <c r="D255" s="81" t="s">
        <v>392</v>
      </c>
      <c r="E255" s="81" t="s">
        <v>894</v>
      </c>
      <c r="F255" s="81" t="s">
        <v>623</v>
      </c>
      <c r="G255" s="81" t="s">
        <v>77</v>
      </c>
      <c r="H255" s="81" t="s">
        <v>887</v>
      </c>
      <c r="I255" s="81" t="s">
        <v>341</v>
      </c>
      <c r="J255" s="79"/>
      <c r="K255" s="79"/>
      <c r="L255" s="79"/>
    </row>
    <row r="256" spans="1:12">
      <c r="A256" s="81" t="s">
        <v>882</v>
      </c>
      <c r="B256" s="81" t="s">
        <v>399</v>
      </c>
      <c r="C256" s="81" t="s">
        <v>203</v>
      </c>
      <c r="D256" s="81" t="s">
        <v>392</v>
      </c>
      <c r="E256" s="81" t="s">
        <v>894</v>
      </c>
      <c r="F256" s="81" t="s">
        <v>624</v>
      </c>
      <c r="G256" s="81" t="s">
        <v>77</v>
      </c>
      <c r="H256" s="81" t="s">
        <v>887</v>
      </c>
      <c r="I256" s="81" t="s">
        <v>341</v>
      </c>
      <c r="J256" s="79"/>
      <c r="K256" s="79"/>
      <c r="L256" s="79"/>
    </row>
    <row r="257" spans="1:12">
      <c r="A257" s="81" t="s">
        <v>882</v>
      </c>
      <c r="B257" s="81" t="s">
        <v>399</v>
      </c>
      <c r="C257" s="81" t="s">
        <v>203</v>
      </c>
      <c r="D257" s="81" t="s">
        <v>392</v>
      </c>
      <c r="E257" s="81" t="s">
        <v>894</v>
      </c>
      <c r="F257" s="81" t="s">
        <v>625</v>
      </c>
      <c r="G257" s="81" t="s">
        <v>77</v>
      </c>
      <c r="H257" s="81" t="s">
        <v>887</v>
      </c>
      <c r="I257" s="81" t="s">
        <v>341</v>
      </c>
      <c r="J257" s="79"/>
      <c r="K257" s="79"/>
      <c r="L257" s="79"/>
    </row>
    <row r="258" spans="1:12">
      <c r="A258" s="81" t="s">
        <v>882</v>
      </c>
      <c r="B258" s="81" t="s">
        <v>399</v>
      </c>
      <c r="C258" s="81" t="s">
        <v>203</v>
      </c>
      <c r="D258" s="81" t="s">
        <v>392</v>
      </c>
      <c r="E258" s="81" t="s">
        <v>928</v>
      </c>
      <c r="F258" s="81" t="s">
        <v>626</v>
      </c>
      <c r="G258" s="81" t="s">
        <v>77</v>
      </c>
      <c r="H258" s="81" t="s">
        <v>887</v>
      </c>
      <c r="I258" s="81" t="s">
        <v>341</v>
      </c>
      <c r="J258" s="79"/>
      <c r="K258" s="79"/>
      <c r="L258" s="79"/>
    </row>
    <row r="259" spans="1:12">
      <c r="A259" s="81" t="s">
        <v>882</v>
      </c>
      <c r="B259" s="81" t="s">
        <v>399</v>
      </c>
      <c r="C259" s="81" t="s">
        <v>203</v>
      </c>
      <c r="D259" s="81" t="s">
        <v>392</v>
      </c>
      <c r="E259" s="81" t="s">
        <v>928</v>
      </c>
      <c r="F259" s="81" t="s">
        <v>627</v>
      </c>
      <c r="G259" s="81" t="s">
        <v>77</v>
      </c>
      <c r="H259" s="81" t="s">
        <v>887</v>
      </c>
      <c r="I259" s="81" t="s">
        <v>341</v>
      </c>
      <c r="J259" s="79"/>
      <c r="K259" s="79"/>
      <c r="L259" s="79"/>
    </row>
    <row r="260" spans="1:12">
      <c r="A260" s="81" t="s">
        <v>882</v>
      </c>
      <c r="B260" s="81" t="s">
        <v>399</v>
      </c>
      <c r="C260" s="81" t="s">
        <v>203</v>
      </c>
      <c r="D260" s="81" t="s">
        <v>629</v>
      </c>
      <c r="E260" s="81" t="s">
        <v>929</v>
      </c>
      <c r="F260" s="81" t="s">
        <v>628</v>
      </c>
      <c r="G260" s="81" t="s">
        <v>77</v>
      </c>
      <c r="H260" s="81" t="s">
        <v>887</v>
      </c>
      <c r="I260" s="81" t="s">
        <v>341</v>
      </c>
      <c r="J260" s="79"/>
      <c r="K260" s="79"/>
      <c r="L260" s="79"/>
    </row>
    <row r="261" spans="1:12">
      <c r="A261" s="81" t="s">
        <v>882</v>
      </c>
      <c r="B261" s="81" t="s">
        <v>399</v>
      </c>
      <c r="C261" s="81" t="s">
        <v>203</v>
      </c>
      <c r="D261" s="81" t="s">
        <v>629</v>
      </c>
      <c r="E261" s="81" t="s">
        <v>929</v>
      </c>
      <c r="F261" s="81" t="s">
        <v>635</v>
      </c>
      <c r="G261" s="81" t="s">
        <v>77</v>
      </c>
      <c r="H261" s="81" t="s">
        <v>887</v>
      </c>
      <c r="I261" s="81" t="s">
        <v>341</v>
      </c>
      <c r="J261" s="79"/>
      <c r="K261" s="79"/>
      <c r="L261" s="79"/>
    </row>
    <row r="262" spans="1:12">
      <c r="A262" s="81" t="s">
        <v>882</v>
      </c>
      <c r="B262" s="81" t="s">
        <v>399</v>
      </c>
      <c r="C262" s="81" t="s">
        <v>203</v>
      </c>
      <c r="D262" s="81" t="s">
        <v>629</v>
      </c>
      <c r="E262" s="81" t="s">
        <v>929</v>
      </c>
      <c r="F262" s="81" t="s">
        <v>636</v>
      </c>
      <c r="G262" s="81" t="s">
        <v>77</v>
      </c>
      <c r="H262" s="81" t="s">
        <v>887</v>
      </c>
      <c r="I262" s="81" t="s">
        <v>341</v>
      </c>
      <c r="J262" s="79"/>
      <c r="K262" s="79"/>
      <c r="L262" s="79"/>
    </row>
    <row r="263" spans="1:12">
      <c r="A263" s="81" t="s">
        <v>882</v>
      </c>
      <c r="B263" s="81" t="s">
        <v>399</v>
      </c>
      <c r="C263" s="81" t="s">
        <v>203</v>
      </c>
      <c r="D263" s="81" t="s">
        <v>629</v>
      </c>
      <c r="E263" s="81" t="s">
        <v>929</v>
      </c>
      <c r="F263" s="81" t="s">
        <v>637</v>
      </c>
      <c r="G263" s="81" t="s">
        <v>77</v>
      </c>
      <c r="H263" s="81" t="s">
        <v>887</v>
      </c>
      <c r="I263" s="81" t="s">
        <v>341</v>
      </c>
      <c r="J263" s="79"/>
      <c r="K263" s="79"/>
      <c r="L263" s="79"/>
    </row>
    <row r="264" spans="1:12">
      <c r="A264" s="81" t="s">
        <v>882</v>
      </c>
      <c r="B264" s="81" t="s">
        <v>399</v>
      </c>
      <c r="C264" s="81" t="s">
        <v>203</v>
      </c>
      <c r="D264" s="81" t="s">
        <v>629</v>
      </c>
      <c r="E264" s="81" t="s">
        <v>929</v>
      </c>
      <c r="F264" s="81" t="s">
        <v>638</v>
      </c>
      <c r="G264" s="81" t="s">
        <v>77</v>
      </c>
      <c r="H264" s="81" t="s">
        <v>887</v>
      </c>
      <c r="I264" s="81" t="s">
        <v>341</v>
      </c>
      <c r="J264" s="79"/>
      <c r="K264" s="79"/>
      <c r="L264" s="79"/>
    </row>
    <row r="265" spans="1:12">
      <c r="A265" s="81" t="s">
        <v>882</v>
      </c>
      <c r="B265" s="81" t="s">
        <v>399</v>
      </c>
      <c r="C265" s="81" t="s">
        <v>203</v>
      </c>
      <c r="D265" s="81" t="s">
        <v>629</v>
      </c>
      <c r="E265" s="81" t="s">
        <v>929</v>
      </c>
      <c r="F265" s="81" t="s">
        <v>639</v>
      </c>
      <c r="G265" s="81" t="s">
        <v>77</v>
      </c>
      <c r="H265" s="81" t="s">
        <v>887</v>
      </c>
      <c r="I265" s="81" t="s">
        <v>341</v>
      </c>
      <c r="J265" s="79"/>
      <c r="K265" s="79"/>
      <c r="L265" s="79"/>
    </row>
    <row r="266" spans="1:12">
      <c r="A266" s="81" t="s">
        <v>882</v>
      </c>
      <c r="B266" s="81" t="s">
        <v>399</v>
      </c>
      <c r="C266" s="81" t="s">
        <v>203</v>
      </c>
      <c r="D266" s="81" t="s">
        <v>641</v>
      </c>
      <c r="E266" s="81" t="s">
        <v>930</v>
      </c>
      <c r="F266" s="81" t="s">
        <v>640</v>
      </c>
      <c r="G266" s="81" t="s">
        <v>77</v>
      </c>
      <c r="H266" s="81" t="s">
        <v>887</v>
      </c>
      <c r="I266" s="81" t="s">
        <v>341</v>
      </c>
      <c r="J266" s="79"/>
      <c r="K266" s="79"/>
      <c r="L266" s="79"/>
    </row>
    <row r="267" spans="1:12">
      <c r="A267" s="81" t="s">
        <v>882</v>
      </c>
      <c r="B267" s="81" t="s">
        <v>399</v>
      </c>
      <c r="C267" s="81" t="s">
        <v>203</v>
      </c>
      <c r="D267" s="81" t="s">
        <v>392</v>
      </c>
      <c r="E267" s="81" t="s">
        <v>931</v>
      </c>
      <c r="F267" s="81" t="s">
        <v>643</v>
      </c>
      <c r="G267" s="81" t="s">
        <v>77</v>
      </c>
      <c r="H267" s="81" t="s">
        <v>887</v>
      </c>
      <c r="I267" s="81" t="s">
        <v>341</v>
      </c>
      <c r="J267" s="79"/>
      <c r="K267" s="79"/>
      <c r="L267" s="79"/>
    </row>
    <row r="268" spans="1:12">
      <c r="A268" s="81" t="s">
        <v>882</v>
      </c>
      <c r="B268" s="81" t="s">
        <v>399</v>
      </c>
      <c r="C268" s="81" t="s">
        <v>203</v>
      </c>
      <c r="D268" s="81" t="s">
        <v>449</v>
      </c>
      <c r="E268" s="81" t="s">
        <v>905</v>
      </c>
      <c r="F268" s="81" t="s">
        <v>644</v>
      </c>
      <c r="G268" s="81" t="s">
        <v>77</v>
      </c>
      <c r="H268" s="81" t="s">
        <v>892</v>
      </c>
      <c r="I268" s="81" t="s">
        <v>243</v>
      </c>
      <c r="J268" s="79"/>
      <c r="K268" s="79"/>
      <c r="L268" s="79"/>
    </row>
    <row r="269" spans="1:12">
      <c r="A269" s="81" t="s">
        <v>882</v>
      </c>
      <c r="B269" s="81" t="s">
        <v>399</v>
      </c>
      <c r="C269" s="81" t="s">
        <v>203</v>
      </c>
      <c r="D269" s="81" t="s">
        <v>449</v>
      </c>
      <c r="E269" s="81" t="s">
        <v>905</v>
      </c>
      <c r="F269" s="81" t="s">
        <v>645</v>
      </c>
      <c r="G269" s="81" t="s">
        <v>77</v>
      </c>
      <c r="H269" s="81" t="s">
        <v>892</v>
      </c>
      <c r="I269" s="81" t="s">
        <v>243</v>
      </c>
      <c r="J269" s="79"/>
      <c r="K269" s="79"/>
      <c r="L269" s="79"/>
    </row>
    <row r="270" spans="1:12">
      <c r="A270" s="81" t="s">
        <v>882</v>
      </c>
      <c r="B270" s="81" t="s">
        <v>399</v>
      </c>
      <c r="C270" s="81" t="s">
        <v>203</v>
      </c>
      <c r="D270" s="81" t="s">
        <v>641</v>
      </c>
      <c r="E270" s="81" t="s">
        <v>930</v>
      </c>
      <c r="F270" s="81" t="s">
        <v>646</v>
      </c>
      <c r="G270" s="81" t="s">
        <v>77</v>
      </c>
      <c r="H270" s="81" t="s">
        <v>887</v>
      </c>
      <c r="I270" s="81" t="s">
        <v>341</v>
      </c>
      <c r="J270" s="79"/>
      <c r="K270" s="79"/>
      <c r="L270" s="79"/>
    </row>
    <row r="271" spans="1:12">
      <c r="A271" s="81" t="s">
        <v>882</v>
      </c>
      <c r="B271" s="81" t="s">
        <v>399</v>
      </c>
      <c r="C271" s="81" t="s">
        <v>203</v>
      </c>
      <c r="D271" s="81" t="s">
        <v>641</v>
      </c>
      <c r="E271" s="81" t="s">
        <v>930</v>
      </c>
      <c r="F271" s="81" t="s">
        <v>648</v>
      </c>
      <c r="G271" s="81" t="s">
        <v>77</v>
      </c>
      <c r="H271" s="81" t="s">
        <v>887</v>
      </c>
      <c r="I271" s="81" t="s">
        <v>341</v>
      </c>
      <c r="J271" s="79"/>
      <c r="K271" s="79"/>
      <c r="L271" s="79"/>
    </row>
    <row r="272" spans="1:12">
      <c r="A272" s="81" t="s">
        <v>882</v>
      </c>
      <c r="B272" s="81" t="s">
        <v>399</v>
      </c>
      <c r="C272" s="81" t="s">
        <v>203</v>
      </c>
      <c r="D272" s="81" t="s">
        <v>641</v>
      </c>
      <c r="E272" s="81" t="s">
        <v>930</v>
      </c>
      <c r="F272" s="81" t="s">
        <v>649</v>
      </c>
      <c r="G272" s="81" t="s">
        <v>77</v>
      </c>
      <c r="H272" s="81" t="s">
        <v>887</v>
      </c>
      <c r="I272" s="81" t="s">
        <v>341</v>
      </c>
      <c r="J272" s="79"/>
      <c r="K272" s="79"/>
      <c r="L272" s="79"/>
    </row>
    <row r="273" spans="1:12">
      <c r="A273" s="81" t="s">
        <v>882</v>
      </c>
      <c r="B273" s="81" t="s">
        <v>399</v>
      </c>
      <c r="C273" s="81" t="s">
        <v>203</v>
      </c>
      <c r="D273" s="81" t="s">
        <v>641</v>
      </c>
      <c r="E273" s="81" t="s">
        <v>930</v>
      </c>
      <c r="F273" s="81" t="s">
        <v>650</v>
      </c>
      <c r="G273" s="81" t="s">
        <v>77</v>
      </c>
      <c r="H273" s="81" t="s">
        <v>887</v>
      </c>
      <c r="I273" s="81" t="s">
        <v>341</v>
      </c>
      <c r="J273" s="79"/>
      <c r="K273" s="79"/>
      <c r="L273" s="79"/>
    </row>
    <row r="274" spans="1:12">
      <c r="A274" s="81" t="s">
        <v>882</v>
      </c>
      <c r="B274" s="81" t="s">
        <v>399</v>
      </c>
      <c r="C274" s="81" t="s">
        <v>203</v>
      </c>
      <c r="D274" s="81" t="s">
        <v>641</v>
      </c>
      <c r="E274" s="81" t="s">
        <v>930</v>
      </c>
      <c r="F274" s="81" t="s">
        <v>651</v>
      </c>
      <c r="G274" s="81" t="s">
        <v>77</v>
      </c>
      <c r="H274" s="81" t="s">
        <v>887</v>
      </c>
      <c r="I274" s="81" t="s">
        <v>341</v>
      </c>
      <c r="J274" s="79"/>
      <c r="K274" s="79"/>
      <c r="L274" s="79"/>
    </row>
    <row r="275" spans="1:12">
      <c r="A275" s="81" t="s">
        <v>882</v>
      </c>
      <c r="B275" s="81" t="s">
        <v>399</v>
      </c>
      <c r="C275" s="81" t="s">
        <v>203</v>
      </c>
      <c r="D275" s="81" t="s">
        <v>641</v>
      </c>
      <c r="E275" s="81" t="s">
        <v>930</v>
      </c>
      <c r="F275" s="81" t="s">
        <v>652</v>
      </c>
      <c r="G275" s="81" t="s">
        <v>77</v>
      </c>
      <c r="H275" s="81" t="s">
        <v>887</v>
      </c>
      <c r="I275" s="81" t="s">
        <v>341</v>
      </c>
      <c r="J275" s="79"/>
      <c r="K275" s="79"/>
      <c r="L275" s="79"/>
    </row>
    <row r="276" spans="1:12">
      <c r="A276" s="81" t="s">
        <v>882</v>
      </c>
      <c r="B276" s="81" t="s">
        <v>399</v>
      </c>
      <c r="C276" s="81" t="s">
        <v>203</v>
      </c>
      <c r="D276" s="81" t="s">
        <v>641</v>
      </c>
      <c r="E276" s="81" t="s">
        <v>930</v>
      </c>
      <c r="F276" s="81" t="s">
        <v>653</v>
      </c>
      <c r="G276" s="81" t="s">
        <v>77</v>
      </c>
      <c r="H276" s="81" t="s">
        <v>887</v>
      </c>
      <c r="I276" s="81" t="s">
        <v>341</v>
      </c>
      <c r="J276" s="79"/>
      <c r="K276" s="79"/>
      <c r="L276" s="79"/>
    </row>
    <row r="277" spans="1:12">
      <c r="A277" s="81" t="s">
        <v>882</v>
      </c>
      <c r="B277" s="81" t="s">
        <v>399</v>
      </c>
      <c r="C277" s="81" t="s">
        <v>203</v>
      </c>
      <c r="D277" s="81" t="s">
        <v>641</v>
      </c>
      <c r="E277" s="81" t="s">
        <v>930</v>
      </c>
      <c r="F277" s="81" t="s">
        <v>654</v>
      </c>
      <c r="G277" s="81" t="s">
        <v>77</v>
      </c>
      <c r="H277" s="81" t="s">
        <v>887</v>
      </c>
      <c r="I277" s="81" t="s">
        <v>341</v>
      </c>
      <c r="J277" s="79"/>
      <c r="K277" s="79"/>
      <c r="L277" s="79"/>
    </row>
    <row r="278" spans="1:12">
      <c r="A278" s="81" t="s">
        <v>882</v>
      </c>
      <c r="B278" s="81" t="s">
        <v>399</v>
      </c>
      <c r="C278" s="81" t="s">
        <v>203</v>
      </c>
      <c r="D278" s="81" t="s">
        <v>641</v>
      </c>
      <c r="E278" s="81" t="s">
        <v>930</v>
      </c>
      <c r="F278" s="81" t="s">
        <v>655</v>
      </c>
      <c r="G278" s="81" t="s">
        <v>77</v>
      </c>
      <c r="H278" s="81" t="s">
        <v>887</v>
      </c>
      <c r="I278" s="81" t="s">
        <v>341</v>
      </c>
      <c r="J278" s="79"/>
      <c r="K278" s="79"/>
      <c r="L278" s="79"/>
    </row>
    <row r="279" spans="1:12">
      <c r="A279" s="81" t="s">
        <v>882</v>
      </c>
      <c r="B279" s="81" t="s">
        <v>399</v>
      </c>
      <c r="C279" s="81" t="s">
        <v>203</v>
      </c>
      <c r="D279" s="81" t="s">
        <v>641</v>
      </c>
      <c r="E279" s="81" t="s">
        <v>930</v>
      </c>
      <c r="F279" s="81" t="s">
        <v>656</v>
      </c>
      <c r="G279" s="81" t="s">
        <v>77</v>
      </c>
      <c r="H279" s="81" t="s">
        <v>887</v>
      </c>
      <c r="I279" s="81" t="s">
        <v>341</v>
      </c>
      <c r="J279" s="79"/>
      <c r="K279" s="79"/>
      <c r="L279" s="79"/>
    </row>
    <row r="280" spans="1:12">
      <c r="A280" s="81" t="s">
        <v>882</v>
      </c>
      <c r="B280" s="81" t="s">
        <v>399</v>
      </c>
      <c r="C280" s="81" t="s">
        <v>203</v>
      </c>
      <c r="D280" s="81" t="s">
        <v>641</v>
      </c>
      <c r="E280" s="81" t="s">
        <v>930</v>
      </c>
      <c r="F280" s="81" t="s">
        <v>657</v>
      </c>
      <c r="G280" s="81" t="s">
        <v>77</v>
      </c>
      <c r="H280" s="81" t="s">
        <v>887</v>
      </c>
      <c r="I280" s="81" t="s">
        <v>341</v>
      </c>
      <c r="J280" s="79"/>
      <c r="K280" s="79"/>
      <c r="L280" s="79"/>
    </row>
    <row r="281" spans="1:12">
      <c r="A281" s="81" t="s">
        <v>882</v>
      </c>
      <c r="B281" s="81" t="s">
        <v>399</v>
      </c>
      <c r="C281" s="81" t="s">
        <v>203</v>
      </c>
      <c r="D281" s="81" t="s">
        <v>641</v>
      </c>
      <c r="E281" s="81" t="s">
        <v>930</v>
      </c>
      <c r="F281" s="81" t="s">
        <v>658</v>
      </c>
      <c r="G281" s="81" t="s">
        <v>77</v>
      </c>
      <c r="H281" s="81" t="s">
        <v>887</v>
      </c>
      <c r="I281" s="81" t="s">
        <v>341</v>
      </c>
      <c r="J281" s="79"/>
      <c r="K281" s="79"/>
      <c r="L281" s="79"/>
    </row>
    <row r="282" spans="1:12">
      <c r="A282" s="81" t="s">
        <v>882</v>
      </c>
      <c r="B282" s="81" t="s">
        <v>399</v>
      </c>
      <c r="C282" s="81" t="s">
        <v>203</v>
      </c>
      <c r="D282" s="81" t="s">
        <v>641</v>
      </c>
      <c r="E282" s="81" t="s">
        <v>930</v>
      </c>
      <c r="F282" s="81" t="s">
        <v>659</v>
      </c>
      <c r="G282" s="81" t="s">
        <v>77</v>
      </c>
      <c r="H282" s="81" t="s">
        <v>887</v>
      </c>
      <c r="I282" s="81" t="s">
        <v>341</v>
      </c>
      <c r="J282" s="79"/>
      <c r="K282" s="79"/>
      <c r="L282" s="79"/>
    </row>
    <row r="283" spans="1:12">
      <c r="A283" s="81" t="s">
        <v>882</v>
      </c>
      <c r="B283" s="81" t="s">
        <v>399</v>
      </c>
      <c r="C283" s="81" t="s">
        <v>203</v>
      </c>
      <c r="D283" s="81" t="s">
        <v>641</v>
      </c>
      <c r="E283" s="81" t="s">
        <v>930</v>
      </c>
      <c r="F283" s="81" t="s">
        <v>660</v>
      </c>
      <c r="G283" s="81" t="s">
        <v>77</v>
      </c>
      <c r="H283" s="81" t="s">
        <v>887</v>
      </c>
      <c r="I283" s="81" t="s">
        <v>341</v>
      </c>
      <c r="J283" s="79"/>
      <c r="K283" s="79"/>
      <c r="L283" s="79"/>
    </row>
    <row r="284" spans="1:12">
      <c r="A284" s="81" t="s">
        <v>882</v>
      </c>
      <c r="B284" s="81" t="s">
        <v>399</v>
      </c>
      <c r="C284" s="81" t="s">
        <v>203</v>
      </c>
      <c r="D284" s="81" t="s">
        <v>641</v>
      </c>
      <c r="E284" s="81" t="s">
        <v>930</v>
      </c>
      <c r="F284" s="81" t="s">
        <v>661</v>
      </c>
      <c r="G284" s="81" t="s">
        <v>77</v>
      </c>
      <c r="H284" s="81" t="s">
        <v>887</v>
      </c>
      <c r="I284" s="81" t="s">
        <v>341</v>
      </c>
      <c r="J284" s="79"/>
      <c r="K284" s="79"/>
      <c r="L284" s="79"/>
    </row>
    <row r="285" spans="1:12">
      <c r="A285" s="81" t="s">
        <v>882</v>
      </c>
      <c r="B285" s="81" t="s">
        <v>399</v>
      </c>
      <c r="C285" s="81" t="s">
        <v>203</v>
      </c>
      <c r="D285" s="81" t="s">
        <v>641</v>
      </c>
      <c r="E285" s="81" t="s">
        <v>930</v>
      </c>
      <c r="F285" s="81" t="s">
        <v>662</v>
      </c>
      <c r="G285" s="81" t="s">
        <v>77</v>
      </c>
      <c r="H285" s="81" t="s">
        <v>887</v>
      </c>
      <c r="I285" s="81" t="s">
        <v>341</v>
      </c>
      <c r="J285" s="79"/>
      <c r="K285" s="79"/>
      <c r="L285" s="79"/>
    </row>
    <row r="286" spans="1:12">
      <c r="A286" s="81" t="s">
        <v>882</v>
      </c>
      <c r="B286" s="81" t="s">
        <v>399</v>
      </c>
      <c r="C286" s="81" t="s">
        <v>203</v>
      </c>
      <c r="D286" s="81" t="s">
        <v>641</v>
      </c>
      <c r="E286" s="81" t="s">
        <v>930</v>
      </c>
      <c r="F286" s="81" t="s">
        <v>663</v>
      </c>
      <c r="G286" s="81" t="s">
        <v>77</v>
      </c>
      <c r="H286" s="81" t="s">
        <v>887</v>
      </c>
      <c r="I286" s="81" t="s">
        <v>341</v>
      </c>
      <c r="J286" s="79"/>
      <c r="K286" s="79"/>
      <c r="L286" s="79"/>
    </row>
    <row r="287" spans="1:12">
      <c r="A287" s="81" t="s">
        <v>882</v>
      </c>
      <c r="B287" s="81" t="s">
        <v>399</v>
      </c>
      <c r="C287" s="81" t="s">
        <v>203</v>
      </c>
      <c r="D287" s="81" t="s">
        <v>641</v>
      </c>
      <c r="E287" s="81" t="s">
        <v>930</v>
      </c>
      <c r="F287" s="81" t="s">
        <v>664</v>
      </c>
      <c r="G287" s="81" t="s">
        <v>77</v>
      </c>
      <c r="H287" s="81" t="s">
        <v>887</v>
      </c>
      <c r="I287" s="81" t="s">
        <v>341</v>
      </c>
      <c r="J287" s="79"/>
      <c r="K287" s="79"/>
      <c r="L287" s="79"/>
    </row>
    <row r="288" spans="1:12">
      <c r="A288" s="81" t="s">
        <v>882</v>
      </c>
      <c r="B288" s="81" t="s">
        <v>399</v>
      </c>
      <c r="C288" s="81" t="s">
        <v>203</v>
      </c>
      <c r="D288" s="81" t="s">
        <v>641</v>
      </c>
      <c r="E288" s="81" t="s">
        <v>930</v>
      </c>
      <c r="F288" s="81" t="s">
        <v>665</v>
      </c>
      <c r="G288" s="81" t="s">
        <v>77</v>
      </c>
      <c r="H288" s="81" t="s">
        <v>887</v>
      </c>
      <c r="I288" s="81" t="s">
        <v>341</v>
      </c>
      <c r="J288" s="79"/>
      <c r="K288" s="79"/>
      <c r="L288" s="79"/>
    </row>
    <row r="289" spans="1:12">
      <c r="A289" s="81" t="s">
        <v>882</v>
      </c>
      <c r="B289" s="81" t="s">
        <v>399</v>
      </c>
      <c r="C289" s="81" t="s">
        <v>203</v>
      </c>
      <c r="D289" s="81" t="s">
        <v>641</v>
      </c>
      <c r="E289" s="81" t="s">
        <v>930</v>
      </c>
      <c r="F289" s="81" t="s">
        <v>666</v>
      </c>
      <c r="G289" s="81" t="s">
        <v>77</v>
      </c>
      <c r="H289" s="81" t="s">
        <v>887</v>
      </c>
      <c r="I289" s="81" t="s">
        <v>341</v>
      </c>
      <c r="J289" s="79"/>
      <c r="K289" s="79"/>
      <c r="L289" s="79"/>
    </row>
    <row r="290" spans="1:12">
      <c r="A290" s="81" t="s">
        <v>882</v>
      </c>
      <c r="B290" s="81" t="s">
        <v>399</v>
      </c>
      <c r="C290" s="81" t="s">
        <v>203</v>
      </c>
      <c r="D290" s="81" t="s">
        <v>641</v>
      </c>
      <c r="E290" s="81" t="s">
        <v>930</v>
      </c>
      <c r="F290" s="81" t="s">
        <v>667</v>
      </c>
      <c r="G290" s="81" t="s">
        <v>77</v>
      </c>
      <c r="H290" s="81" t="s">
        <v>887</v>
      </c>
      <c r="I290" s="81" t="s">
        <v>341</v>
      </c>
      <c r="J290" s="79"/>
      <c r="K290" s="79"/>
      <c r="L290" s="79"/>
    </row>
    <row r="291" spans="1:12">
      <c r="A291" s="81" t="s">
        <v>882</v>
      </c>
      <c r="B291" s="81" t="s">
        <v>399</v>
      </c>
      <c r="C291" s="81" t="s">
        <v>203</v>
      </c>
      <c r="D291" s="81" t="s">
        <v>641</v>
      </c>
      <c r="E291" s="81" t="s">
        <v>930</v>
      </c>
      <c r="F291" s="81" t="s">
        <v>668</v>
      </c>
      <c r="G291" s="81" t="s">
        <v>77</v>
      </c>
      <c r="H291" s="81" t="s">
        <v>887</v>
      </c>
      <c r="I291" s="81" t="s">
        <v>341</v>
      </c>
      <c r="J291" s="79"/>
      <c r="K291" s="79"/>
      <c r="L291" s="79"/>
    </row>
    <row r="292" spans="1:12">
      <c r="A292" s="81" t="s">
        <v>882</v>
      </c>
      <c r="B292" s="81" t="s">
        <v>399</v>
      </c>
      <c r="C292" s="81" t="s">
        <v>203</v>
      </c>
      <c r="D292" s="81" t="s">
        <v>641</v>
      </c>
      <c r="E292" s="81" t="s">
        <v>930</v>
      </c>
      <c r="F292" s="81" t="s">
        <v>669</v>
      </c>
      <c r="G292" s="81" t="s">
        <v>77</v>
      </c>
      <c r="H292" s="81" t="s">
        <v>887</v>
      </c>
      <c r="I292" s="81" t="s">
        <v>341</v>
      </c>
      <c r="J292" s="79"/>
      <c r="K292" s="79"/>
      <c r="L292" s="79"/>
    </row>
    <row r="293" spans="1:12">
      <c r="A293" s="81" t="s">
        <v>882</v>
      </c>
      <c r="B293" s="81" t="s">
        <v>399</v>
      </c>
      <c r="C293" s="81" t="s">
        <v>203</v>
      </c>
      <c r="D293" s="81" t="s">
        <v>641</v>
      </c>
      <c r="E293" s="81" t="s">
        <v>930</v>
      </c>
      <c r="F293" s="81" t="s">
        <v>670</v>
      </c>
      <c r="G293" s="81" t="s">
        <v>77</v>
      </c>
      <c r="H293" s="81" t="s">
        <v>887</v>
      </c>
      <c r="I293" s="81" t="s">
        <v>341</v>
      </c>
      <c r="J293" s="79"/>
      <c r="K293" s="79"/>
      <c r="L293" s="79"/>
    </row>
    <row r="294" spans="1:12">
      <c r="A294" s="81" t="s">
        <v>882</v>
      </c>
      <c r="B294" s="81" t="s">
        <v>399</v>
      </c>
      <c r="C294" s="81" t="s">
        <v>203</v>
      </c>
      <c r="D294" s="81" t="s">
        <v>641</v>
      </c>
      <c r="E294" s="81" t="s">
        <v>930</v>
      </c>
      <c r="F294" s="81" t="s">
        <v>671</v>
      </c>
      <c r="G294" s="81" t="s">
        <v>77</v>
      </c>
      <c r="H294" s="81" t="s">
        <v>887</v>
      </c>
      <c r="I294" s="81" t="s">
        <v>341</v>
      </c>
      <c r="J294" s="79"/>
      <c r="K294" s="79"/>
      <c r="L294" s="79"/>
    </row>
    <row r="295" spans="1:12">
      <c r="A295" s="81" t="s">
        <v>882</v>
      </c>
      <c r="B295" s="81" t="s">
        <v>399</v>
      </c>
      <c r="C295" s="81" t="s">
        <v>203</v>
      </c>
      <c r="D295" s="81" t="s">
        <v>641</v>
      </c>
      <c r="E295" s="81" t="s">
        <v>930</v>
      </c>
      <c r="F295" s="81" t="s">
        <v>672</v>
      </c>
      <c r="G295" s="81" t="s">
        <v>77</v>
      </c>
      <c r="H295" s="81" t="s">
        <v>887</v>
      </c>
      <c r="I295" s="81" t="s">
        <v>341</v>
      </c>
      <c r="J295" s="79"/>
      <c r="K295" s="79"/>
      <c r="L295" s="79"/>
    </row>
    <row r="296" spans="1:12">
      <c r="A296" s="81" t="s">
        <v>882</v>
      </c>
      <c r="B296" s="81" t="s">
        <v>399</v>
      </c>
      <c r="C296" s="81" t="s">
        <v>203</v>
      </c>
      <c r="D296" s="81" t="s">
        <v>641</v>
      </c>
      <c r="E296" s="81" t="s">
        <v>930</v>
      </c>
      <c r="F296" s="81" t="s">
        <v>673</v>
      </c>
      <c r="G296" s="81" t="s">
        <v>77</v>
      </c>
      <c r="H296" s="81" t="s">
        <v>887</v>
      </c>
      <c r="I296" s="81" t="s">
        <v>341</v>
      </c>
      <c r="J296" s="79"/>
      <c r="K296" s="79"/>
      <c r="L296" s="79"/>
    </row>
    <row r="297" spans="1:12">
      <c r="A297" s="81" t="s">
        <v>882</v>
      </c>
      <c r="B297" s="81" t="s">
        <v>399</v>
      </c>
      <c r="C297" s="81" t="s">
        <v>203</v>
      </c>
      <c r="D297" s="81" t="s">
        <v>641</v>
      </c>
      <c r="E297" s="81" t="s">
        <v>930</v>
      </c>
      <c r="F297" s="81" t="s">
        <v>674</v>
      </c>
      <c r="G297" s="81" t="s">
        <v>77</v>
      </c>
      <c r="H297" s="81" t="s">
        <v>887</v>
      </c>
      <c r="I297" s="81" t="s">
        <v>341</v>
      </c>
      <c r="J297" s="79"/>
      <c r="K297" s="79"/>
      <c r="L297" s="79"/>
    </row>
    <row r="298" spans="1:12">
      <c r="A298" s="81" t="s">
        <v>882</v>
      </c>
      <c r="B298" s="81" t="s">
        <v>399</v>
      </c>
      <c r="C298" s="81" t="s">
        <v>203</v>
      </c>
      <c r="D298" s="81" t="s">
        <v>641</v>
      </c>
      <c r="E298" s="81" t="s">
        <v>930</v>
      </c>
      <c r="F298" s="81" t="s">
        <v>675</v>
      </c>
      <c r="G298" s="81" t="s">
        <v>77</v>
      </c>
      <c r="H298" s="81" t="s">
        <v>887</v>
      </c>
      <c r="I298" s="81" t="s">
        <v>341</v>
      </c>
      <c r="J298" s="79"/>
      <c r="K298" s="79"/>
      <c r="L298" s="79"/>
    </row>
    <row r="299" spans="1:12">
      <c r="A299" s="81" t="s">
        <v>882</v>
      </c>
      <c r="B299" s="81" t="s">
        <v>399</v>
      </c>
      <c r="C299" s="81" t="s">
        <v>203</v>
      </c>
      <c r="D299" s="81" t="s">
        <v>641</v>
      </c>
      <c r="E299" s="81" t="s">
        <v>930</v>
      </c>
      <c r="F299" s="81" t="s">
        <v>676</v>
      </c>
      <c r="G299" s="81" t="s">
        <v>77</v>
      </c>
      <c r="H299" s="81" t="s">
        <v>887</v>
      </c>
      <c r="I299" s="81" t="s">
        <v>341</v>
      </c>
      <c r="J299" s="79"/>
      <c r="K299" s="79"/>
      <c r="L299" s="79"/>
    </row>
    <row r="300" spans="1:12">
      <c r="A300" s="81" t="s">
        <v>882</v>
      </c>
      <c r="B300" s="81" t="s">
        <v>399</v>
      </c>
      <c r="C300" s="81" t="s">
        <v>203</v>
      </c>
      <c r="D300" s="81" t="s">
        <v>641</v>
      </c>
      <c r="E300" s="81" t="s">
        <v>930</v>
      </c>
      <c r="F300" s="81" t="s">
        <v>677</v>
      </c>
      <c r="G300" s="81" t="s">
        <v>77</v>
      </c>
      <c r="H300" s="81" t="s">
        <v>887</v>
      </c>
      <c r="I300" s="81" t="s">
        <v>341</v>
      </c>
      <c r="J300" s="79"/>
      <c r="K300" s="79"/>
      <c r="L300" s="79"/>
    </row>
    <row r="301" spans="1:12">
      <c r="A301" s="81" t="s">
        <v>882</v>
      </c>
      <c r="B301" s="81" t="s">
        <v>399</v>
      </c>
      <c r="C301" s="81" t="s">
        <v>203</v>
      </c>
      <c r="D301" s="81" t="s">
        <v>641</v>
      </c>
      <c r="E301" s="81" t="s">
        <v>930</v>
      </c>
      <c r="F301" s="81" t="s">
        <v>678</v>
      </c>
      <c r="G301" s="81" t="s">
        <v>77</v>
      </c>
      <c r="H301" s="81" t="s">
        <v>887</v>
      </c>
      <c r="I301" s="81" t="s">
        <v>341</v>
      </c>
      <c r="J301" s="79"/>
      <c r="K301" s="79"/>
      <c r="L301" s="79"/>
    </row>
    <row r="302" spans="1:12">
      <c r="A302" s="81" t="s">
        <v>882</v>
      </c>
      <c r="B302" s="81" t="s">
        <v>399</v>
      </c>
      <c r="C302" s="81" t="s">
        <v>203</v>
      </c>
      <c r="D302" s="81" t="s">
        <v>641</v>
      </c>
      <c r="E302" s="81" t="s">
        <v>930</v>
      </c>
      <c r="F302" s="81" t="s">
        <v>679</v>
      </c>
      <c r="G302" s="81" t="s">
        <v>77</v>
      </c>
      <c r="H302" s="81" t="s">
        <v>887</v>
      </c>
      <c r="I302" s="81" t="s">
        <v>341</v>
      </c>
      <c r="J302" s="79"/>
      <c r="K302" s="79"/>
      <c r="L302" s="79"/>
    </row>
    <row r="303" spans="1:12">
      <c r="A303" s="81" t="s">
        <v>882</v>
      </c>
      <c r="B303" s="81" t="s">
        <v>399</v>
      </c>
      <c r="C303" s="81" t="s">
        <v>203</v>
      </c>
      <c r="D303" s="81" t="s">
        <v>641</v>
      </c>
      <c r="E303" s="81" t="s">
        <v>930</v>
      </c>
      <c r="F303" s="81" t="s">
        <v>680</v>
      </c>
      <c r="G303" s="81" t="s">
        <v>77</v>
      </c>
      <c r="H303" s="81" t="s">
        <v>887</v>
      </c>
      <c r="I303" s="81" t="s">
        <v>341</v>
      </c>
      <c r="J303" s="79"/>
      <c r="K303" s="79"/>
      <c r="L303" s="79"/>
    </row>
    <row r="304" spans="1:12">
      <c r="A304" s="81" t="s">
        <v>882</v>
      </c>
      <c r="B304" s="81" t="s">
        <v>399</v>
      </c>
      <c r="C304" s="81" t="s">
        <v>203</v>
      </c>
      <c r="D304" s="81" t="s">
        <v>641</v>
      </c>
      <c r="E304" s="81" t="s">
        <v>930</v>
      </c>
      <c r="F304" s="81" t="s">
        <v>681</v>
      </c>
      <c r="G304" s="81" t="s">
        <v>77</v>
      </c>
      <c r="H304" s="81" t="s">
        <v>887</v>
      </c>
      <c r="I304" s="81" t="s">
        <v>341</v>
      </c>
      <c r="J304" s="79"/>
      <c r="K304" s="79"/>
      <c r="L304" s="79"/>
    </row>
    <row r="305" spans="1:12">
      <c r="A305" s="81" t="s">
        <v>882</v>
      </c>
      <c r="B305" s="81" t="s">
        <v>399</v>
      </c>
      <c r="C305" s="81" t="s">
        <v>203</v>
      </c>
      <c r="D305" s="81" t="s">
        <v>641</v>
      </c>
      <c r="E305" s="81" t="s">
        <v>930</v>
      </c>
      <c r="F305" s="81" t="s">
        <v>682</v>
      </c>
      <c r="G305" s="81" t="s">
        <v>77</v>
      </c>
      <c r="H305" s="81" t="s">
        <v>887</v>
      </c>
      <c r="I305" s="81" t="s">
        <v>341</v>
      </c>
      <c r="J305" s="79"/>
      <c r="K305" s="79"/>
      <c r="L305" s="79"/>
    </row>
    <row r="306" spans="1:12">
      <c r="A306" s="81" t="s">
        <v>882</v>
      </c>
      <c r="B306" s="81" t="s">
        <v>399</v>
      </c>
      <c r="C306" s="81" t="s">
        <v>203</v>
      </c>
      <c r="D306" s="81" t="s">
        <v>641</v>
      </c>
      <c r="E306" s="81" t="s">
        <v>930</v>
      </c>
      <c r="F306" s="81" t="s">
        <v>683</v>
      </c>
      <c r="G306" s="81" t="s">
        <v>77</v>
      </c>
      <c r="H306" s="81" t="s">
        <v>887</v>
      </c>
      <c r="I306" s="81" t="s">
        <v>341</v>
      </c>
      <c r="J306" s="79"/>
      <c r="K306" s="79"/>
      <c r="L306" s="79"/>
    </row>
    <row r="307" spans="1:12">
      <c r="A307" s="81" t="s">
        <v>882</v>
      </c>
      <c r="B307" s="81" t="s">
        <v>399</v>
      </c>
      <c r="C307" s="81" t="s">
        <v>203</v>
      </c>
      <c r="D307" s="81" t="s">
        <v>641</v>
      </c>
      <c r="E307" s="81" t="s">
        <v>930</v>
      </c>
      <c r="F307" s="81" t="s">
        <v>684</v>
      </c>
      <c r="G307" s="81" t="s">
        <v>77</v>
      </c>
      <c r="H307" s="81" t="s">
        <v>887</v>
      </c>
      <c r="I307" s="81" t="s">
        <v>341</v>
      </c>
      <c r="J307" s="79"/>
      <c r="K307" s="79"/>
      <c r="L307" s="79"/>
    </row>
    <row r="308" spans="1:12">
      <c r="A308" s="81" t="s">
        <v>882</v>
      </c>
      <c r="B308" s="81" t="s">
        <v>399</v>
      </c>
      <c r="C308" s="81" t="s">
        <v>203</v>
      </c>
      <c r="D308" s="81" t="s">
        <v>641</v>
      </c>
      <c r="E308" s="81" t="s">
        <v>930</v>
      </c>
      <c r="F308" s="81" t="s">
        <v>685</v>
      </c>
      <c r="G308" s="81" t="s">
        <v>77</v>
      </c>
      <c r="H308" s="81" t="s">
        <v>887</v>
      </c>
      <c r="I308" s="81" t="s">
        <v>341</v>
      </c>
      <c r="J308" s="79"/>
      <c r="K308" s="79"/>
      <c r="L308" s="79"/>
    </row>
    <row r="309" spans="1:12">
      <c r="A309" s="81" t="s">
        <v>882</v>
      </c>
      <c r="B309" s="81" t="s">
        <v>399</v>
      </c>
      <c r="C309" s="81" t="s">
        <v>203</v>
      </c>
      <c r="D309" s="81" t="s">
        <v>641</v>
      </c>
      <c r="E309" s="81" t="s">
        <v>930</v>
      </c>
      <c r="F309" s="81" t="s">
        <v>686</v>
      </c>
      <c r="G309" s="81" t="s">
        <v>77</v>
      </c>
      <c r="H309" s="81" t="s">
        <v>887</v>
      </c>
      <c r="I309" s="81" t="s">
        <v>341</v>
      </c>
      <c r="J309" s="79"/>
      <c r="K309" s="79"/>
      <c r="L309" s="79"/>
    </row>
    <row r="310" spans="1:12">
      <c r="A310" s="81" t="s">
        <v>882</v>
      </c>
      <c r="B310" s="81" t="s">
        <v>399</v>
      </c>
      <c r="C310" s="81" t="s">
        <v>203</v>
      </c>
      <c r="D310" s="81" t="s">
        <v>641</v>
      </c>
      <c r="E310" s="81" t="s">
        <v>930</v>
      </c>
      <c r="F310" s="81" t="s">
        <v>687</v>
      </c>
      <c r="G310" s="81" t="s">
        <v>77</v>
      </c>
      <c r="H310" s="81" t="s">
        <v>887</v>
      </c>
      <c r="I310" s="81" t="s">
        <v>341</v>
      </c>
      <c r="J310" s="79"/>
      <c r="K310" s="79"/>
      <c r="L310" s="79"/>
    </row>
    <row r="311" spans="1:12">
      <c r="A311" s="81" t="s">
        <v>882</v>
      </c>
      <c r="B311" s="81" t="s">
        <v>399</v>
      </c>
      <c r="C311" s="81" t="s">
        <v>203</v>
      </c>
      <c r="D311" s="81" t="s">
        <v>641</v>
      </c>
      <c r="E311" s="81" t="s">
        <v>930</v>
      </c>
      <c r="F311" s="81" t="s">
        <v>688</v>
      </c>
      <c r="G311" s="81" t="s">
        <v>77</v>
      </c>
      <c r="H311" s="81" t="s">
        <v>887</v>
      </c>
      <c r="I311" s="81" t="s">
        <v>341</v>
      </c>
      <c r="J311" s="79"/>
      <c r="K311" s="79"/>
      <c r="L311" s="79"/>
    </row>
    <row r="312" spans="1:12">
      <c r="A312" s="81" t="s">
        <v>882</v>
      </c>
      <c r="B312" s="81" t="s">
        <v>399</v>
      </c>
      <c r="C312" s="81" t="s">
        <v>203</v>
      </c>
      <c r="D312" s="81" t="s">
        <v>641</v>
      </c>
      <c r="E312" s="81" t="s">
        <v>930</v>
      </c>
      <c r="F312" s="81" t="s">
        <v>689</v>
      </c>
      <c r="G312" s="81" t="s">
        <v>77</v>
      </c>
      <c r="H312" s="81" t="s">
        <v>887</v>
      </c>
      <c r="I312" s="81" t="s">
        <v>341</v>
      </c>
      <c r="J312" s="79"/>
      <c r="K312" s="79"/>
      <c r="L312" s="79"/>
    </row>
    <row r="313" spans="1:12">
      <c r="A313" s="81" t="s">
        <v>882</v>
      </c>
      <c r="B313" s="81" t="s">
        <v>399</v>
      </c>
      <c r="C313" s="81" t="s">
        <v>203</v>
      </c>
      <c r="D313" s="81" t="s">
        <v>641</v>
      </c>
      <c r="E313" s="81" t="s">
        <v>930</v>
      </c>
      <c r="F313" s="81" t="s">
        <v>690</v>
      </c>
      <c r="G313" s="81" t="s">
        <v>77</v>
      </c>
      <c r="H313" s="81" t="s">
        <v>887</v>
      </c>
      <c r="I313" s="81" t="s">
        <v>341</v>
      </c>
      <c r="J313" s="79"/>
      <c r="K313" s="79"/>
      <c r="L313" s="79"/>
    </row>
    <row r="314" spans="1:12">
      <c r="A314" s="81" t="s">
        <v>882</v>
      </c>
      <c r="B314" s="81" t="s">
        <v>399</v>
      </c>
      <c r="C314" s="81" t="s">
        <v>203</v>
      </c>
      <c r="D314" s="81" t="s">
        <v>692</v>
      </c>
      <c r="E314" s="81" t="s">
        <v>932</v>
      </c>
      <c r="F314" s="81" t="s">
        <v>691</v>
      </c>
      <c r="G314" s="81" t="s">
        <v>77</v>
      </c>
      <c r="H314" s="81" t="s">
        <v>887</v>
      </c>
      <c r="I314" s="81" t="s">
        <v>341</v>
      </c>
      <c r="J314" s="79"/>
      <c r="K314" s="79"/>
      <c r="L314" s="79"/>
    </row>
    <row r="315" spans="1:12">
      <c r="A315" s="81" t="s">
        <v>882</v>
      </c>
      <c r="B315" s="81" t="s">
        <v>399</v>
      </c>
      <c r="C315" s="81" t="s">
        <v>203</v>
      </c>
      <c r="D315" s="81" t="s">
        <v>697</v>
      </c>
      <c r="E315" s="81" t="s">
        <v>933</v>
      </c>
      <c r="F315" s="81" t="s">
        <v>696</v>
      </c>
      <c r="G315" s="81" t="s">
        <v>77</v>
      </c>
      <c r="H315" s="81" t="s">
        <v>887</v>
      </c>
      <c r="I315" s="81" t="s">
        <v>341</v>
      </c>
      <c r="J315" s="79"/>
      <c r="K315" s="79"/>
      <c r="L315" s="79"/>
    </row>
    <row r="316" spans="1:12">
      <c r="A316" s="81" t="s">
        <v>882</v>
      </c>
      <c r="B316" s="81" t="s">
        <v>399</v>
      </c>
      <c r="C316" s="81" t="s">
        <v>203</v>
      </c>
      <c r="D316" s="81" t="s">
        <v>697</v>
      </c>
      <c r="E316" s="81" t="s">
        <v>934</v>
      </c>
      <c r="F316" s="81" t="s">
        <v>700</v>
      </c>
      <c r="G316" s="81" t="s">
        <v>77</v>
      </c>
      <c r="H316" s="81" t="s">
        <v>887</v>
      </c>
      <c r="I316" s="81" t="s">
        <v>341</v>
      </c>
      <c r="J316" s="79"/>
      <c r="K316" s="79"/>
      <c r="L316" s="79"/>
    </row>
    <row r="317" spans="1:12">
      <c r="A317" s="81" t="s">
        <v>882</v>
      </c>
      <c r="B317" s="81" t="s">
        <v>399</v>
      </c>
      <c r="C317" s="81" t="s">
        <v>203</v>
      </c>
      <c r="D317" s="81" t="s">
        <v>697</v>
      </c>
      <c r="E317" s="81" t="s">
        <v>933</v>
      </c>
      <c r="F317" s="81" t="s">
        <v>701</v>
      </c>
      <c r="G317" s="81" t="s">
        <v>77</v>
      </c>
      <c r="H317" s="81" t="s">
        <v>887</v>
      </c>
      <c r="I317" s="81" t="s">
        <v>341</v>
      </c>
      <c r="J317" s="79"/>
      <c r="K317" s="79"/>
      <c r="L317" s="79"/>
    </row>
    <row r="318" spans="1:12">
      <c r="A318" s="81" t="s">
        <v>882</v>
      </c>
      <c r="B318" s="81" t="s">
        <v>399</v>
      </c>
      <c r="C318" s="81" t="s">
        <v>203</v>
      </c>
      <c r="D318" s="81" t="s">
        <v>697</v>
      </c>
      <c r="E318" s="81" t="s">
        <v>934</v>
      </c>
      <c r="F318" s="81" t="s">
        <v>702</v>
      </c>
      <c r="G318" s="81" t="s">
        <v>77</v>
      </c>
      <c r="H318" s="81" t="s">
        <v>887</v>
      </c>
      <c r="I318" s="81" t="s">
        <v>341</v>
      </c>
      <c r="J318" s="79"/>
      <c r="K318" s="79"/>
      <c r="L318" s="79"/>
    </row>
    <row r="319" spans="1:12">
      <c r="A319" s="81" t="s">
        <v>882</v>
      </c>
      <c r="B319" s="81" t="s">
        <v>399</v>
      </c>
      <c r="C319" s="81" t="s">
        <v>203</v>
      </c>
      <c r="D319" s="81" t="s">
        <v>697</v>
      </c>
      <c r="E319" s="81" t="s">
        <v>934</v>
      </c>
      <c r="F319" s="81" t="s">
        <v>703</v>
      </c>
      <c r="G319" s="81" t="s">
        <v>77</v>
      </c>
      <c r="H319" s="81" t="s">
        <v>887</v>
      </c>
      <c r="I319" s="81" t="s">
        <v>341</v>
      </c>
      <c r="J319" s="79"/>
      <c r="K319" s="79"/>
      <c r="L319" s="79"/>
    </row>
    <row r="320" spans="1:12">
      <c r="A320" s="81" t="s">
        <v>882</v>
      </c>
      <c r="B320" s="81" t="s">
        <v>399</v>
      </c>
      <c r="C320" s="81" t="s">
        <v>203</v>
      </c>
      <c r="D320" s="81" t="s">
        <v>697</v>
      </c>
      <c r="E320" s="81" t="s">
        <v>934</v>
      </c>
      <c r="F320" s="81" t="s">
        <v>704</v>
      </c>
      <c r="G320" s="81" t="s">
        <v>77</v>
      </c>
      <c r="H320" s="81" t="s">
        <v>887</v>
      </c>
      <c r="I320" s="81" t="s">
        <v>341</v>
      </c>
      <c r="J320" s="79"/>
      <c r="K320" s="79"/>
      <c r="L320" s="79"/>
    </row>
    <row r="321" spans="1:12">
      <c r="A321" s="81" t="s">
        <v>882</v>
      </c>
      <c r="B321" s="81" t="s">
        <v>399</v>
      </c>
      <c r="C321" s="81" t="s">
        <v>203</v>
      </c>
      <c r="D321" s="81" t="s">
        <v>697</v>
      </c>
      <c r="E321" s="81" t="s">
        <v>934</v>
      </c>
      <c r="F321" s="81" t="s">
        <v>705</v>
      </c>
      <c r="G321" s="81" t="s">
        <v>77</v>
      </c>
      <c r="H321" s="81" t="s">
        <v>887</v>
      </c>
      <c r="I321" s="81" t="s">
        <v>341</v>
      </c>
      <c r="J321" s="79"/>
      <c r="K321" s="79"/>
      <c r="L321" s="79"/>
    </row>
    <row r="322" spans="1:12">
      <c r="A322" s="81" t="s">
        <v>882</v>
      </c>
      <c r="B322" s="81" t="s">
        <v>399</v>
      </c>
      <c r="C322" s="81" t="s">
        <v>203</v>
      </c>
      <c r="D322" s="81" t="s">
        <v>697</v>
      </c>
      <c r="E322" s="81" t="s">
        <v>934</v>
      </c>
      <c r="F322" s="81" t="s">
        <v>706</v>
      </c>
      <c r="G322" s="81" t="s">
        <v>77</v>
      </c>
      <c r="H322" s="81" t="s">
        <v>887</v>
      </c>
      <c r="I322" s="81" t="s">
        <v>341</v>
      </c>
      <c r="J322" s="79"/>
      <c r="K322" s="79"/>
      <c r="L322" s="79"/>
    </row>
    <row r="323" spans="1:12">
      <c r="A323" s="81" t="s">
        <v>882</v>
      </c>
      <c r="B323" s="81" t="s">
        <v>399</v>
      </c>
      <c r="C323" s="81" t="s">
        <v>203</v>
      </c>
      <c r="D323" s="81" t="s">
        <v>697</v>
      </c>
      <c r="E323" s="81" t="s">
        <v>934</v>
      </c>
      <c r="F323" s="81" t="s">
        <v>708</v>
      </c>
      <c r="G323" s="81" t="s">
        <v>77</v>
      </c>
      <c r="H323" s="81" t="s">
        <v>887</v>
      </c>
      <c r="I323" s="81" t="s">
        <v>341</v>
      </c>
      <c r="J323" s="79"/>
      <c r="K323" s="79"/>
      <c r="L323" s="79"/>
    </row>
    <row r="324" spans="1:12">
      <c r="A324" s="81" t="s">
        <v>882</v>
      </c>
      <c r="B324" s="81" t="s">
        <v>399</v>
      </c>
      <c r="C324" s="81" t="s">
        <v>203</v>
      </c>
      <c r="D324" s="81" t="s">
        <v>697</v>
      </c>
      <c r="E324" s="81" t="s">
        <v>934</v>
      </c>
      <c r="F324" s="81" t="s">
        <v>709</v>
      </c>
      <c r="G324" s="81" t="s">
        <v>77</v>
      </c>
      <c r="H324" s="81" t="s">
        <v>887</v>
      </c>
      <c r="I324" s="81" t="s">
        <v>341</v>
      </c>
      <c r="J324" s="79"/>
      <c r="K324" s="79"/>
      <c r="L324" s="79"/>
    </row>
    <row r="325" spans="1:12">
      <c r="A325" s="81" t="s">
        <v>882</v>
      </c>
      <c r="B325" s="81" t="s">
        <v>399</v>
      </c>
      <c r="C325" s="81" t="s">
        <v>203</v>
      </c>
      <c r="D325" s="81" t="s">
        <v>711</v>
      </c>
      <c r="E325" s="81" t="s">
        <v>935</v>
      </c>
      <c r="F325" s="81" t="s">
        <v>710</v>
      </c>
      <c r="G325" s="81" t="s">
        <v>77</v>
      </c>
      <c r="H325" s="81" t="s">
        <v>887</v>
      </c>
      <c r="I325" s="81" t="s">
        <v>341</v>
      </c>
      <c r="J325" s="79"/>
      <c r="K325" s="79"/>
      <c r="L325" s="79"/>
    </row>
    <row r="326" spans="1:12">
      <c r="A326" s="81" t="s">
        <v>882</v>
      </c>
      <c r="B326" s="81" t="s">
        <v>399</v>
      </c>
      <c r="C326" s="81" t="s">
        <v>203</v>
      </c>
      <c r="D326" s="81" t="s">
        <v>711</v>
      </c>
      <c r="E326" s="81" t="s">
        <v>936</v>
      </c>
      <c r="F326" s="81" t="s">
        <v>714</v>
      </c>
      <c r="G326" s="81" t="s">
        <v>77</v>
      </c>
      <c r="H326" s="81" t="s">
        <v>887</v>
      </c>
      <c r="I326" s="81" t="s">
        <v>341</v>
      </c>
      <c r="J326" s="79"/>
      <c r="K326" s="79"/>
      <c r="L326" s="79"/>
    </row>
    <row r="327" spans="1:12">
      <c r="A327" s="81" t="s">
        <v>882</v>
      </c>
      <c r="B327" s="81" t="s">
        <v>399</v>
      </c>
      <c r="C327" s="81" t="s">
        <v>203</v>
      </c>
      <c r="D327" s="81" t="s">
        <v>711</v>
      </c>
      <c r="E327" s="81" t="s">
        <v>936</v>
      </c>
      <c r="F327" s="81" t="s">
        <v>715</v>
      </c>
      <c r="G327" s="81" t="s">
        <v>77</v>
      </c>
      <c r="H327" s="81" t="s">
        <v>887</v>
      </c>
      <c r="I327" s="81" t="s">
        <v>341</v>
      </c>
      <c r="J327" s="79"/>
      <c r="K327" s="79"/>
      <c r="L327" s="79"/>
    </row>
    <row r="328" spans="1:12">
      <c r="A328" s="81" t="s">
        <v>882</v>
      </c>
      <c r="B328" s="81" t="s">
        <v>399</v>
      </c>
      <c r="C328" s="81" t="s">
        <v>203</v>
      </c>
      <c r="D328" s="81" t="s">
        <v>711</v>
      </c>
      <c r="E328" s="81" t="s">
        <v>936</v>
      </c>
      <c r="F328" s="81" t="s">
        <v>716</v>
      </c>
      <c r="G328" s="81" t="s">
        <v>77</v>
      </c>
      <c r="H328" s="81" t="s">
        <v>887</v>
      </c>
      <c r="I328" s="81" t="s">
        <v>341</v>
      </c>
      <c r="J328" s="79"/>
      <c r="K328" s="79"/>
      <c r="L328" s="79"/>
    </row>
    <row r="329" spans="1:12">
      <c r="A329" s="81" t="s">
        <v>882</v>
      </c>
      <c r="B329" s="81" t="s">
        <v>399</v>
      </c>
      <c r="C329" s="81" t="s">
        <v>203</v>
      </c>
      <c r="D329" s="81" t="s">
        <v>711</v>
      </c>
      <c r="E329" s="81" t="s">
        <v>936</v>
      </c>
      <c r="F329" s="81" t="s">
        <v>717</v>
      </c>
      <c r="G329" s="81" t="s">
        <v>77</v>
      </c>
      <c r="H329" s="81" t="s">
        <v>887</v>
      </c>
      <c r="I329" s="81" t="s">
        <v>341</v>
      </c>
      <c r="J329" s="79"/>
      <c r="K329" s="79"/>
      <c r="L329" s="79"/>
    </row>
    <row r="330" spans="1:12">
      <c r="A330" s="81" t="s">
        <v>882</v>
      </c>
      <c r="B330" s="81" t="s">
        <v>399</v>
      </c>
      <c r="C330" s="81" t="s">
        <v>203</v>
      </c>
      <c r="D330" s="81" t="s">
        <v>711</v>
      </c>
      <c r="E330" s="81" t="s">
        <v>936</v>
      </c>
      <c r="F330" s="81" t="s">
        <v>718</v>
      </c>
      <c r="G330" s="81" t="s">
        <v>77</v>
      </c>
      <c r="H330" s="81" t="s">
        <v>887</v>
      </c>
      <c r="I330" s="81" t="s">
        <v>341</v>
      </c>
      <c r="J330" s="79"/>
      <c r="K330" s="79"/>
      <c r="L330" s="79"/>
    </row>
    <row r="331" spans="1:12">
      <c r="A331" s="81" t="s">
        <v>882</v>
      </c>
      <c r="B331" s="81" t="s">
        <v>399</v>
      </c>
      <c r="C331" s="81" t="s">
        <v>203</v>
      </c>
      <c r="D331" s="81" t="s">
        <v>711</v>
      </c>
      <c r="E331" s="81" t="s">
        <v>936</v>
      </c>
      <c r="F331" s="81" t="s">
        <v>719</v>
      </c>
      <c r="G331" s="81" t="s">
        <v>77</v>
      </c>
      <c r="H331" s="81" t="s">
        <v>887</v>
      </c>
      <c r="I331" s="81" t="s">
        <v>341</v>
      </c>
      <c r="J331" s="79"/>
      <c r="K331" s="79"/>
      <c r="L331" s="79"/>
    </row>
    <row r="332" spans="1:12">
      <c r="A332" s="81" t="s">
        <v>882</v>
      </c>
      <c r="B332" s="81" t="s">
        <v>399</v>
      </c>
      <c r="C332" s="81" t="s">
        <v>203</v>
      </c>
      <c r="D332" s="81" t="s">
        <v>711</v>
      </c>
      <c r="E332" s="81" t="s">
        <v>936</v>
      </c>
      <c r="F332" s="81" t="s">
        <v>720</v>
      </c>
      <c r="G332" s="81" t="s">
        <v>77</v>
      </c>
      <c r="H332" s="81" t="s">
        <v>887</v>
      </c>
      <c r="I332" s="81" t="s">
        <v>341</v>
      </c>
      <c r="J332" s="79"/>
      <c r="K332" s="79"/>
      <c r="L332" s="79"/>
    </row>
    <row r="333" spans="1:12">
      <c r="A333" s="81" t="s">
        <v>882</v>
      </c>
      <c r="B333" s="81" t="s">
        <v>399</v>
      </c>
      <c r="C333" s="81" t="s">
        <v>203</v>
      </c>
      <c r="D333" s="81" t="s">
        <v>711</v>
      </c>
      <c r="E333" s="81" t="s">
        <v>936</v>
      </c>
      <c r="F333" s="81" t="s">
        <v>721</v>
      </c>
      <c r="G333" s="81" t="s">
        <v>77</v>
      </c>
      <c r="H333" s="81" t="s">
        <v>887</v>
      </c>
      <c r="I333" s="81" t="s">
        <v>341</v>
      </c>
      <c r="J333" s="79"/>
      <c r="K333" s="79"/>
      <c r="L333" s="79"/>
    </row>
    <row r="334" spans="1:12">
      <c r="A334" s="81" t="s">
        <v>882</v>
      </c>
      <c r="B334" s="81" t="s">
        <v>399</v>
      </c>
      <c r="C334" s="81" t="s">
        <v>203</v>
      </c>
      <c r="D334" s="81" t="s">
        <v>711</v>
      </c>
      <c r="E334" s="81" t="s">
        <v>936</v>
      </c>
      <c r="F334" s="81" t="s">
        <v>722</v>
      </c>
      <c r="G334" s="81" t="s">
        <v>77</v>
      </c>
      <c r="H334" s="81" t="s">
        <v>887</v>
      </c>
      <c r="I334" s="81" t="s">
        <v>341</v>
      </c>
      <c r="J334" s="79"/>
      <c r="K334" s="79"/>
      <c r="L334" s="79"/>
    </row>
    <row r="335" spans="1:12">
      <c r="A335" s="81" t="s">
        <v>882</v>
      </c>
      <c r="B335" s="81" t="s">
        <v>399</v>
      </c>
      <c r="C335" s="81" t="s">
        <v>399</v>
      </c>
      <c r="D335" s="81" t="s">
        <v>724</v>
      </c>
      <c r="E335" s="81" t="s">
        <v>937</v>
      </c>
      <c r="F335" s="81" t="s">
        <v>723</v>
      </c>
      <c r="G335" s="81" t="s">
        <v>77</v>
      </c>
      <c r="H335" s="81" t="s">
        <v>887</v>
      </c>
      <c r="I335" s="81" t="s">
        <v>341</v>
      </c>
      <c r="J335" s="79"/>
      <c r="K335" s="79"/>
      <c r="L335" s="79"/>
    </row>
    <row r="336" spans="1:12">
      <c r="A336" s="81" t="s">
        <v>882</v>
      </c>
      <c r="B336" s="81" t="s">
        <v>399</v>
      </c>
      <c r="C336" s="81" t="s">
        <v>399</v>
      </c>
      <c r="D336" s="81" t="s">
        <v>724</v>
      </c>
      <c r="E336" s="81" t="s">
        <v>937</v>
      </c>
      <c r="F336" s="81" t="s">
        <v>727</v>
      </c>
      <c r="G336" s="81" t="s">
        <v>77</v>
      </c>
      <c r="H336" s="81" t="s">
        <v>887</v>
      </c>
      <c r="I336" s="81" t="s">
        <v>341</v>
      </c>
      <c r="J336" s="79"/>
      <c r="K336" s="79"/>
      <c r="L336" s="79"/>
    </row>
    <row r="337" spans="1:12">
      <c r="A337" s="81" t="s">
        <v>882</v>
      </c>
      <c r="B337" s="81" t="s">
        <v>399</v>
      </c>
      <c r="C337" s="81" t="s">
        <v>399</v>
      </c>
      <c r="D337" s="81" t="s">
        <v>724</v>
      </c>
      <c r="E337" s="81" t="s">
        <v>937</v>
      </c>
      <c r="F337" s="81" t="s">
        <v>728</v>
      </c>
      <c r="G337" s="81" t="s">
        <v>77</v>
      </c>
      <c r="H337" s="81" t="s">
        <v>887</v>
      </c>
      <c r="I337" s="81" t="s">
        <v>341</v>
      </c>
      <c r="J337" s="79"/>
      <c r="K337" s="79"/>
      <c r="L337" s="79"/>
    </row>
    <row r="338" spans="1:12">
      <c r="A338" s="81" t="s">
        <v>882</v>
      </c>
      <c r="B338" s="81" t="s">
        <v>399</v>
      </c>
      <c r="C338" s="81" t="s">
        <v>399</v>
      </c>
      <c r="D338" s="81" t="s">
        <v>730</v>
      </c>
      <c r="E338" s="81" t="s">
        <v>938</v>
      </c>
      <c r="F338" s="81" t="s">
        <v>729</v>
      </c>
      <c r="G338" s="81" t="s">
        <v>77</v>
      </c>
      <c r="H338" s="81" t="s">
        <v>887</v>
      </c>
      <c r="I338" s="81" t="s">
        <v>341</v>
      </c>
      <c r="J338" s="79"/>
      <c r="K338" s="79"/>
      <c r="L338" s="79"/>
    </row>
    <row r="339" spans="1:12">
      <c r="A339" s="81" t="s">
        <v>882</v>
      </c>
      <c r="B339" s="81" t="s">
        <v>399</v>
      </c>
      <c r="C339" s="81" t="s">
        <v>399</v>
      </c>
      <c r="D339" s="81" t="s">
        <v>730</v>
      </c>
      <c r="E339" s="81" t="s">
        <v>938</v>
      </c>
      <c r="F339" s="81" t="s">
        <v>732</v>
      </c>
      <c r="G339" s="81" t="s">
        <v>77</v>
      </c>
      <c r="H339" s="81" t="s">
        <v>887</v>
      </c>
      <c r="I339" s="81" t="s">
        <v>341</v>
      </c>
      <c r="J339" s="79"/>
      <c r="K339" s="79"/>
      <c r="L339" s="79"/>
    </row>
    <row r="340" spans="1:12">
      <c r="A340" s="81" t="s">
        <v>882</v>
      </c>
      <c r="B340" s="81" t="s">
        <v>399</v>
      </c>
      <c r="C340" s="81" t="s">
        <v>399</v>
      </c>
      <c r="D340" s="81" t="s">
        <v>730</v>
      </c>
      <c r="E340" s="81" t="s">
        <v>938</v>
      </c>
      <c r="F340" s="81" t="s">
        <v>733</v>
      </c>
      <c r="G340" s="81" t="s">
        <v>77</v>
      </c>
      <c r="H340" s="81" t="s">
        <v>887</v>
      </c>
      <c r="I340" s="81" t="s">
        <v>341</v>
      </c>
      <c r="J340" s="79"/>
      <c r="K340" s="79"/>
      <c r="L340" s="79"/>
    </row>
    <row r="341" spans="1:12">
      <c r="A341" s="81" t="s">
        <v>882</v>
      </c>
      <c r="B341" s="81" t="s">
        <v>399</v>
      </c>
      <c r="C341" s="81" t="s">
        <v>399</v>
      </c>
      <c r="D341" s="81" t="s">
        <v>730</v>
      </c>
      <c r="E341" s="81" t="s">
        <v>939</v>
      </c>
      <c r="F341" s="81" t="s">
        <v>734</v>
      </c>
      <c r="G341" s="81" t="s">
        <v>77</v>
      </c>
      <c r="H341" s="81" t="s">
        <v>887</v>
      </c>
      <c r="I341" s="81" t="s">
        <v>341</v>
      </c>
      <c r="J341" s="79"/>
      <c r="K341" s="79"/>
      <c r="L341" s="79"/>
    </row>
    <row r="342" spans="1:12">
      <c r="A342" s="81" t="s">
        <v>882</v>
      </c>
      <c r="B342" s="81" t="s">
        <v>399</v>
      </c>
      <c r="C342" s="81" t="s">
        <v>203</v>
      </c>
      <c r="D342" s="81" t="s">
        <v>629</v>
      </c>
      <c r="E342" s="81" t="s">
        <v>929</v>
      </c>
      <c r="F342" s="81" t="s">
        <v>735</v>
      </c>
      <c r="G342" s="81" t="s">
        <v>77</v>
      </c>
      <c r="H342" s="81" t="s">
        <v>887</v>
      </c>
      <c r="I342" s="81" t="s">
        <v>341</v>
      </c>
      <c r="J342" s="79"/>
      <c r="K342" s="79"/>
      <c r="L342" s="79"/>
    </row>
    <row r="343" spans="1:12">
      <c r="A343" s="81" t="s">
        <v>882</v>
      </c>
      <c r="B343" s="81" t="s">
        <v>399</v>
      </c>
      <c r="C343" s="81" t="s">
        <v>203</v>
      </c>
      <c r="D343" s="81" t="s">
        <v>629</v>
      </c>
      <c r="E343" s="81" t="s">
        <v>929</v>
      </c>
      <c r="F343" s="81" t="s">
        <v>737</v>
      </c>
      <c r="G343" s="81" t="s">
        <v>77</v>
      </c>
      <c r="H343" s="81" t="s">
        <v>887</v>
      </c>
      <c r="I343" s="81" t="s">
        <v>341</v>
      </c>
      <c r="J343" s="79"/>
      <c r="K343" s="79"/>
      <c r="L343" s="79"/>
    </row>
    <row r="344" spans="1:12">
      <c r="A344" s="81" t="s">
        <v>882</v>
      </c>
      <c r="B344" s="81" t="s">
        <v>399</v>
      </c>
      <c r="C344" s="81" t="s">
        <v>203</v>
      </c>
      <c r="D344" s="81" t="s">
        <v>629</v>
      </c>
      <c r="E344" s="81" t="s">
        <v>929</v>
      </c>
      <c r="F344" s="81" t="s">
        <v>738</v>
      </c>
      <c r="G344" s="81" t="s">
        <v>77</v>
      </c>
      <c r="H344" s="81" t="s">
        <v>887</v>
      </c>
      <c r="I344" s="81" t="s">
        <v>341</v>
      </c>
      <c r="J344" s="79"/>
      <c r="K344" s="79"/>
      <c r="L344" s="79"/>
    </row>
    <row r="345" spans="1:12">
      <c r="A345" s="81" t="s">
        <v>882</v>
      </c>
      <c r="B345" s="81" t="s">
        <v>399</v>
      </c>
      <c r="C345" s="81" t="s">
        <v>203</v>
      </c>
      <c r="D345" s="81" t="s">
        <v>641</v>
      </c>
      <c r="E345" s="81" t="s">
        <v>930</v>
      </c>
      <c r="F345" s="81" t="s">
        <v>739</v>
      </c>
      <c r="G345" s="81" t="s">
        <v>77</v>
      </c>
      <c r="H345" s="81" t="s">
        <v>887</v>
      </c>
      <c r="I345" s="81" t="s">
        <v>341</v>
      </c>
      <c r="J345" s="79"/>
      <c r="K345" s="79"/>
      <c r="L345" s="79"/>
    </row>
    <row r="346" spans="1:12">
      <c r="A346" s="81" t="s">
        <v>882</v>
      </c>
      <c r="B346" s="81" t="s">
        <v>399</v>
      </c>
      <c r="C346" s="81" t="s">
        <v>203</v>
      </c>
      <c r="D346" s="81" t="s">
        <v>392</v>
      </c>
      <c r="E346" s="81" t="s">
        <v>940</v>
      </c>
      <c r="F346" s="81" t="s">
        <v>740</v>
      </c>
      <c r="G346" s="81" t="s">
        <v>77</v>
      </c>
      <c r="H346" s="81" t="s">
        <v>887</v>
      </c>
      <c r="I346" s="81" t="s">
        <v>341</v>
      </c>
      <c r="J346" s="79"/>
      <c r="K346" s="79"/>
      <c r="L346" s="79"/>
    </row>
    <row r="347" spans="1:12">
      <c r="A347" s="81" t="s">
        <v>882</v>
      </c>
      <c r="B347" s="81" t="s">
        <v>399</v>
      </c>
      <c r="C347" s="81" t="s">
        <v>203</v>
      </c>
      <c r="D347" s="81" t="s">
        <v>629</v>
      </c>
      <c r="E347" s="81" t="s">
        <v>941</v>
      </c>
      <c r="F347" s="81" t="s">
        <v>741</v>
      </c>
      <c r="G347" s="81" t="s">
        <v>77</v>
      </c>
      <c r="H347" s="81" t="s">
        <v>887</v>
      </c>
      <c r="I347" s="81" t="s">
        <v>341</v>
      </c>
      <c r="J347" s="79"/>
      <c r="K347" s="79"/>
      <c r="L347" s="79"/>
    </row>
    <row r="348" spans="1:12">
      <c r="A348" s="81" t="s">
        <v>882</v>
      </c>
      <c r="B348" s="81" t="s">
        <v>399</v>
      </c>
      <c r="C348" s="81" t="s">
        <v>203</v>
      </c>
      <c r="D348" s="81" t="s">
        <v>449</v>
      </c>
      <c r="E348" s="81" t="s">
        <v>905</v>
      </c>
      <c r="F348" s="81" t="s">
        <v>742</v>
      </c>
      <c r="G348" s="81" t="s">
        <v>77</v>
      </c>
      <c r="H348" s="81" t="s">
        <v>892</v>
      </c>
      <c r="I348" s="81" t="s">
        <v>243</v>
      </c>
      <c r="J348" s="79"/>
      <c r="K348" s="79"/>
      <c r="L348" s="79"/>
    </row>
    <row r="349" spans="1:12">
      <c r="A349" s="81" t="s">
        <v>882</v>
      </c>
      <c r="B349" s="81" t="s">
        <v>220</v>
      </c>
      <c r="C349" s="81" t="s">
        <v>85</v>
      </c>
      <c r="D349" s="81" t="s">
        <v>352</v>
      </c>
      <c r="E349" s="81" t="s">
        <v>942</v>
      </c>
      <c r="F349" s="81" t="s">
        <v>743</v>
      </c>
      <c r="G349" s="81" t="s">
        <v>205</v>
      </c>
      <c r="H349" s="81" t="s">
        <v>884</v>
      </c>
      <c r="I349" s="81" t="s">
        <v>243</v>
      </c>
      <c r="J349" s="79"/>
      <c r="K349" s="79"/>
      <c r="L349" s="79"/>
    </row>
    <row r="350" spans="1:12">
      <c r="A350" s="81" t="s">
        <v>882</v>
      </c>
      <c r="B350" s="81" t="s">
        <v>220</v>
      </c>
      <c r="C350" s="81" t="s">
        <v>85</v>
      </c>
      <c r="D350" s="81" t="s">
        <v>352</v>
      </c>
      <c r="E350" s="81" t="s">
        <v>943</v>
      </c>
      <c r="F350" s="81" t="s">
        <v>747</v>
      </c>
      <c r="G350" s="81" t="s">
        <v>205</v>
      </c>
      <c r="H350" s="81" t="s">
        <v>887</v>
      </c>
      <c r="I350" s="81" t="s">
        <v>545</v>
      </c>
      <c r="J350" s="79"/>
      <c r="K350" s="79"/>
      <c r="L350" s="79"/>
    </row>
    <row r="351" spans="1:12">
      <c r="A351" s="81" t="s">
        <v>882</v>
      </c>
      <c r="B351" s="81" t="s">
        <v>220</v>
      </c>
      <c r="C351" s="81" t="s">
        <v>85</v>
      </c>
      <c r="D351" s="81" t="s">
        <v>352</v>
      </c>
      <c r="E351" s="81" t="s">
        <v>943</v>
      </c>
      <c r="F351" s="81" t="s">
        <v>749</v>
      </c>
      <c r="G351" s="81" t="s">
        <v>205</v>
      </c>
      <c r="H351" s="81" t="s">
        <v>887</v>
      </c>
      <c r="I351" s="81" t="s">
        <v>545</v>
      </c>
      <c r="J351" s="79"/>
      <c r="K351" s="79"/>
      <c r="L351" s="79"/>
    </row>
    <row r="352" spans="1:12">
      <c r="A352" s="81" t="s">
        <v>882</v>
      </c>
      <c r="B352" s="81" t="s">
        <v>220</v>
      </c>
      <c r="C352" s="81" t="s">
        <v>85</v>
      </c>
      <c r="D352" s="81" t="s">
        <v>352</v>
      </c>
      <c r="E352" s="81" t="s">
        <v>943</v>
      </c>
      <c r="F352" s="81" t="s">
        <v>750</v>
      </c>
      <c r="G352" s="81" t="s">
        <v>205</v>
      </c>
      <c r="H352" s="81" t="s">
        <v>887</v>
      </c>
      <c r="I352" s="81" t="s">
        <v>545</v>
      </c>
      <c r="J352" s="79"/>
      <c r="K352" s="79"/>
      <c r="L352" s="79"/>
    </row>
    <row r="353" spans="1:12">
      <c r="A353" s="81" t="s">
        <v>882</v>
      </c>
      <c r="B353" s="81" t="s">
        <v>220</v>
      </c>
      <c r="C353" s="81" t="s">
        <v>85</v>
      </c>
      <c r="D353" s="81" t="s">
        <v>352</v>
      </c>
      <c r="E353" s="81" t="s">
        <v>942</v>
      </c>
      <c r="F353" s="81" t="s">
        <v>751</v>
      </c>
      <c r="G353" s="81" t="s">
        <v>205</v>
      </c>
      <c r="H353" s="81" t="s">
        <v>884</v>
      </c>
      <c r="I353" s="81" t="s">
        <v>243</v>
      </c>
      <c r="J353" s="79"/>
      <c r="K353" s="79"/>
      <c r="L353" s="79"/>
    </row>
    <row r="354" spans="1:12">
      <c r="A354" s="81" t="s">
        <v>882</v>
      </c>
      <c r="B354" s="81" t="s">
        <v>220</v>
      </c>
      <c r="C354" s="81" t="s">
        <v>85</v>
      </c>
      <c r="D354" s="81" t="s">
        <v>754</v>
      </c>
      <c r="E354" s="81" t="s">
        <v>944</v>
      </c>
      <c r="F354" s="81" t="s">
        <v>753</v>
      </c>
      <c r="G354" s="81" t="s">
        <v>205</v>
      </c>
      <c r="H354" s="81" t="s">
        <v>884</v>
      </c>
      <c r="I354" s="81" t="s">
        <v>243</v>
      </c>
      <c r="J354" s="79"/>
      <c r="K354" s="79"/>
      <c r="L354" s="79"/>
    </row>
    <row r="355" spans="1:12">
      <c r="A355" s="81" t="s">
        <v>882</v>
      </c>
      <c r="B355" s="81" t="s">
        <v>220</v>
      </c>
      <c r="C355" s="81" t="s">
        <v>201</v>
      </c>
      <c r="D355" s="81" t="s">
        <v>758</v>
      </c>
      <c r="E355" s="81" t="s">
        <v>945</v>
      </c>
      <c r="F355" s="81" t="s">
        <v>757</v>
      </c>
      <c r="G355" s="81" t="s">
        <v>205</v>
      </c>
      <c r="H355" s="81" t="s">
        <v>884</v>
      </c>
      <c r="I355" s="81" t="s">
        <v>545</v>
      </c>
      <c r="J355" s="79"/>
      <c r="K355" s="79"/>
      <c r="L355" s="79"/>
    </row>
    <row r="356" spans="1:12">
      <c r="A356" s="81" t="s">
        <v>882</v>
      </c>
      <c r="B356" s="81" t="s">
        <v>220</v>
      </c>
      <c r="C356" s="81" t="s">
        <v>201</v>
      </c>
      <c r="D356" s="81" t="s">
        <v>758</v>
      </c>
      <c r="E356" s="81" t="s">
        <v>946</v>
      </c>
      <c r="F356" s="81" t="s">
        <v>759</v>
      </c>
      <c r="G356" s="81" t="s">
        <v>205</v>
      </c>
      <c r="H356" s="81" t="s">
        <v>884</v>
      </c>
      <c r="I356" s="81" t="s">
        <v>243</v>
      </c>
      <c r="J356" s="79"/>
      <c r="K356" s="79"/>
      <c r="L356" s="79"/>
    </row>
    <row r="357" spans="1:12">
      <c r="A357" s="81" t="s">
        <v>882</v>
      </c>
      <c r="B357" s="81" t="s">
        <v>220</v>
      </c>
      <c r="C357" s="81" t="s">
        <v>201</v>
      </c>
      <c r="D357" s="81" t="s">
        <v>762</v>
      </c>
      <c r="E357" s="81" t="s">
        <v>947</v>
      </c>
      <c r="F357" s="81" t="s">
        <v>761</v>
      </c>
      <c r="G357" s="81" t="s">
        <v>205</v>
      </c>
      <c r="H357" s="81" t="s">
        <v>884</v>
      </c>
      <c r="I357" s="81" t="s">
        <v>545</v>
      </c>
      <c r="J357" s="79"/>
      <c r="K357" s="79"/>
      <c r="L357" s="79"/>
    </row>
    <row r="358" spans="1:12">
      <c r="A358" s="81" t="s">
        <v>882</v>
      </c>
      <c r="B358" s="81" t="s">
        <v>220</v>
      </c>
      <c r="C358" s="81" t="s">
        <v>201</v>
      </c>
      <c r="D358" s="81" t="s">
        <v>762</v>
      </c>
      <c r="E358" s="81" t="s">
        <v>948</v>
      </c>
      <c r="F358" s="81" t="s">
        <v>763</v>
      </c>
      <c r="G358" s="81" t="s">
        <v>205</v>
      </c>
      <c r="H358" s="81" t="s">
        <v>884</v>
      </c>
      <c r="I358" s="81" t="s">
        <v>243</v>
      </c>
      <c r="J358" s="79"/>
      <c r="K358" s="79"/>
      <c r="L358" s="79"/>
    </row>
    <row r="359" spans="1:12">
      <c r="A359" s="81" t="s">
        <v>882</v>
      </c>
      <c r="B359" s="81" t="s">
        <v>220</v>
      </c>
      <c r="C359" s="81" t="s">
        <v>201</v>
      </c>
      <c r="D359" s="81" t="s">
        <v>762</v>
      </c>
      <c r="E359" s="81" t="s">
        <v>948</v>
      </c>
      <c r="F359" s="81" t="s">
        <v>765</v>
      </c>
      <c r="G359" s="81" t="s">
        <v>205</v>
      </c>
      <c r="H359" s="81" t="s">
        <v>884</v>
      </c>
      <c r="I359" s="81" t="s">
        <v>243</v>
      </c>
      <c r="J359" s="79"/>
      <c r="K359" s="79"/>
      <c r="L359" s="79"/>
    </row>
    <row r="360" spans="1:12">
      <c r="A360" s="81" t="s">
        <v>882</v>
      </c>
      <c r="B360" s="81" t="s">
        <v>220</v>
      </c>
      <c r="C360" s="81" t="s">
        <v>201</v>
      </c>
      <c r="D360" s="81" t="s">
        <v>762</v>
      </c>
      <c r="E360" s="81" t="s">
        <v>948</v>
      </c>
      <c r="F360" s="81" t="s">
        <v>768</v>
      </c>
      <c r="G360" s="81" t="s">
        <v>205</v>
      </c>
      <c r="H360" s="81" t="s">
        <v>884</v>
      </c>
      <c r="I360" s="81" t="s">
        <v>243</v>
      </c>
      <c r="J360" s="79"/>
      <c r="K360" s="79"/>
      <c r="L360" s="79"/>
    </row>
    <row r="361" spans="1:12">
      <c r="A361" s="81" t="s">
        <v>882</v>
      </c>
      <c r="B361" s="81" t="s">
        <v>220</v>
      </c>
      <c r="C361" s="81" t="s">
        <v>201</v>
      </c>
      <c r="D361" s="81" t="s">
        <v>762</v>
      </c>
      <c r="E361" s="81" t="s">
        <v>947</v>
      </c>
      <c r="F361" s="81" t="s">
        <v>770</v>
      </c>
      <c r="G361" s="81" t="s">
        <v>205</v>
      </c>
      <c r="H361" s="81" t="s">
        <v>884</v>
      </c>
      <c r="I361" s="81" t="s">
        <v>545</v>
      </c>
      <c r="J361" s="79"/>
      <c r="K361" s="79"/>
      <c r="L361" s="79"/>
    </row>
    <row r="362" spans="1:12">
      <c r="A362" s="81" t="s">
        <v>882</v>
      </c>
      <c r="B362" s="81" t="s">
        <v>220</v>
      </c>
      <c r="C362" s="81" t="s">
        <v>201</v>
      </c>
      <c r="D362" s="81" t="s">
        <v>762</v>
      </c>
      <c r="E362" s="81" t="s">
        <v>947</v>
      </c>
      <c r="F362" s="81" t="s">
        <v>772</v>
      </c>
      <c r="G362" s="81" t="s">
        <v>205</v>
      </c>
      <c r="H362" s="81" t="s">
        <v>884</v>
      </c>
      <c r="I362" s="81" t="s">
        <v>545</v>
      </c>
      <c r="J362" s="79"/>
      <c r="K362" s="79"/>
      <c r="L362" s="79"/>
    </row>
    <row r="363" spans="1:12">
      <c r="A363" s="81" t="s">
        <v>882</v>
      </c>
      <c r="B363" s="81" t="s">
        <v>220</v>
      </c>
      <c r="C363" s="81" t="s">
        <v>201</v>
      </c>
      <c r="D363" s="81" t="s">
        <v>762</v>
      </c>
      <c r="E363" s="81" t="s">
        <v>949</v>
      </c>
      <c r="F363" s="81" t="s">
        <v>774</v>
      </c>
      <c r="G363" s="81" t="s">
        <v>205</v>
      </c>
      <c r="H363" s="81" t="s">
        <v>884</v>
      </c>
      <c r="I363" s="81" t="s">
        <v>545</v>
      </c>
      <c r="J363" s="79"/>
      <c r="K363" s="79"/>
      <c r="L363" s="79"/>
    </row>
    <row r="364" spans="1:12">
      <c r="A364" s="81" t="s">
        <v>882</v>
      </c>
      <c r="B364" s="81" t="s">
        <v>220</v>
      </c>
      <c r="C364" s="81" t="s">
        <v>201</v>
      </c>
      <c r="D364" s="81" t="s">
        <v>762</v>
      </c>
      <c r="E364" s="81" t="s">
        <v>947</v>
      </c>
      <c r="F364" s="81" t="s">
        <v>777</v>
      </c>
      <c r="G364" s="81" t="s">
        <v>205</v>
      </c>
      <c r="H364" s="81" t="s">
        <v>884</v>
      </c>
      <c r="I364" s="81" t="s">
        <v>545</v>
      </c>
      <c r="J364" s="79"/>
      <c r="K364" s="79"/>
      <c r="L364" s="79"/>
    </row>
    <row r="365" spans="1:12">
      <c r="A365" s="81" t="s">
        <v>882</v>
      </c>
      <c r="B365" s="81" t="s">
        <v>220</v>
      </c>
      <c r="C365" s="81" t="s">
        <v>205</v>
      </c>
      <c r="D365" s="81" t="s">
        <v>730</v>
      </c>
      <c r="E365" s="81" t="s">
        <v>950</v>
      </c>
      <c r="F365" s="81" t="s">
        <v>779</v>
      </c>
      <c r="G365" s="81" t="s">
        <v>205</v>
      </c>
      <c r="H365" s="81" t="s">
        <v>887</v>
      </c>
      <c r="I365" s="81" t="s">
        <v>545</v>
      </c>
      <c r="J365" s="79"/>
      <c r="K365" s="79"/>
      <c r="L365" s="79"/>
    </row>
    <row r="366" spans="1:12">
      <c r="A366" s="81" t="s">
        <v>882</v>
      </c>
      <c r="B366" s="81" t="s">
        <v>220</v>
      </c>
      <c r="C366" s="81" t="s">
        <v>205</v>
      </c>
      <c r="D366" s="81" t="s">
        <v>730</v>
      </c>
      <c r="E366" s="81" t="s">
        <v>951</v>
      </c>
      <c r="F366" s="81" t="s">
        <v>781</v>
      </c>
      <c r="G366" s="81" t="s">
        <v>205</v>
      </c>
      <c r="H366" s="81" t="s">
        <v>887</v>
      </c>
      <c r="I366" s="81" t="s">
        <v>545</v>
      </c>
      <c r="J366" s="79"/>
      <c r="K366" s="79"/>
      <c r="L366" s="79"/>
    </row>
    <row r="367" spans="1:12">
      <c r="A367" s="81" t="s">
        <v>882</v>
      </c>
      <c r="B367" s="81" t="s">
        <v>220</v>
      </c>
      <c r="C367" s="81" t="s">
        <v>201</v>
      </c>
      <c r="D367" s="81" t="s">
        <v>435</v>
      </c>
      <c r="E367" s="81" t="s">
        <v>952</v>
      </c>
      <c r="F367" s="81" t="s">
        <v>783</v>
      </c>
      <c r="G367" s="81" t="s">
        <v>205</v>
      </c>
      <c r="H367" s="81" t="s">
        <v>884</v>
      </c>
      <c r="I367" s="81" t="s">
        <v>545</v>
      </c>
      <c r="J367" s="79"/>
      <c r="K367" s="79"/>
      <c r="L367" s="79"/>
    </row>
    <row r="368" spans="1:12">
      <c r="A368" s="81" t="s">
        <v>882</v>
      </c>
      <c r="B368" s="81" t="s">
        <v>220</v>
      </c>
      <c r="C368" s="81" t="s">
        <v>201</v>
      </c>
      <c r="D368" s="81" t="s">
        <v>435</v>
      </c>
      <c r="E368" s="81" t="s">
        <v>952</v>
      </c>
      <c r="F368" s="81" t="s">
        <v>784</v>
      </c>
      <c r="G368" s="81" t="s">
        <v>205</v>
      </c>
      <c r="H368" s="81" t="s">
        <v>884</v>
      </c>
      <c r="I368" s="81" t="s">
        <v>545</v>
      </c>
      <c r="J368" s="79"/>
      <c r="K368" s="79"/>
      <c r="L368" s="79"/>
    </row>
    <row r="369" spans="1:12">
      <c r="A369" s="81" t="s">
        <v>882</v>
      </c>
      <c r="B369" s="81" t="s">
        <v>220</v>
      </c>
      <c r="C369" s="81" t="s">
        <v>201</v>
      </c>
      <c r="D369" s="81" t="s">
        <v>435</v>
      </c>
      <c r="E369" s="81" t="s">
        <v>952</v>
      </c>
      <c r="F369" s="81" t="s">
        <v>785</v>
      </c>
      <c r="G369" s="81" t="s">
        <v>205</v>
      </c>
      <c r="H369" s="81" t="s">
        <v>884</v>
      </c>
      <c r="I369" s="81" t="s">
        <v>545</v>
      </c>
      <c r="J369" s="79"/>
      <c r="K369" s="79"/>
      <c r="L369" s="79"/>
    </row>
    <row r="370" spans="1:12">
      <c r="A370" s="81" t="s">
        <v>882</v>
      </c>
      <c r="B370" s="81" t="s">
        <v>220</v>
      </c>
      <c r="C370" s="81" t="s">
        <v>201</v>
      </c>
      <c r="D370" s="81" t="s">
        <v>435</v>
      </c>
      <c r="E370" s="81" t="s">
        <v>953</v>
      </c>
      <c r="F370" s="81" t="s">
        <v>788</v>
      </c>
      <c r="G370" s="81" t="s">
        <v>205</v>
      </c>
      <c r="H370" s="81" t="s">
        <v>884</v>
      </c>
      <c r="I370" s="81" t="s">
        <v>243</v>
      </c>
      <c r="J370" s="79"/>
      <c r="K370" s="79"/>
      <c r="L370" s="79"/>
    </row>
    <row r="371" spans="1:12">
      <c r="A371" s="81" t="s">
        <v>882</v>
      </c>
      <c r="B371" s="81" t="s">
        <v>220</v>
      </c>
      <c r="C371" s="81" t="s">
        <v>201</v>
      </c>
      <c r="D371" s="81" t="s">
        <v>435</v>
      </c>
      <c r="E371" s="81" t="s">
        <v>952</v>
      </c>
      <c r="F371" s="81" t="s">
        <v>790</v>
      </c>
      <c r="G371" s="81" t="s">
        <v>205</v>
      </c>
      <c r="H371" s="81" t="s">
        <v>884</v>
      </c>
      <c r="I371" s="81" t="s">
        <v>545</v>
      </c>
      <c r="J371" s="79"/>
      <c r="K371" s="79"/>
      <c r="L371" s="79"/>
    </row>
    <row r="372" spans="1:12">
      <c r="A372" s="81" t="s">
        <v>882</v>
      </c>
      <c r="B372" s="81" t="s">
        <v>220</v>
      </c>
      <c r="C372" s="81" t="s">
        <v>201</v>
      </c>
      <c r="D372" s="81" t="s">
        <v>435</v>
      </c>
      <c r="E372" s="81" t="s">
        <v>954</v>
      </c>
      <c r="F372" s="81" t="s">
        <v>791</v>
      </c>
      <c r="G372" s="81" t="s">
        <v>205</v>
      </c>
      <c r="H372" s="81" t="s">
        <v>884</v>
      </c>
      <c r="I372" s="81" t="s">
        <v>545</v>
      </c>
      <c r="J372" s="79"/>
      <c r="K372" s="79"/>
      <c r="L372" s="79"/>
    </row>
    <row r="373" spans="1:12">
      <c r="A373" s="81" t="s">
        <v>882</v>
      </c>
      <c r="B373" s="81" t="s">
        <v>220</v>
      </c>
      <c r="C373" s="81" t="s">
        <v>201</v>
      </c>
      <c r="D373" s="81" t="s">
        <v>435</v>
      </c>
      <c r="E373" s="81" t="s">
        <v>952</v>
      </c>
      <c r="F373" s="81" t="s">
        <v>794</v>
      </c>
      <c r="G373" s="81" t="s">
        <v>205</v>
      </c>
      <c r="H373" s="81" t="s">
        <v>884</v>
      </c>
      <c r="I373" s="81" t="s">
        <v>545</v>
      </c>
      <c r="J373" s="79"/>
      <c r="K373" s="79"/>
      <c r="L373" s="79"/>
    </row>
    <row r="374" spans="1:12">
      <c r="A374" s="81" t="s">
        <v>882</v>
      </c>
      <c r="B374" s="81" t="s">
        <v>220</v>
      </c>
      <c r="C374" s="81" t="s">
        <v>201</v>
      </c>
      <c r="D374" s="81" t="s">
        <v>435</v>
      </c>
      <c r="E374" s="81" t="s">
        <v>953</v>
      </c>
      <c r="F374" s="81" t="s">
        <v>795</v>
      </c>
      <c r="G374" s="81" t="s">
        <v>205</v>
      </c>
      <c r="H374" s="81" t="s">
        <v>884</v>
      </c>
      <c r="I374" s="81" t="s">
        <v>243</v>
      </c>
      <c r="J374" s="79"/>
      <c r="K374" s="79"/>
      <c r="L374" s="79"/>
    </row>
    <row r="375" spans="1:12">
      <c r="A375" s="81" t="s">
        <v>882</v>
      </c>
      <c r="B375" s="81" t="s">
        <v>220</v>
      </c>
      <c r="C375" s="81" t="s">
        <v>201</v>
      </c>
      <c r="D375" s="81" t="s">
        <v>435</v>
      </c>
      <c r="E375" s="81" t="s">
        <v>952</v>
      </c>
      <c r="F375" s="81" t="s">
        <v>797</v>
      </c>
      <c r="G375" s="81" t="s">
        <v>205</v>
      </c>
      <c r="H375" s="81" t="s">
        <v>884</v>
      </c>
      <c r="I375" s="81" t="s">
        <v>545</v>
      </c>
      <c r="J375" s="79"/>
      <c r="K375" s="79"/>
      <c r="L375" s="79"/>
    </row>
    <row r="376" spans="1:12">
      <c r="A376" s="81" t="s">
        <v>882</v>
      </c>
      <c r="B376" s="81" t="s">
        <v>220</v>
      </c>
      <c r="C376" s="81" t="s">
        <v>201</v>
      </c>
      <c r="D376" s="81" t="s">
        <v>435</v>
      </c>
      <c r="E376" s="81" t="s">
        <v>953</v>
      </c>
      <c r="F376" s="81" t="s">
        <v>799</v>
      </c>
      <c r="G376" s="81" t="s">
        <v>205</v>
      </c>
      <c r="H376" s="81" t="s">
        <v>884</v>
      </c>
      <c r="I376" s="81" t="s">
        <v>243</v>
      </c>
      <c r="J376" s="79"/>
      <c r="K376" s="79"/>
      <c r="L376" s="79"/>
    </row>
    <row r="377" spans="1:12">
      <c r="A377" s="81" t="s">
        <v>882</v>
      </c>
      <c r="B377" s="81" t="s">
        <v>220</v>
      </c>
      <c r="C377" s="81" t="s">
        <v>203</v>
      </c>
      <c r="D377" s="81" t="s">
        <v>802</v>
      </c>
      <c r="E377" s="81" t="s">
        <v>955</v>
      </c>
      <c r="F377" s="81" t="s">
        <v>801</v>
      </c>
      <c r="G377" s="81" t="s">
        <v>205</v>
      </c>
      <c r="H377" s="81" t="s">
        <v>887</v>
      </c>
      <c r="I377" s="81" t="s">
        <v>545</v>
      </c>
      <c r="J377" s="79"/>
      <c r="K377" s="79"/>
      <c r="L377" s="79"/>
    </row>
    <row r="378" spans="1:12">
      <c r="A378" s="81" t="s">
        <v>882</v>
      </c>
      <c r="B378" s="81" t="s">
        <v>220</v>
      </c>
      <c r="C378" s="81" t="s">
        <v>203</v>
      </c>
      <c r="D378" s="81" t="s">
        <v>802</v>
      </c>
      <c r="E378" s="81" t="s">
        <v>956</v>
      </c>
      <c r="F378" s="81" t="s">
        <v>803</v>
      </c>
      <c r="G378" s="81" t="s">
        <v>205</v>
      </c>
      <c r="H378" s="81" t="s">
        <v>884</v>
      </c>
      <c r="I378" s="81" t="s">
        <v>545</v>
      </c>
      <c r="J378" s="79"/>
      <c r="K378" s="79"/>
      <c r="L378" s="79"/>
    </row>
    <row r="379" spans="1:12">
      <c r="A379" s="81" t="s">
        <v>882</v>
      </c>
      <c r="B379" s="81" t="s">
        <v>220</v>
      </c>
      <c r="C379" s="81" t="s">
        <v>203</v>
      </c>
      <c r="D379" s="81" t="s">
        <v>560</v>
      </c>
      <c r="E379" s="81" t="s">
        <v>957</v>
      </c>
      <c r="F379" s="81" t="s">
        <v>806</v>
      </c>
      <c r="G379" s="81" t="s">
        <v>205</v>
      </c>
      <c r="H379" s="81" t="s">
        <v>892</v>
      </c>
      <c r="I379" s="81" t="s">
        <v>545</v>
      </c>
      <c r="J379" s="79"/>
      <c r="K379" s="79"/>
      <c r="L379" s="79"/>
    </row>
    <row r="380" spans="1:12">
      <c r="A380" s="81" t="s">
        <v>882</v>
      </c>
      <c r="B380" s="81" t="s">
        <v>220</v>
      </c>
      <c r="C380" s="81" t="s">
        <v>203</v>
      </c>
      <c r="D380" s="81" t="s">
        <v>560</v>
      </c>
      <c r="E380" s="81" t="s">
        <v>958</v>
      </c>
      <c r="F380" s="81" t="s">
        <v>807</v>
      </c>
      <c r="G380" s="81" t="s">
        <v>205</v>
      </c>
      <c r="H380" s="81" t="s">
        <v>892</v>
      </c>
      <c r="I380" s="81" t="s">
        <v>545</v>
      </c>
      <c r="J380" s="79"/>
      <c r="K380" s="79"/>
      <c r="L380" s="79"/>
    </row>
    <row r="381" spans="1:12">
      <c r="A381" s="81" t="s">
        <v>882</v>
      </c>
      <c r="B381" s="81" t="s">
        <v>220</v>
      </c>
      <c r="C381" s="81" t="s">
        <v>203</v>
      </c>
      <c r="D381" s="81" t="s">
        <v>483</v>
      </c>
      <c r="E381" s="81" t="s">
        <v>959</v>
      </c>
      <c r="F381" s="81" t="s">
        <v>809</v>
      </c>
      <c r="G381" s="81" t="s">
        <v>205</v>
      </c>
      <c r="H381" s="81" t="s">
        <v>884</v>
      </c>
      <c r="I381" s="81" t="s">
        <v>545</v>
      </c>
      <c r="J381" s="79"/>
      <c r="K381" s="79"/>
      <c r="L381" s="79"/>
    </row>
    <row r="382" spans="1:12">
      <c r="A382" s="81" t="s">
        <v>882</v>
      </c>
      <c r="B382" s="81" t="s">
        <v>220</v>
      </c>
      <c r="C382" s="81" t="s">
        <v>203</v>
      </c>
      <c r="D382" s="81" t="s">
        <v>483</v>
      </c>
      <c r="E382" s="81" t="s">
        <v>960</v>
      </c>
      <c r="F382" s="81" t="s">
        <v>811</v>
      </c>
      <c r="G382" s="81" t="s">
        <v>205</v>
      </c>
      <c r="H382" s="81" t="s">
        <v>884</v>
      </c>
      <c r="I382" s="81" t="s">
        <v>243</v>
      </c>
      <c r="J382" s="79"/>
      <c r="K382" s="79"/>
      <c r="L382" s="79"/>
    </row>
    <row r="383" spans="1:12">
      <c r="A383" s="81" t="s">
        <v>882</v>
      </c>
      <c r="B383" s="81" t="s">
        <v>220</v>
      </c>
      <c r="C383" s="81" t="s">
        <v>203</v>
      </c>
      <c r="D383" s="81" t="s">
        <v>802</v>
      </c>
      <c r="E383" s="81" t="s">
        <v>955</v>
      </c>
      <c r="F383" s="81" t="s">
        <v>814</v>
      </c>
      <c r="G383" s="81" t="s">
        <v>205</v>
      </c>
      <c r="H383" s="81" t="s">
        <v>887</v>
      </c>
      <c r="I383" s="81" t="s">
        <v>545</v>
      </c>
      <c r="J383" s="79"/>
      <c r="K383" s="79"/>
      <c r="L383" s="79"/>
    </row>
    <row r="384" spans="1:12">
      <c r="A384" s="81" t="s">
        <v>882</v>
      </c>
      <c r="B384" s="81" t="s">
        <v>220</v>
      </c>
      <c r="C384" s="81" t="s">
        <v>201</v>
      </c>
      <c r="D384" s="81" t="s">
        <v>802</v>
      </c>
      <c r="E384" s="81" t="s">
        <v>961</v>
      </c>
      <c r="F384" s="81" t="s">
        <v>815</v>
      </c>
      <c r="G384" s="81" t="s">
        <v>205</v>
      </c>
      <c r="H384" s="81" t="s">
        <v>884</v>
      </c>
      <c r="I384" s="81" t="s">
        <v>545</v>
      </c>
      <c r="J384" s="79"/>
      <c r="K384" s="79"/>
      <c r="L384" s="79"/>
    </row>
    <row r="385" spans="1:12">
      <c r="A385" s="81" t="s">
        <v>882</v>
      </c>
      <c r="B385" s="81" t="s">
        <v>220</v>
      </c>
      <c r="C385" s="81" t="s">
        <v>203</v>
      </c>
      <c r="D385" s="81" t="s">
        <v>483</v>
      </c>
      <c r="E385" s="81" t="s">
        <v>962</v>
      </c>
      <c r="F385" s="81" t="s">
        <v>817</v>
      </c>
      <c r="G385" s="81" t="s">
        <v>205</v>
      </c>
      <c r="H385" s="81" t="s">
        <v>884</v>
      </c>
      <c r="I385" s="81" t="s">
        <v>545</v>
      </c>
      <c r="J385" s="79"/>
      <c r="K385" s="79"/>
      <c r="L385" s="79"/>
    </row>
    <row r="386" spans="1:12">
      <c r="A386" s="81" t="s">
        <v>882</v>
      </c>
      <c r="B386" s="81" t="s">
        <v>220</v>
      </c>
      <c r="C386" s="81" t="s">
        <v>203</v>
      </c>
      <c r="D386" s="81" t="s">
        <v>629</v>
      </c>
      <c r="E386" s="81" t="s">
        <v>963</v>
      </c>
      <c r="F386" s="81" t="s">
        <v>819</v>
      </c>
      <c r="G386" s="81" t="s">
        <v>205</v>
      </c>
      <c r="H386" s="81" t="s">
        <v>887</v>
      </c>
      <c r="I386" s="81" t="s">
        <v>545</v>
      </c>
      <c r="J386" s="79"/>
      <c r="K386" s="79"/>
      <c r="L386" s="79"/>
    </row>
    <row r="387" spans="1:12">
      <c r="A387" s="81" t="s">
        <v>882</v>
      </c>
      <c r="B387" s="81" t="s">
        <v>220</v>
      </c>
      <c r="C387" s="81" t="s">
        <v>203</v>
      </c>
      <c r="D387" s="81" t="s">
        <v>629</v>
      </c>
      <c r="E387" s="81" t="s">
        <v>964</v>
      </c>
      <c r="F387" s="81" t="s">
        <v>820</v>
      </c>
      <c r="G387" s="81" t="s">
        <v>205</v>
      </c>
      <c r="H387" s="81" t="s">
        <v>887</v>
      </c>
      <c r="I387" s="81" t="s">
        <v>545</v>
      </c>
      <c r="J387" s="79"/>
      <c r="K387" s="79"/>
      <c r="L387" s="79"/>
    </row>
    <row r="388" spans="1:12">
      <c r="A388" s="81" t="s">
        <v>882</v>
      </c>
      <c r="B388" s="81" t="s">
        <v>220</v>
      </c>
      <c r="C388" s="81" t="s">
        <v>203</v>
      </c>
      <c r="D388" s="81" t="s">
        <v>629</v>
      </c>
      <c r="E388" s="81" t="s">
        <v>965</v>
      </c>
      <c r="F388" s="81" t="s">
        <v>822</v>
      </c>
      <c r="G388" s="81" t="s">
        <v>205</v>
      </c>
      <c r="H388" s="81" t="s">
        <v>884</v>
      </c>
      <c r="I388" s="81" t="s">
        <v>243</v>
      </c>
      <c r="J388" s="79"/>
      <c r="K388" s="79"/>
      <c r="L388" s="79"/>
    </row>
    <row r="389" spans="1:12">
      <c r="A389" s="81" t="s">
        <v>882</v>
      </c>
      <c r="B389" s="81" t="s">
        <v>220</v>
      </c>
      <c r="C389" s="81" t="s">
        <v>203</v>
      </c>
      <c r="D389" s="81" t="s">
        <v>641</v>
      </c>
      <c r="E389" s="81" t="s">
        <v>966</v>
      </c>
      <c r="F389" s="81" t="s">
        <v>824</v>
      </c>
      <c r="G389" s="81" t="s">
        <v>205</v>
      </c>
      <c r="H389" s="81" t="s">
        <v>884</v>
      </c>
      <c r="I389" s="81" t="s">
        <v>243</v>
      </c>
      <c r="J389" s="79"/>
      <c r="K389" s="79"/>
      <c r="L389" s="79"/>
    </row>
    <row r="390" spans="1:12">
      <c r="A390" s="81" t="s">
        <v>882</v>
      </c>
      <c r="B390" s="81" t="s">
        <v>220</v>
      </c>
      <c r="C390" s="81" t="s">
        <v>203</v>
      </c>
      <c r="D390" s="81" t="s">
        <v>629</v>
      </c>
      <c r="E390" s="81" t="s">
        <v>963</v>
      </c>
      <c r="F390" s="81" t="s">
        <v>826</v>
      </c>
      <c r="G390" s="81" t="s">
        <v>205</v>
      </c>
      <c r="H390" s="81" t="s">
        <v>887</v>
      </c>
      <c r="I390" s="81" t="s">
        <v>545</v>
      </c>
      <c r="J390" s="79"/>
      <c r="K390" s="79"/>
      <c r="L390" s="79"/>
    </row>
    <row r="391" spans="1:12">
      <c r="A391" s="81" t="s">
        <v>882</v>
      </c>
      <c r="B391" s="81" t="s">
        <v>220</v>
      </c>
      <c r="C391" s="81" t="s">
        <v>203</v>
      </c>
      <c r="D391" s="81" t="s">
        <v>629</v>
      </c>
      <c r="E391" s="81" t="s">
        <v>964</v>
      </c>
      <c r="F391" s="81" t="s">
        <v>827</v>
      </c>
      <c r="G391" s="81" t="s">
        <v>205</v>
      </c>
      <c r="H391" s="81" t="s">
        <v>887</v>
      </c>
      <c r="I391" s="81" t="s">
        <v>545</v>
      </c>
      <c r="J391" s="79"/>
      <c r="K391" s="79"/>
      <c r="L391" s="79"/>
    </row>
    <row r="392" spans="1:12">
      <c r="A392" s="81" t="s">
        <v>882</v>
      </c>
      <c r="B392" s="81" t="s">
        <v>220</v>
      </c>
      <c r="C392" s="81" t="s">
        <v>203</v>
      </c>
      <c r="D392" s="81" t="s">
        <v>629</v>
      </c>
      <c r="E392" s="81" t="s">
        <v>964</v>
      </c>
      <c r="F392" s="81" t="s">
        <v>829</v>
      </c>
      <c r="G392" s="81" t="s">
        <v>205</v>
      </c>
      <c r="H392" s="81" t="s">
        <v>887</v>
      </c>
      <c r="I392" s="81" t="s">
        <v>545</v>
      </c>
      <c r="J392" s="79"/>
      <c r="K392" s="79"/>
      <c r="L392" s="79"/>
    </row>
    <row r="393" spans="1:12">
      <c r="A393" s="81" t="s">
        <v>882</v>
      </c>
      <c r="B393" s="81" t="s">
        <v>220</v>
      </c>
      <c r="C393" s="81" t="s">
        <v>203</v>
      </c>
      <c r="D393" s="81" t="s">
        <v>629</v>
      </c>
      <c r="E393" s="81" t="s">
        <v>965</v>
      </c>
      <c r="F393" s="81" t="s">
        <v>831</v>
      </c>
      <c r="G393" s="81" t="s">
        <v>205</v>
      </c>
      <c r="H393" s="81" t="s">
        <v>884</v>
      </c>
      <c r="I393" s="81" t="s">
        <v>243</v>
      </c>
      <c r="J393" s="79"/>
      <c r="K393" s="79"/>
      <c r="L393" s="79"/>
    </row>
    <row r="394" spans="1:12">
      <c r="A394" s="81" t="s">
        <v>882</v>
      </c>
      <c r="B394" s="81" t="s">
        <v>220</v>
      </c>
      <c r="C394" s="81" t="s">
        <v>203</v>
      </c>
      <c r="D394" s="81" t="s">
        <v>724</v>
      </c>
      <c r="E394" s="81" t="s">
        <v>967</v>
      </c>
      <c r="F394" s="81" t="s">
        <v>833</v>
      </c>
      <c r="G394" s="81" t="s">
        <v>205</v>
      </c>
      <c r="H394" s="81" t="s">
        <v>887</v>
      </c>
      <c r="I394" s="81" t="s">
        <v>545</v>
      </c>
      <c r="J394" s="79"/>
      <c r="K394" s="79"/>
      <c r="L394" s="79"/>
    </row>
    <row r="395" spans="1:12">
      <c r="A395" s="81" t="s">
        <v>882</v>
      </c>
      <c r="B395" s="81" t="s">
        <v>220</v>
      </c>
      <c r="C395" s="81" t="s">
        <v>203</v>
      </c>
      <c r="D395" s="81" t="s">
        <v>724</v>
      </c>
      <c r="E395" s="81" t="s">
        <v>968</v>
      </c>
      <c r="F395" s="81" t="s">
        <v>835</v>
      </c>
      <c r="G395" s="81" t="s">
        <v>205</v>
      </c>
      <c r="H395" s="81" t="s">
        <v>887</v>
      </c>
      <c r="I395" s="81" t="s">
        <v>545</v>
      </c>
      <c r="J395" s="79"/>
      <c r="K395" s="79"/>
      <c r="L395" s="79"/>
    </row>
    <row r="396" spans="1:12">
      <c r="A396" s="81" t="s">
        <v>882</v>
      </c>
      <c r="B396" s="81" t="s">
        <v>220</v>
      </c>
      <c r="C396" s="81" t="s">
        <v>203</v>
      </c>
      <c r="D396" s="81" t="s">
        <v>692</v>
      </c>
      <c r="E396" s="81" t="s">
        <v>969</v>
      </c>
      <c r="F396" s="81" t="s">
        <v>837</v>
      </c>
      <c r="G396" s="81" t="s">
        <v>205</v>
      </c>
      <c r="H396" s="81" t="s">
        <v>887</v>
      </c>
      <c r="I396" s="81" t="s">
        <v>545</v>
      </c>
      <c r="J396" s="79"/>
      <c r="K396" s="79"/>
      <c r="L396" s="79"/>
    </row>
    <row r="397" spans="1:12">
      <c r="A397" s="81" t="s">
        <v>882</v>
      </c>
      <c r="B397" s="81" t="s">
        <v>220</v>
      </c>
      <c r="C397" s="81" t="s">
        <v>203</v>
      </c>
      <c r="D397" s="81" t="s">
        <v>692</v>
      </c>
      <c r="E397" s="81" t="s">
        <v>969</v>
      </c>
      <c r="F397" s="81" t="s">
        <v>839</v>
      </c>
      <c r="G397" s="81" t="s">
        <v>205</v>
      </c>
      <c r="H397" s="81" t="s">
        <v>887</v>
      </c>
      <c r="I397" s="81" t="s">
        <v>545</v>
      </c>
      <c r="J397" s="79"/>
      <c r="K397" s="79"/>
      <c r="L397" s="79"/>
    </row>
    <row r="398" spans="1:12">
      <c r="A398" s="81" t="s">
        <v>882</v>
      </c>
      <c r="B398" s="81" t="s">
        <v>220</v>
      </c>
      <c r="C398" s="81" t="s">
        <v>203</v>
      </c>
      <c r="D398" s="81" t="s">
        <v>697</v>
      </c>
      <c r="E398" s="81" t="s">
        <v>970</v>
      </c>
      <c r="F398" s="81" t="s">
        <v>842</v>
      </c>
      <c r="G398" s="81" t="s">
        <v>205</v>
      </c>
      <c r="H398" s="81" t="s">
        <v>887</v>
      </c>
      <c r="I398" s="81" t="s">
        <v>545</v>
      </c>
      <c r="J398" s="79"/>
      <c r="K398" s="79"/>
      <c r="L398" s="79"/>
    </row>
    <row r="399" spans="1:12">
      <c r="A399" s="81" t="s">
        <v>882</v>
      </c>
      <c r="B399" s="81" t="s">
        <v>220</v>
      </c>
      <c r="C399" s="81" t="s">
        <v>203</v>
      </c>
      <c r="D399" s="81" t="s">
        <v>697</v>
      </c>
      <c r="E399" s="81" t="s">
        <v>971</v>
      </c>
      <c r="F399" s="81" t="s">
        <v>844</v>
      </c>
      <c r="G399" s="81" t="s">
        <v>205</v>
      </c>
      <c r="H399" s="81" t="s">
        <v>887</v>
      </c>
      <c r="I399" s="81" t="s">
        <v>545</v>
      </c>
      <c r="J399" s="79"/>
      <c r="K399" s="79"/>
      <c r="L399" s="79"/>
    </row>
    <row r="400" spans="1:12">
      <c r="A400" s="81" t="s">
        <v>882</v>
      </c>
      <c r="B400" s="81" t="s">
        <v>220</v>
      </c>
      <c r="C400" s="81" t="s">
        <v>203</v>
      </c>
      <c r="D400" s="81" t="s">
        <v>697</v>
      </c>
      <c r="E400" s="81" t="s">
        <v>972</v>
      </c>
      <c r="F400" s="81" t="s">
        <v>845</v>
      </c>
      <c r="G400" s="81" t="s">
        <v>205</v>
      </c>
      <c r="H400" s="81" t="s">
        <v>887</v>
      </c>
      <c r="I400" s="81" t="s">
        <v>545</v>
      </c>
      <c r="J400" s="79"/>
      <c r="K400" s="79"/>
      <c r="L400" s="79"/>
    </row>
    <row r="401" spans="1:12">
      <c r="A401" s="81" t="s">
        <v>882</v>
      </c>
      <c r="B401" s="81" t="s">
        <v>220</v>
      </c>
      <c r="C401" s="81" t="s">
        <v>203</v>
      </c>
      <c r="D401" s="81" t="s">
        <v>697</v>
      </c>
      <c r="E401" s="81" t="s">
        <v>972</v>
      </c>
      <c r="F401" s="81" t="s">
        <v>847</v>
      </c>
      <c r="G401" s="81" t="s">
        <v>205</v>
      </c>
      <c r="H401" s="81" t="s">
        <v>887</v>
      </c>
      <c r="I401" s="81" t="s">
        <v>545</v>
      </c>
      <c r="J401" s="79"/>
      <c r="K401" s="79"/>
      <c r="L401" s="79"/>
    </row>
    <row r="402" spans="1:12">
      <c r="A402" s="81" t="s">
        <v>882</v>
      </c>
      <c r="B402" s="81" t="s">
        <v>220</v>
      </c>
      <c r="C402" s="81" t="s">
        <v>203</v>
      </c>
      <c r="D402" s="81" t="s">
        <v>392</v>
      </c>
      <c r="E402" s="81" t="s">
        <v>973</v>
      </c>
      <c r="F402" s="81" t="s">
        <v>849</v>
      </c>
      <c r="G402" s="81" t="s">
        <v>205</v>
      </c>
      <c r="H402" s="81" t="s">
        <v>887</v>
      </c>
      <c r="I402" s="81" t="s">
        <v>545</v>
      </c>
      <c r="J402" s="79"/>
      <c r="K402" s="79"/>
      <c r="L402" s="79"/>
    </row>
    <row r="403" spans="1:12">
      <c r="A403" s="81" t="s">
        <v>882</v>
      </c>
      <c r="B403" s="81" t="s">
        <v>220</v>
      </c>
      <c r="C403" s="81" t="s">
        <v>203</v>
      </c>
      <c r="D403" s="81" t="s">
        <v>392</v>
      </c>
      <c r="E403" s="81" t="s">
        <v>974</v>
      </c>
      <c r="F403" s="81" t="s">
        <v>851</v>
      </c>
      <c r="G403" s="81" t="s">
        <v>205</v>
      </c>
      <c r="H403" s="81" t="s">
        <v>887</v>
      </c>
      <c r="I403" s="81" t="s">
        <v>545</v>
      </c>
      <c r="J403" s="79"/>
      <c r="K403" s="79"/>
      <c r="L403" s="79"/>
    </row>
    <row r="404" spans="1:12">
      <c r="A404" s="81" t="s">
        <v>882</v>
      </c>
      <c r="B404" s="81" t="s">
        <v>220</v>
      </c>
      <c r="C404" s="81" t="s">
        <v>203</v>
      </c>
      <c r="D404" s="81" t="s">
        <v>392</v>
      </c>
      <c r="E404" s="81" t="s">
        <v>975</v>
      </c>
      <c r="F404" s="81" t="s">
        <v>852</v>
      </c>
      <c r="G404" s="81" t="s">
        <v>205</v>
      </c>
      <c r="H404" s="81" t="s">
        <v>887</v>
      </c>
      <c r="I404" s="81" t="s">
        <v>545</v>
      </c>
      <c r="J404" s="79"/>
      <c r="K404" s="79"/>
      <c r="L404" s="79"/>
    </row>
    <row r="405" spans="1:12">
      <c r="A405" s="81" t="s">
        <v>882</v>
      </c>
      <c r="B405" s="81" t="s">
        <v>220</v>
      </c>
      <c r="C405" s="81" t="s">
        <v>203</v>
      </c>
      <c r="D405" s="81" t="s">
        <v>711</v>
      </c>
      <c r="E405" s="81" t="s">
        <v>976</v>
      </c>
      <c r="F405" s="81" t="s">
        <v>854</v>
      </c>
      <c r="G405" s="81" t="s">
        <v>205</v>
      </c>
      <c r="H405" s="81" t="s">
        <v>887</v>
      </c>
      <c r="I405" s="81" t="s">
        <v>545</v>
      </c>
      <c r="J405" s="79"/>
      <c r="K405" s="79"/>
      <c r="L405" s="79"/>
    </row>
    <row r="406" spans="1:12">
      <c r="A406" s="81" t="s">
        <v>882</v>
      </c>
      <c r="B406" s="81" t="s">
        <v>220</v>
      </c>
      <c r="C406" s="81" t="s">
        <v>203</v>
      </c>
      <c r="D406" s="81" t="s">
        <v>711</v>
      </c>
      <c r="E406" s="81" t="s">
        <v>977</v>
      </c>
      <c r="F406" s="81" t="s">
        <v>855</v>
      </c>
      <c r="G406" s="81" t="s">
        <v>205</v>
      </c>
      <c r="H406" s="81" t="s">
        <v>887</v>
      </c>
      <c r="I406" s="81" t="s">
        <v>545</v>
      </c>
      <c r="J406" s="79"/>
      <c r="K406" s="79"/>
      <c r="L406" s="79"/>
    </row>
    <row r="407" spans="1:12">
      <c r="A407" s="81" t="s">
        <v>882</v>
      </c>
      <c r="B407" s="81" t="s">
        <v>220</v>
      </c>
      <c r="C407" s="81" t="s">
        <v>203</v>
      </c>
      <c r="D407" s="81" t="s">
        <v>858</v>
      </c>
      <c r="E407" s="81" t="s">
        <v>978</v>
      </c>
      <c r="F407" s="81" t="s">
        <v>857</v>
      </c>
      <c r="G407" s="81" t="s">
        <v>205</v>
      </c>
      <c r="H407" s="81" t="s">
        <v>887</v>
      </c>
      <c r="I407" s="81" t="s">
        <v>545</v>
      </c>
      <c r="J407" s="79"/>
      <c r="K407" s="79"/>
      <c r="L407" s="79"/>
    </row>
    <row r="408" spans="1:12">
      <c r="A408" s="81" t="s">
        <v>882</v>
      </c>
      <c r="B408" s="81" t="s">
        <v>220</v>
      </c>
      <c r="C408" s="81" t="s">
        <v>203</v>
      </c>
      <c r="D408" s="81" t="s">
        <v>858</v>
      </c>
      <c r="E408" s="81" t="s">
        <v>979</v>
      </c>
      <c r="F408" s="81" t="s">
        <v>860</v>
      </c>
      <c r="G408" s="81" t="s">
        <v>205</v>
      </c>
      <c r="H408" s="81" t="s">
        <v>887</v>
      </c>
      <c r="I408" s="81" t="s">
        <v>545</v>
      </c>
      <c r="J408" s="79"/>
      <c r="K408" s="79"/>
      <c r="L408" s="79"/>
    </row>
    <row r="409" spans="1:12">
      <c r="A409" s="81" t="s">
        <v>882</v>
      </c>
      <c r="B409" s="81" t="s">
        <v>220</v>
      </c>
      <c r="C409" s="81" t="s">
        <v>203</v>
      </c>
      <c r="D409" s="81" t="s">
        <v>858</v>
      </c>
      <c r="E409" s="81" t="s">
        <v>980</v>
      </c>
      <c r="F409" s="81" t="s">
        <v>862</v>
      </c>
      <c r="G409" s="81" t="s">
        <v>205</v>
      </c>
      <c r="H409" s="81" t="s">
        <v>887</v>
      </c>
      <c r="I409" s="81" t="s">
        <v>545</v>
      </c>
      <c r="J409" s="79"/>
      <c r="K409" s="79"/>
      <c r="L409" s="79"/>
    </row>
    <row r="410" spans="1:12">
      <c r="A410" s="81" t="s">
        <v>882</v>
      </c>
      <c r="B410" s="81" t="s">
        <v>220</v>
      </c>
      <c r="C410" s="81" t="s">
        <v>203</v>
      </c>
      <c r="D410" s="81" t="s">
        <v>858</v>
      </c>
      <c r="E410" s="81" t="s">
        <v>979</v>
      </c>
      <c r="F410" s="81" t="s">
        <v>864</v>
      </c>
      <c r="G410" s="81" t="s">
        <v>205</v>
      </c>
      <c r="H410" s="81" t="s">
        <v>887</v>
      </c>
      <c r="I410" s="81" t="s">
        <v>545</v>
      </c>
      <c r="J410" s="79"/>
      <c r="K410" s="79"/>
      <c r="L410" s="79"/>
    </row>
    <row r="411" spans="1:12">
      <c r="A411" s="81" t="s">
        <v>882</v>
      </c>
      <c r="B411" s="81" t="s">
        <v>220</v>
      </c>
      <c r="C411" s="81" t="s">
        <v>203</v>
      </c>
      <c r="D411" s="81" t="s">
        <v>858</v>
      </c>
      <c r="E411" s="81" t="s">
        <v>980</v>
      </c>
      <c r="F411" s="81" t="s">
        <v>866</v>
      </c>
      <c r="G411" s="81" t="s">
        <v>205</v>
      </c>
      <c r="H411" s="81" t="s">
        <v>887</v>
      </c>
      <c r="I411" s="81" t="s">
        <v>545</v>
      </c>
      <c r="J411" s="79"/>
      <c r="K411" s="79"/>
      <c r="L411" s="79"/>
    </row>
    <row r="412" spans="1:12">
      <c r="A412" s="81" t="s">
        <v>882</v>
      </c>
      <c r="B412" s="81" t="s">
        <v>220</v>
      </c>
      <c r="C412" s="81" t="s">
        <v>203</v>
      </c>
      <c r="D412" s="81" t="s">
        <v>858</v>
      </c>
      <c r="E412" s="81" t="s">
        <v>981</v>
      </c>
      <c r="F412" s="81" t="s">
        <v>868</v>
      </c>
      <c r="G412" s="81" t="s">
        <v>205</v>
      </c>
      <c r="H412" s="81" t="s">
        <v>887</v>
      </c>
      <c r="I412" s="81" t="s">
        <v>545</v>
      </c>
      <c r="J412" s="79"/>
      <c r="K412" s="79"/>
      <c r="L412" s="79"/>
    </row>
    <row r="413" spans="1:12">
      <c r="A413" s="81" t="s">
        <v>882</v>
      </c>
      <c r="B413" s="81" t="s">
        <v>220</v>
      </c>
      <c r="C413" s="81" t="s">
        <v>205</v>
      </c>
      <c r="D413" s="81" t="s">
        <v>552</v>
      </c>
      <c r="E413" s="81" t="s">
        <v>982</v>
      </c>
      <c r="F413" s="81" t="s">
        <v>870</v>
      </c>
      <c r="G413" s="81" t="s">
        <v>205</v>
      </c>
      <c r="H413" s="81" t="s">
        <v>887</v>
      </c>
      <c r="I413" s="81" t="s">
        <v>545</v>
      </c>
      <c r="J413" s="79"/>
      <c r="K413" s="79"/>
      <c r="L413" s="79"/>
    </row>
    <row r="414" spans="1:12">
      <c r="A414" s="81" t="s">
        <v>882</v>
      </c>
      <c r="B414" s="81" t="s">
        <v>220</v>
      </c>
      <c r="C414" s="81" t="s">
        <v>205</v>
      </c>
      <c r="D414" s="81" t="s">
        <v>552</v>
      </c>
      <c r="E414" s="81" t="s">
        <v>982</v>
      </c>
      <c r="F414" s="81" t="s">
        <v>872</v>
      </c>
      <c r="G414" s="81" t="s">
        <v>205</v>
      </c>
      <c r="H414" s="81" t="s">
        <v>887</v>
      </c>
      <c r="I414" s="81" t="s">
        <v>545</v>
      </c>
      <c r="J414" s="79"/>
      <c r="K414" s="79"/>
      <c r="L414" s="79"/>
    </row>
    <row r="415" spans="1:12">
      <c r="A415" s="81" t="s">
        <v>882</v>
      </c>
      <c r="B415" s="81" t="s">
        <v>220</v>
      </c>
      <c r="C415" s="81" t="s">
        <v>205</v>
      </c>
      <c r="D415" s="81" t="s">
        <v>552</v>
      </c>
      <c r="E415" s="81" t="s">
        <v>982</v>
      </c>
      <c r="F415" s="81" t="s">
        <v>874</v>
      </c>
      <c r="G415" s="81" t="s">
        <v>205</v>
      </c>
      <c r="H415" s="81" t="s">
        <v>887</v>
      </c>
      <c r="I415" s="81" t="s">
        <v>545</v>
      </c>
      <c r="J415" s="79"/>
      <c r="K415" s="79"/>
      <c r="L415" s="79"/>
    </row>
    <row r="416" spans="1:12">
      <c r="A416" s="81" t="s">
        <v>882</v>
      </c>
      <c r="B416" s="81" t="s">
        <v>220</v>
      </c>
      <c r="C416" s="81" t="s">
        <v>205</v>
      </c>
      <c r="D416" s="81" t="s">
        <v>552</v>
      </c>
      <c r="E416" s="81" t="s">
        <v>983</v>
      </c>
      <c r="F416" s="81" t="s">
        <v>876</v>
      </c>
      <c r="G416" s="81" t="s">
        <v>205</v>
      </c>
      <c r="H416" s="81" t="s">
        <v>887</v>
      </c>
      <c r="I416" s="81" t="s">
        <v>545</v>
      </c>
      <c r="J416" s="79"/>
      <c r="K416" s="79"/>
      <c r="L416" s="79"/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6"/>
  <sheetViews>
    <sheetView showGridLines="0" workbookViewId="0">
      <selection activeCell="A1" sqref="A1:N1"/>
    </sheetView>
  </sheetViews>
  <sheetFormatPr defaultColWidth="9" defaultRowHeight="14.5"/>
  <cols>
    <col min="1" max="1" width="26" customWidth="1"/>
    <col min="2" max="2" width="12" customWidth="1"/>
    <col min="3" max="3" width="13" customWidth="1"/>
    <col min="4" max="4" width="14" customWidth="1"/>
    <col min="5" max="5" width="25" customWidth="1"/>
    <col min="6" max="6" width="26" customWidth="1"/>
    <col min="7" max="7" width="23" customWidth="1"/>
    <col min="8" max="8" width="17" customWidth="1"/>
    <col min="9" max="9" width="14" customWidth="1"/>
    <col min="10" max="10" width="11" customWidth="1"/>
    <col min="11" max="11" width="44" customWidth="1"/>
    <col min="12" max="14" width="10" customWidth="1"/>
  </cols>
  <sheetData>
    <row r="1" ht="21" spans="1:14">
      <c r="A1" s="78" t="s">
        <v>984</v>
      </c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>
      <c r="A3" s="80" t="s">
        <v>72</v>
      </c>
      <c r="B3" s="80" t="s">
        <v>76</v>
      </c>
      <c r="C3" s="80" t="s">
        <v>84</v>
      </c>
      <c r="D3" s="80" t="s">
        <v>92</v>
      </c>
      <c r="E3" s="80" t="s">
        <v>985</v>
      </c>
      <c r="F3" s="80" t="s">
        <v>986</v>
      </c>
      <c r="G3" s="80" t="s">
        <v>987</v>
      </c>
      <c r="H3" s="80" t="s">
        <v>988</v>
      </c>
      <c r="I3" s="80" t="s">
        <v>110</v>
      </c>
      <c r="J3" s="80" t="s">
        <v>125</v>
      </c>
      <c r="K3" s="80" t="s">
        <v>989</v>
      </c>
      <c r="L3" s="79"/>
      <c r="M3" s="79"/>
      <c r="N3" s="79"/>
    </row>
    <row r="4" ht="26" spans="1:14">
      <c r="A4" s="81" t="s">
        <v>236</v>
      </c>
      <c r="B4" s="81" t="s">
        <v>77</v>
      </c>
      <c r="C4" s="81" t="s">
        <v>85</v>
      </c>
      <c r="D4" s="81" t="s">
        <v>93</v>
      </c>
      <c r="E4" s="81">
        <v>5</v>
      </c>
      <c r="F4" s="81">
        <v>3</v>
      </c>
      <c r="G4" s="81">
        <v>2</v>
      </c>
      <c r="H4" s="81">
        <v>9</v>
      </c>
      <c r="I4" s="81" t="s">
        <v>884</v>
      </c>
      <c r="J4" s="81" t="s">
        <v>243</v>
      </c>
      <c r="K4" s="81" t="s">
        <v>990</v>
      </c>
      <c r="L4" s="79"/>
      <c r="M4" s="79"/>
      <c r="N4" s="79"/>
    </row>
    <row r="5" ht="26" spans="1:14">
      <c r="A5" s="81" t="s">
        <v>244</v>
      </c>
      <c r="B5" s="81" t="s">
        <v>77</v>
      </c>
      <c r="C5" s="81" t="s">
        <v>85</v>
      </c>
      <c r="D5" s="81" t="s">
        <v>93</v>
      </c>
      <c r="E5" s="81">
        <v>5</v>
      </c>
      <c r="F5" s="81">
        <v>3</v>
      </c>
      <c r="G5" s="81">
        <v>2</v>
      </c>
      <c r="H5" s="81">
        <v>9</v>
      </c>
      <c r="I5" s="81" t="s">
        <v>884</v>
      </c>
      <c r="J5" s="81" t="s">
        <v>243</v>
      </c>
      <c r="K5" s="81" t="s">
        <v>990</v>
      </c>
      <c r="L5" s="79"/>
      <c r="M5" s="79"/>
      <c r="N5" s="79"/>
    </row>
    <row r="6" ht="26" spans="1:14">
      <c r="A6" s="81" t="s">
        <v>247</v>
      </c>
      <c r="B6" s="81" t="s">
        <v>77</v>
      </c>
      <c r="C6" s="81" t="s">
        <v>85</v>
      </c>
      <c r="D6" s="81" t="s">
        <v>93</v>
      </c>
      <c r="E6" s="81">
        <v>5</v>
      </c>
      <c r="F6" s="81">
        <v>3</v>
      </c>
      <c r="G6" s="81">
        <v>2</v>
      </c>
      <c r="H6" s="81">
        <v>9</v>
      </c>
      <c r="I6" s="81" t="s">
        <v>884</v>
      </c>
      <c r="J6" s="81" t="s">
        <v>243</v>
      </c>
      <c r="K6" s="81" t="s">
        <v>990</v>
      </c>
      <c r="L6" s="79"/>
      <c r="M6" s="79"/>
      <c r="N6" s="79"/>
    </row>
    <row r="7" ht="26" spans="1:14">
      <c r="A7" s="81" t="s">
        <v>250</v>
      </c>
      <c r="B7" s="81" t="s">
        <v>77</v>
      </c>
      <c r="C7" s="81" t="s">
        <v>85</v>
      </c>
      <c r="D7" s="81" t="s">
        <v>93</v>
      </c>
      <c r="E7" s="81">
        <v>5</v>
      </c>
      <c r="F7" s="81">
        <v>3</v>
      </c>
      <c r="G7" s="81">
        <v>2</v>
      </c>
      <c r="H7" s="81">
        <v>9</v>
      </c>
      <c r="I7" s="81" t="s">
        <v>884</v>
      </c>
      <c r="J7" s="81" t="s">
        <v>243</v>
      </c>
      <c r="K7" s="81" t="s">
        <v>990</v>
      </c>
      <c r="L7" s="79"/>
      <c r="M7" s="79"/>
      <c r="N7" s="79"/>
    </row>
    <row r="8" ht="26" spans="1:14">
      <c r="A8" s="81" t="s">
        <v>255</v>
      </c>
      <c r="B8" s="81" t="s">
        <v>77</v>
      </c>
      <c r="C8" s="81" t="s">
        <v>85</v>
      </c>
      <c r="D8" s="81" t="s">
        <v>93</v>
      </c>
      <c r="E8" s="81">
        <v>5</v>
      </c>
      <c r="F8" s="81">
        <v>3</v>
      </c>
      <c r="G8" s="81">
        <v>2</v>
      </c>
      <c r="H8" s="81">
        <v>9</v>
      </c>
      <c r="I8" s="81" t="s">
        <v>884</v>
      </c>
      <c r="J8" s="81" t="s">
        <v>243</v>
      </c>
      <c r="K8" s="81" t="s">
        <v>990</v>
      </c>
      <c r="L8" s="79"/>
      <c r="M8" s="79"/>
      <c r="N8" s="79"/>
    </row>
    <row r="9" ht="26" spans="1:14">
      <c r="A9" s="81" t="s">
        <v>258</v>
      </c>
      <c r="B9" s="81" t="s">
        <v>77</v>
      </c>
      <c r="C9" s="81" t="s">
        <v>85</v>
      </c>
      <c r="D9" s="81" t="s">
        <v>93</v>
      </c>
      <c r="E9" s="81">
        <v>5</v>
      </c>
      <c r="F9" s="81">
        <v>3</v>
      </c>
      <c r="G9" s="81">
        <v>2</v>
      </c>
      <c r="H9" s="81">
        <v>9</v>
      </c>
      <c r="I9" s="81" t="s">
        <v>884</v>
      </c>
      <c r="J9" s="81" t="s">
        <v>243</v>
      </c>
      <c r="K9" s="81" t="s">
        <v>990</v>
      </c>
      <c r="L9" s="79"/>
      <c r="M9" s="79"/>
      <c r="N9" s="79"/>
    </row>
    <row r="10" ht="26" spans="1:14">
      <c r="A10" s="81" t="s">
        <v>259</v>
      </c>
      <c r="B10" s="81" t="s">
        <v>77</v>
      </c>
      <c r="C10" s="81" t="s">
        <v>85</v>
      </c>
      <c r="D10" s="81" t="s">
        <v>93</v>
      </c>
      <c r="E10" s="81">
        <v>5</v>
      </c>
      <c r="F10" s="81">
        <v>3</v>
      </c>
      <c r="G10" s="81">
        <v>2</v>
      </c>
      <c r="H10" s="81">
        <v>9</v>
      </c>
      <c r="I10" s="81" t="s">
        <v>884</v>
      </c>
      <c r="J10" s="81" t="s">
        <v>243</v>
      </c>
      <c r="K10" s="81" t="s">
        <v>990</v>
      </c>
      <c r="L10" s="79"/>
      <c r="M10" s="79"/>
      <c r="N10" s="79"/>
    </row>
    <row r="11" ht="26" spans="1:14">
      <c r="A11" s="81" t="s">
        <v>261</v>
      </c>
      <c r="B11" s="81" t="s">
        <v>77</v>
      </c>
      <c r="C11" s="81" t="s">
        <v>85</v>
      </c>
      <c r="D11" s="81" t="s">
        <v>93</v>
      </c>
      <c r="E11" s="81">
        <v>5</v>
      </c>
      <c r="F11" s="81">
        <v>3</v>
      </c>
      <c r="G11" s="81">
        <v>2</v>
      </c>
      <c r="H11" s="81">
        <v>9</v>
      </c>
      <c r="I11" s="81" t="s">
        <v>884</v>
      </c>
      <c r="J11" s="81" t="s">
        <v>243</v>
      </c>
      <c r="K11" s="81" t="s">
        <v>990</v>
      </c>
      <c r="L11" s="79"/>
      <c r="M11" s="79"/>
      <c r="N11" s="79"/>
    </row>
    <row r="12" ht="26" spans="1:14">
      <c r="A12" s="81" t="s">
        <v>262</v>
      </c>
      <c r="B12" s="81" t="s">
        <v>77</v>
      </c>
      <c r="C12" s="81" t="s">
        <v>85</v>
      </c>
      <c r="D12" s="81" t="s">
        <v>93</v>
      </c>
      <c r="E12" s="81">
        <v>5</v>
      </c>
      <c r="F12" s="81">
        <v>3</v>
      </c>
      <c r="G12" s="81">
        <v>2</v>
      </c>
      <c r="H12" s="81">
        <v>9</v>
      </c>
      <c r="I12" s="81" t="s">
        <v>884</v>
      </c>
      <c r="J12" s="81" t="s">
        <v>243</v>
      </c>
      <c r="K12" s="81" t="s">
        <v>990</v>
      </c>
      <c r="L12" s="79"/>
      <c r="M12" s="79"/>
      <c r="N12" s="79"/>
    </row>
    <row r="13" ht="26" spans="1:14">
      <c r="A13" s="81" t="s">
        <v>263</v>
      </c>
      <c r="B13" s="81" t="s">
        <v>77</v>
      </c>
      <c r="C13" s="81" t="s">
        <v>85</v>
      </c>
      <c r="D13" s="81" t="s">
        <v>93</v>
      </c>
      <c r="E13" s="81">
        <v>5</v>
      </c>
      <c r="F13" s="81">
        <v>3</v>
      </c>
      <c r="G13" s="81">
        <v>2</v>
      </c>
      <c r="H13" s="81">
        <v>9</v>
      </c>
      <c r="I13" s="81" t="s">
        <v>884</v>
      </c>
      <c r="J13" s="81" t="s">
        <v>243</v>
      </c>
      <c r="K13" s="81" t="s">
        <v>990</v>
      </c>
      <c r="L13" s="79"/>
      <c r="M13" s="79"/>
      <c r="N13" s="79"/>
    </row>
    <row r="14" ht="26" spans="1:14">
      <c r="A14" s="81" t="s">
        <v>264</v>
      </c>
      <c r="B14" s="81" t="s">
        <v>77</v>
      </c>
      <c r="C14" s="81" t="s">
        <v>85</v>
      </c>
      <c r="D14" s="81" t="s">
        <v>93</v>
      </c>
      <c r="E14" s="81">
        <v>5</v>
      </c>
      <c r="F14" s="81">
        <v>3</v>
      </c>
      <c r="G14" s="81">
        <v>2</v>
      </c>
      <c r="H14" s="81">
        <v>9</v>
      </c>
      <c r="I14" s="81" t="s">
        <v>884</v>
      </c>
      <c r="J14" s="81" t="s">
        <v>243</v>
      </c>
      <c r="K14" s="81" t="s">
        <v>990</v>
      </c>
      <c r="L14" s="79"/>
      <c r="M14" s="79"/>
      <c r="N14" s="79"/>
    </row>
    <row r="15" ht="26" spans="1:14">
      <c r="A15" s="81" t="s">
        <v>265</v>
      </c>
      <c r="B15" s="81" t="s">
        <v>77</v>
      </c>
      <c r="C15" s="81" t="s">
        <v>85</v>
      </c>
      <c r="D15" s="81" t="s">
        <v>93</v>
      </c>
      <c r="E15" s="81">
        <v>5</v>
      </c>
      <c r="F15" s="81">
        <v>3</v>
      </c>
      <c r="G15" s="81">
        <v>2</v>
      </c>
      <c r="H15" s="81">
        <v>9</v>
      </c>
      <c r="I15" s="81" t="s">
        <v>884</v>
      </c>
      <c r="J15" s="81" t="s">
        <v>243</v>
      </c>
      <c r="K15" s="81" t="s">
        <v>990</v>
      </c>
      <c r="L15" s="79"/>
      <c r="M15" s="79"/>
      <c r="N15" s="79"/>
    </row>
    <row r="16" ht="26" spans="1:14">
      <c r="A16" s="81" t="s">
        <v>266</v>
      </c>
      <c r="B16" s="81" t="s">
        <v>77</v>
      </c>
      <c r="C16" s="81" t="s">
        <v>85</v>
      </c>
      <c r="D16" s="81" t="s">
        <v>93</v>
      </c>
      <c r="E16" s="81">
        <v>5</v>
      </c>
      <c r="F16" s="81">
        <v>3</v>
      </c>
      <c r="G16" s="81">
        <v>2</v>
      </c>
      <c r="H16" s="81">
        <v>9</v>
      </c>
      <c r="I16" s="81" t="s">
        <v>884</v>
      </c>
      <c r="J16" s="81" t="s">
        <v>243</v>
      </c>
      <c r="K16" s="81" t="s">
        <v>990</v>
      </c>
      <c r="L16" s="79"/>
      <c r="M16" s="79"/>
      <c r="N16" s="79"/>
    </row>
    <row r="17" ht="26" spans="1:14">
      <c r="A17" s="81" t="s">
        <v>268</v>
      </c>
      <c r="B17" s="81" t="s">
        <v>77</v>
      </c>
      <c r="C17" s="81" t="s">
        <v>85</v>
      </c>
      <c r="D17" s="81" t="s">
        <v>93</v>
      </c>
      <c r="E17" s="81">
        <v>5</v>
      </c>
      <c r="F17" s="81">
        <v>3</v>
      </c>
      <c r="G17" s="81">
        <v>2</v>
      </c>
      <c r="H17" s="81">
        <v>9</v>
      </c>
      <c r="I17" s="81" t="s">
        <v>884</v>
      </c>
      <c r="J17" s="81" t="s">
        <v>243</v>
      </c>
      <c r="K17" s="81" t="s">
        <v>990</v>
      </c>
      <c r="L17" s="79"/>
      <c r="M17" s="79"/>
      <c r="N17" s="79"/>
    </row>
    <row r="18" ht="26" spans="1:14">
      <c r="A18" s="81" t="s">
        <v>269</v>
      </c>
      <c r="B18" s="81" t="s">
        <v>77</v>
      </c>
      <c r="C18" s="81" t="s">
        <v>85</v>
      </c>
      <c r="D18" s="81" t="s">
        <v>93</v>
      </c>
      <c r="E18" s="81">
        <v>5</v>
      </c>
      <c r="F18" s="81">
        <v>3</v>
      </c>
      <c r="G18" s="81">
        <v>2</v>
      </c>
      <c r="H18" s="81">
        <v>9</v>
      </c>
      <c r="I18" s="81" t="s">
        <v>884</v>
      </c>
      <c r="J18" s="81" t="s">
        <v>243</v>
      </c>
      <c r="K18" s="81" t="s">
        <v>990</v>
      </c>
      <c r="L18" s="79"/>
      <c r="M18" s="79"/>
      <c r="N18" s="79"/>
    </row>
    <row r="19" ht="26" spans="1:14">
      <c r="A19" s="81" t="s">
        <v>270</v>
      </c>
      <c r="B19" s="81" t="s">
        <v>77</v>
      </c>
      <c r="C19" s="81" t="s">
        <v>85</v>
      </c>
      <c r="D19" s="81" t="s">
        <v>93</v>
      </c>
      <c r="E19" s="81">
        <v>5</v>
      </c>
      <c r="F19" s="81">
        <v>3</v>
      </c>
      <c r="G19" s="81">
        <v>2</v>
      </c>
      <c r="H19" s="81">
        <v>9</v>
      </c>
      <c r="I19" s="81" t="s">
        <v>884</v>
      </c>
      <c r="J19" s="81" t="s">
        <v>243</v>
      </c>
      <c r="K19" s="81" t="s">
        <v>990</v>
      </c>
      <c r="L19" s="79"/>
      <c r="M19" s="79"/>
      <c r="N19" s="79"/>
    </row>
    <row r="20" ht="26" spans="1:14">
      <c r="A20" s="81" t="s">
        <v>271</v>
      </c>
      <c r="B20" s="81" t="s">
        <v>77</v>
      </c>
      <c r="C20" s="81" t="s">
        <v>85</v>
      </c>
      <c r="D20" s="81" t="s">
        <v>93</v>
      </c>
      <c r="E20" s="81">
        <v>5</v>
      </c>
      <c r="F20" s="81">
        <v>3</v>
      </c>
      <c r="G20" s="81">
        <v>2</v>
      </c>
      <c r="H20" s="81">
        <v>9</v>
      </c>
      <c r="I20" s="81" t="s">
        <v>884</v>
      </c>
      <c r="J20" s="81" t="s">
        <v>243</v>
      </c>
      <c r="K20" s="81" t="s">
        <v>990</v>
      </c>
      <c r="L20" s="79"/>
      <c r="M20" s="79"/>
      <c r="N20" s="79"/>
    </row>
    <row r="21" ht="26" spans="1:14">
      <c r="A21" s="81" t="s">
        <v>272</v>
      </c>
      <c r="B21" s="81" t="s">
        <v>77</v>
      </c>
      <c r="C21" s="81" t="s">
        <v>85</v>
      </c>
      <c r="D21" s="81" t="s">
        <v>93</v>
      </c>
      <c r="E21" s="81">
        <v>5</v>
      </c>
      <c r="F21" s="81">
        <v>3</v>
      </c>
      <c r="G21" s="81">
        <v>2</v>
      </c>
      <c r="H21" s="81">
        <v>9</v>
      </c>
      <c r="I21" s="81" t="s">
        <v>884</v>
      </c>
      <c r="J21" s="81" t="s">
        <v>243</v>
      </c>
      <c r="K21" s="81" t="s">
        <v>990</v>
      </c>
      <c r="L21" s="79"/>
      <c r="M21" s="79"/>
      <c r="N21" s="79"/>
    </row>
    <row r="22" ht="26" spans="1:14">
      <c r="A22" s="81" t="s">
        <v>273</v>
      </c>
      <c r="B22" s="81" t="s">
        <v>77</v>
      </c>
      <c r="C22" s="81" t="s">
        <v>85</v>
      </c>
      <c r="D22" s="81" t="s">
        <v>93</v>
      </c>
      <c r="E22" s="81">
        <v>5</v>
      </c>
      <c r="F22" s="81">
        <v>3</v>
      </c>
      <c r="G22" s="81">
        <v>2</v>
      </c>
      <c r="H22" s="81">
        <v>9</v>
      </c>
      <c r="I22" s="81" t="s">
        <v>884</v>
      </c>
      <c r="J22" s="81" t="s">
        <v>243</v>
      </c>
      <c r="K22" s="81" t="s">
        <v>990</v>
      </c>
      <c r="L22" s="79"/>
      <c r="M22" s="79"/>
      <c r="N22" s="79"/>
    </row>
    <row r="23" ht="26" spans="1:14">
      <c r="A23" s="81" t="s">
        <v>277</v>
      </c>
      <c r="B23" s="81" t="s">
        <v>77</v>
      </c>
      <c r="C23" s="81" t="s">
        <v>85</v>
      </c>
      <c r="D23" s="81" t="s">
        <v>93</v>
      </c>
      <c r="E23" s="81">
        <v>5</v>
      </c>
      <c r="F23" s="81">
        <v>3</v>
      </c>
      <c r="G23" s="81">
        <v>2</v>
      </c>
      <c r="H23" s="81">
        <v>9</v>
      </c>
      <c r="I23" s="81" t="s">
        <v>884</v>
      </c>
      <c r="J23" s="81" t="s">
        <v>243</v>
      </c>
      <c r="K23" s="81" t="s">
        <v>990</v>
      </c>
      <c r="L23" s="79"/>
      <c r="M23" s="79"/>
      <c r="N23" s="79"/>
    </row>
    <row r="24" ht="26" spans="1:14">
      <c r="A24" s="81" t="s">
        <v>279</v>
      </c>
      <c r="B24" s="81" t="s">
        <v>77</v>
      </c>
      <c r="C24" s="81" t="s">
        <v>85</v>
      </c>
      <c r="D24" s="81" t="s">
        <v>93</v>
      </c>
      <c r="E24" s="81">
        <v>5</v>
      </c>
      <c r="F24" s="81">
        <v>3</v>
      </c>
      <c r="G24" s="81">
        <v>2</v>
      </c>
      <c r="H24" s="81">
        <v>9</v>
      </c>
      <c r="I24" s="81" t="s">
        <v>884</v>
      </c>
      <c r="J24" s="81" t="s">
        <v>243</v>
      </c>
      <c r="K24" s="81" t="s">
        <v>990</v>
      </c>
      <c r="L24" s="79"/>
      <c r="M24" s="79"/>
      <c r="N24" s="79"/>
    </row>
    <row r="25" ht="26" spans="1:14">
      <c r="A25" s="81" t="s">
        <v>280</v>
      </c>
      <c r="B25" s="81" t="s">
        <v>77</v>
      </c>
      <c r="C25" s="81" t="s">
        <v>85</v>
      </c>
      <c r="D25" s="81" t="s">
        <v>93</v>
      </c>
      <c r="E25" s="81">
        <v>5</v>
      </c>
      <c r="F25" s="81">
        <v>3</v>
      </c>
      <c r="G25" s="81">
        <v>2</v>
      </c>
      <c r="H25" s="81">
        <v>9</v>
      </c>
      <c r="I25" s="81" t="s">
        <v>884</v>
      </c>
      <c r="J25" s="81" t="s">
        <v>243</v>
      </c>
      <c r="K25" s="81" t="s">
        <v>990</v>
      </c>
      <c r="L25" s="79"/>
      <c r="M25" s="79"/>
      <c r="N25" s="79"/>
    </row>
    <row r="26" ht="26" spans="1:14">
      <c r="A26" s="81" t="s">
        <v>281</v>
      </c>
      <c r="B26" s="81" t="s">
        <v>77</v>
      </c>
      <c r="C26" s="81" t="s">
        <v>85</v>
      </c>
      <c r="D26" s="81" t="s">
        <v>93</v>
      </c>
      <c r="E26" s="81">
        <v>5</v>
      </c>
      <c r="F26" s="81">
        <v>3</v>
      </c>
      <c r="G26" s="81">
        <v>2</v>
      </c>
      <c r="H26" s="81">
        <v>9</v>
      </c>
      <c r="I26" s="81" t="s">
        <v>884</v>
      </c>
      <c r="J26" s="81" t="s">
        <v>243</v>
      </c>
      <c r="K26" s="81" t="s">
        <v>990</v>
      </c>
      <c r="L26" s="79"/>
      <c r="M26" s="79"/>
      <c r="N26" s="79"/>
    </row>
    <row r="27" ht="26" spans="1:14">
      <c r="A27" s="81" t="s">
        <v>282</v>
      </c>
      <c r="B27" s="81" t="s">
        <v>77</v>
      </c>
      <c r="C27" s="81" t="s">
        <v>85</v>
      </c>
      <c r="D27" s="81" t="s">
        <v>93</v>
      </c>
      <c r="E27" s="81">
        <v>5</v>
      </c>
      <c r="F27" s="81">
        <v>3</v>
      </c>
      <c r="G27" s="81">
        <v>2</v>
      </c>
      <c r="H27" s="81">
        <v>9</v>
      </c>
      <c r="I27" s="81" t="s">
        <v>884</v>
      </c>
      <c r="J27" s="81" t="s">
        <v>243</v>
      </c>
      <c r="K27" s="81" t="s">
        <v>990</v>
      </c>
      <c r="L27" s="79"/>
      <c r="M27" s="79"/>
      <c r="N27" s="79"/>
    </row>
    <row r="28" ht="26" spans="1:14">
      <c r="A28" s="81" t="s">
        <v>283</v>
      </c>
      <c r="B28" s="81" t="s">
        <v>77</v>
      </c>
      <c r="C28" s="81" t="s">
        <v>85</v>
      </c>
      <c r="D28" s="81" t="s">
        <v>93</v>
      </c>
      <c r="E28" s="81">
        <v>5</v>
      </c>
      <c r="F28" s="81">
        <v>3</v>
      </c>
      <c r="G28" s="81">
        <v>2</v>
      </c>
      <c r="H28" s="81">
        <v>9</v>
      </c>
      <c r="I28" s="81" t="s">
        <v>884</v>
      </c>
      <c r="J28" s="81" t="s">
        <v>243</v>
      </c>
      <c r="K28" s="81" t="s">
        <v>990</v>
      </c>
      <c r="L28" s="79"/>
      <c r="M28" s="79"/>
      <c r="N28" s="79"/>
    </row>
    <row r="29" ht="26" spans="1:14">
      <c r="A29" s="81" t="s">
        <v>284</v>
      </c>
      <c r="B29" s="81" t="s">
        <v>77</v>
      </c>
      <c r="C29" s="81" t="s">
        <v>85</v>
      </c>
      <c r="D29" s="81" t="s">
        <v>93</v>
      </c>
      <c r="E29" s="81">
        <v>5</v>
      </c>
      <c r="F29" s="81">
        <v>3</v>
      </c>
      <c r="G29" s="81">
        <v>2</v>
      </c>
      <c r="H29" s="81">
        <v>9</v>
      </c>
      <c r="I29" s="81" t="s">
        <v>884</v>
      </c>
      <c r="J29" s="81" t="s">
        <v>243</v>
      </c>
      <c r="K29" s="81" t="s">
        <v>990</v>
      </c>
      <c r="L29" s="79"/>
      <c r="M29" s="79"/>
      <c r="N29" s="79"/>
    </row>
    <row r="30" ht="26" spans="1:14">
      <c r="A30" s="81" t="s">
        <v>287</v>
      </c>
      <c r="B30" s="81" t="s">
        <v>77</v>
      </c>
      <c r="C30" s="81" t="s">
        <v>85</v>
      </c>
      <c r="D30" s="81" t="s">
        <v>93</v>
      </c>
      <c r="E30" s="81">
        <v>5</v>
      </c>
      <c r="F30" s="81">
        <v>3</v>
      </c>
      <c r="G30" s="81">
        <v>2</v>
      </c>
      <c r="H30" s="81">
        <v>9</v>
      </c>
      <c r="I30" s="81" t="s">
        <v>884</v>
      </c>
      <c r="J30" s="81" t="s">
        <v>243</v>
      </c>
      <c r="K30" s="81" t="s">
        <v>990</v>
      </c>
      <c r="L30" s="79"/>
      <c r="M30" s="79"/>
      <c r="N30" s="79"/>
    </row>
    <row r="31" ht="26" spans="1:14">
      <c r="A31" s="81" t="s">
        <v>288</v>
      </c>
      <c r="B31" s="81" t="s">
        <v>77</v>
      </c>
      <c r="C31" s="81" t="s">
        <v>85</v>
      </c>
      <c r="D31" s="81" t="s">
        <v>93</v>
      </c>
      <c r="E31" s="81">
        <v>5</v>
      </c>
      <c r="F31" s="81">
        <v>3</v>
      </c>
      <c r="G31" s="81">
        <v>2</v>
      </c>
      <c r="H31" s="81">
        <v>9</v>
      </c>
      <c r="I31" s="81" t="s">
        <v>884</v>
      </c>
      <c r="J31" s="81" t="s">
        <v>243</v>
      </c>
      <c r="K31" s="81" t="s">
        <v>990</v>
      </c>
      <c r="L31" s="79"/>
      <c r="M31" s="79"/>
      <c r="N31" s="79"/>
    </row>
    <row r="32" ht="26" spans="1:14">
      <c r="A32" s="81" t="s">
        <v>289</v>
      </c>
      <c r="B32" s="81" t="s">
        <v>77</v>
      </c>
      <c r="C32" s="81" t="s">
        <v>85</v>
      </c>
      <c r="D32" s="81" t="s">
        <v>93</v>
      </c>
      <c r="E32" s="81">
        <v>5</v>
      </c>
      <c r="F32" s="81">
        <v>3</v>
      </c>
      <c r="G32" s="81">
        <v>2</v>
      </c>
      <c r="H32" s="81">
        <v>9</v>
      </c>
      <c r="I32" s="81" t="s">
        <v>884</v>
      </c>
      <c r="J32" s="81" t="s">
        <v>243</v>
      </c>
      <c r="K32" s="81" t="s">
        <v>990</v>
      </c>
      <c r="L32" s="79"/>
      <c r="M32" s="79"/>
      <c r="N32" s="79"/>
    </row>
    <row r="33" ht="26" spans="1:14">
      <c r="A33" s="81" t="s">
        <v>290</v>
      </c>
      <c r="B33" s="81" t="s">
        <v>77</v>
      </c>
      <c r="C33" s="81" t="s">
        <v>85</v>
      </c>
      <c r="D33" s="81" t="s">
        <v>93</v>
      </c>
      <c r="E33" s="81">
        <v>5</v>
      </c>
      <c r="F33" s="81">
        <v>3</v>
      </c>
      <c r="G33" s="81">
        <v>2</v>
      </c>
      <c r="H33" s="81">
        <v>9</v>
      </c>
      <c r="I33" s="81" t="s">
        <v>884</v>
      </c>
      <c r="J33" s="81" t="s">
        <v>243</v>
      </c>
      <c r="K33" s="81" t="s">
        <v>990</v>
      </c>
      <c r="L33" s="79"/>
      <c r="M33" s="79"/>
      <c r="N33" s="79"/>
    </row>
    <row r="34" ht="26" spans="1:14">
      <c r="A34" s="81" t="s">
        <v>292</v>
      </c>
      <c r="B34" s="81" t="s">
        <v>77</v>
      </c>
      <c r="C34" s="81" t="s">
        <v>85</v>
      </c>
      <c r="D34" s="81" t="s">
        <v>93</v>
      </c>
      <c r="E34" s="81">
        <v>5</v>
      </c>
      <c r="F34" s="81">
        <v>3</v>
      </c>
      <c r="G34" s="81">
        <v>2</v>
      </c>
      <c r="H34" s="81">
        <v>9</v>
      </c>
      <c r="I34" s="81" t="s">
        <v>884</v>
      </c>
      <c r="J34" s="81" t="s">
        <v>243</v>
      </c>
      <c r="K34" s="81" t="s">
        <v>990</v>
      </c>
      <c r="L34" s="79"/>
      <c r="M34" s="79"/>
      <c r="N34" s="79"/>
    </row>
    <row r="35" ht="26" spans="1:14">
      <c r="A35" s="81" t="s">
        <v>293</v>
      </c>
      <c r="B35" s="81" t="s">
        <v>77</v>
      </c>
      <c r="C35" s="81" t="s">
        <v>85</v>
      </c>
      <c r="D35" s="81" t="s">
        <v>93</v>
      </c>
      <c r="E35" s="81">
        <v>5</v>
      </c>
      <c r="F35" s="81">
        <v>3</v>
      </c>
      <c r="G35" s="81">
        <v>2</v>
      </c>
      <c r="H35" s="81">
        <v>9</v>
      </c>
      <c r="I35" s="81" t="s">
        <v>884</v>
      </c>
      <c r="J35" s="81" t="s">
        <v>243</v>
      </c>
      <c r="K35" s="81" t="s">
        <v>990</v>
      </c>
      <c r="L35" s="79"/>
      <c r="M35" s="79"/>
      <c r="N35" s="79"/>
    </row>
    <row r="36" ht="26" spans="1:14">
      <c r="A36" s="81" t="s">
        <v>294</v>
      </c>
      <c r="B36" s="81" t="s">
        <v>77</v>
      </c>
      <c r="C36" s="81" t="s">
        <v>85</v>
      </c>
      <c r="D36" s="81" t="s">
        <v>93</v>
      </c>
      <c r="E36" s="81">
        <v>5</v>
      </c>
      <c r="F36" s="81">
        <v>3</v>
      </c>
      <c r="G36" s="81">
        <v>2</v>
      </c>
      <c r="H36" s="81">
        <v>9</v>
      </c>
      <c r="I36" s="81" t="s">
        <v>884</v>
      </c>
      <c r="J36" s="81" t="s">
        <v>243</v>
      </c>
      <c r="K36" s="81" t="s">
        <v>990</v>
      </c>
      <c r="L36" s="79"/>
      <c r="M36" s="79"/>
      <c r="N36" s="79"/>
    </row>
    <row r="37" ht="26" spans="1:14">
      <c r="A37" s="81" t="s">
        <v>295</v>
      </c>
      <c r="B37" s="81" t="s">
        <v>77</v>
      </c>
      <c r="C37" s="81" t="s">
        <v>85</v>
      </c>
      <c r="D37" s="81" t="s">
        <v>93</v>
      </c>
      <c r="E37" s="81">
        <v>5</v>
      </c>
      <c r="F37" s="81">
        <v>3</v>
      </c>
      <c r="G37" s="81">
        <v>2</v>
      </c>
      <c r="H37" s="81">
        <v>9</v>
      </c>
      <c r="I37" s="81" t="s">
        <v>884</v>
      </c>
      <c r="J37" s="81" t="s">
        <v>243</v>
      </c>
      <c r="K37" s="81" t="s">
        <v>990</v>
      </c>
      <c r="L37" s="79"/>
      <c r="M37" s="79"/>
      <c r="N37" s="79"/>
    </row>
    <row r="38" ht="26" spans="1:14">
      <c r="A38" s="81" t="s">
        <v>296</v>
      </c>
      <c r="B38" s="81" t="s">
        <v>77</v>
      </c>
      <c r="C38" s="81" t="s">
        <v>85</v>
      </c>
      <c r="D38" s="81" t="s">
        <v>93</v>
      </c>
      <c r="E38" s="81">
        <v>5</v>
      </c>
      <c r="F38" s="81">
        <v>3</v>
      </c>
      <c r="G38" s="81">
        <v>2</v>
      </c>
      <c r="H38" s="81">
        <v>9</v>
      </c>
      <c r="I38" s="81" t="s">
        <v>884</v>
      </c>
      <c r="J38" s="81" t="s">
        <v>243</v>
      </c>
      <c r="K38" s="81" t="s">
        <v>990</v>
      </c>
      <c r="L38" s="79"/>
      <c r="M38" s="79"/>
      <c r="N38" s="79"/>
    </row>
    <row r="39" ht="26" spans="1:14">
      <c r="A39" s="81" t="s">
        <v>299</v>
      </c>
      <c r="B39" s="81" t="s">
        <v>77</v>
      </c>
      <c r="C39" s="81" t="s">
        <v>85</v>
      </c>
      <c r="D39" s="81" t="s">
        <v>93</v>
      </c>
      <c r="E39" s="81">
        <v>5</v>
      </c>
      <c r="F39" s="81">
        <v>3</v>
      </c>
      <c r="G39" s="81">
        <v>2</v>
      </c>
      <c r="H39" s="81">
        <v>9</v>
      </c>
      <c r="I39" s="81" t="s">
        <v>884</v>
      </c>
      <c r="J39" s="81" t="s">
        <v>243</v>
      </c>
      <c r="K39" s="81" t="s">
        <v>990</v>
      </c>
      <c r="L39" s="79"/>
      <c r="M39" s="79"/>
      <c r="N39" s="79"/>
    </row>
    <row r="40" ht="26" spans="1:14">
      <c r="A40" s="81" t="s">
        <v>300</v>
      </c>
      <c r="B40" s="81" t="s">
        <v>77</v>
      </c>
      <c r="C40" s="81" t="s">
        <v>85</v>
      </c>
      <c r="D40" s="81" t="s">
        <v>93</v>
      </c>
      <c r="E40" s="81">
        <v>5</v>
      </c>
      <c r="F40" s="81">
        <v>3</v>
      </c>
      <c r="G40" s="81">
        <v>2</v>
      </c>
      <c r="H40" s="81">
        <v>9</v>
      </c>
      <c r="I40" s="81" t="s">
        <v>884</v>
      </c>
      <c r="J40" s="81" t="s">
        <v>243</v>
      </c>
      <c r="K40" s="81" t="s">
        <v>990</v>
      </c>
      <c r="L40" s="79"/>
      <c r="M40" s="79"/>
      <c r="N40" s="79"/>
    </row>
    <row r="41" ht="26" spans="1:14">
      <c r="A41" s="81" t="s">
        <v>301</v>
      </c>
      <c r="B41" s="81" t="s">
        <v>77</v>
      </c>
      <c r="C41" s="81" t="s">
        <v>85</v>
      </c>
      <c r="D41" s="81" t="s">
        <v>93</v>
      </c>
      <c r="E41" s="81">
        <v>5</v>
      </c>
      <c r="F41" s="81">
        <v>3</v>
      </c>
      <c r="G41" s="81">
        <v>2</v>
      </c>
      <c r="H41" s="81">
        <v>9</v>
      </c>
      <c r="I41" s="81" t="s">
        <v>884</v>
      </c>
      <c r="J41" s="81" t="s">
        <v>243</v>
      </c>
      <c r="K41" s="81" t="s">
        <v>990</v>
      </c>
      <c r="L41" s="79"/>
      <c r="M41" s="79"/>
      <c r="N41" s="79"/>
    </row>
    <row r="42" ht="26" spans="1:14">
      <c r="A42" s="81" t="s">
        <v>302</v>
      </c>
      <c r="B42" s="81" t="s">
        <v>77</v>
      </c>
      <c r="C42" s="81" t="s">
        <v>85</v>
      </c>
      <c r="D42" s="81" t="s">
        <v>93</v>
      </c>
      <c r="E42" s="81">
        <v>5</v>
      </c>
      <c r="F42" s="81">
        <v>3</v>
      </c>
      <c r="G42" s="81">
        <v>2</v>
      </c>
      <c r="H42" s="81">
        <v>9</v>
      </c>
      <c r="I42" s="81" t="s">
        <v>884</v>
      </c>
      <c r="J42" s="81" t="s">
        <v>243</v>
      </c>
      <c r="K42" s="81" t="s">
        <v>990</v>
      </c>
      <c r="L42" s="79"/>
      <c r="M42" s="79"/>
      <c r="N42" s="79"/>
    </row>
    <row r="43" ht="26" spans="1:14">
      <c r="A43" s="81" t="s">
        <v>303</v>
      </c>
      <c r="B43" s="81" t="s">
        <v>77</v>
      </c>
      <c r="C43" s="81" t="s">
        <v>85</v>
      </c>
      <c r="D43" s="81" t="s">
        <v>93</v>
      </c>
      <c r="E43" s="81">
        <v>5</v>
      </c>
      <c r="F43" s="81">
        <v>3</v>
      </c>
      <c r="G43" s="81">
        <v>2</v>
      </c>
      <c r="H43" s="81">
        <v>9</v>
      </c>
      <c r="I43" s="81" t="s">
        <v>884</v>
      </c>
      <c r="J43" s="81" t="s">
        <v>243</v>
      </c>
      <c r="K43" s="81" t="s">
        <v>990</v>
      </c>
      <c r="L43" s="79"/>
      <c r="M43" s="79"/>
      <c r="N43" s="79"/>
    </row>
    <row r="44" ht="26" spans="1:14">
      <c r="A44" s="81" t="s">
        <v>304</v>
      </c>
      <c r="B44" s="81" t="s">
        <v>77</v>
      </c>
      <c r="C44" s="81" t="s">
        <v>85</v>
      </c>
      <c r="D44" s="81" t="s">
        <v>93</v>
      </c>
      <c r="E44" s="81">
        <v>5</v>
      </c>
      <c r="F44" s="81">
        <v>3</v>
      </c>
      <c r="G44" s="81">
        <v>2</v>
      </c>
      <c r="H44" s="81">
        <v>9</v>
      </c>
      <c r="I44" s="81" t="s">
        <v>884</v>
      </c>
      <c r="J44" s="81" t="s">
        <v>243</v>
      </c>
      <c r="K44" s="81" t="s">
        <v>990</v>
      </c>
      <c r="L44" s="79"/>
      <c r="M44" s="79"/>
      <c r="N44" s="79"/>
    </row>
    <row r="45" ht="26" spans="1:14">
      <c r="A45" s="81" t="s">
        <v>306</v>
      </c>
      <c r="B45" s="81" t="s">
        <v>77</v>
      </c>
      <c r="C45" s="81" t="s">
        <v>85</v>
      </c>
      <c r="D45" s="81" t="s">
        <v>93</v>
      </c>
      <c r="E45" s="81">
        <v>5</v>
      </c>
      <c r="F45" s="81">
        <v>3</v>
      </c>
      <c r="G45" s="81">
        <v>2</v>
      </c>
      <c r="H45" s="81">
        <v>9</v>
      </c>
      <c r="I45" s="81" t="s">
        <v>884</v>
      </c>
      <c r="J45" s="81" t="s">
        <v>243</v>
      </c>
      <c r="K45" s="81" t="s">
        <v>990</v>
      </c>
      <c r="L45" s="79"/>
      <c r="M45" s="79"/>
      <c r="N45" s="79"/>
    </row>
    <row r="46" ht="26" spans="1:14">
      <c r="A46" s="81" t="s">
        <v>307</v>
      </c>
      <c r="B46" s="81" t="s">
        <v>77</v>
      </c>
      <c r="C46" s="81" t="s">
        <v>85</v>
      </c>
      <c r="D46" s="81" t="s">
        <v>93</v>
      </c>
      <c r="E46" s="81">
        <v>5</v>
      </c>
      <c r="F46" s="81">
        <v>3</v>
      </c>
      <c r="G46" s="81">
        <v>2</v>
      </c>
      <c r="H46" s="81">
        <v>9</v>
      </c>
      <c r="I46" s="81" t="s">
        <v>884</v>
      </c>
      <c r="J46" s="81" t="s">
        <v>243</v>
      </c>
      <c r="K46" s="81" t="s">
        <v>990</v>
      </c>
      <c r="L46" s="79"/>
      <c r="M46" s="79"/>
      <c r="N46" s="79"/>
    </row>
    <row r="47" ht="26" spans="1:14">
      <c r="A47" s="81" t="s">
        <v>308</v>
      </c>
      <c r="B47" s="81" t="s">
        <v>77</v>
      </c>
      <c r="C47" s="81" t="s">
        <v>85</v>
      </c>
      <c r="D47" s="81" t="s">
        <v>93</v>
      </c>
      <c r="E47" s="81">
        <v>5</v>
      </c>
      <c r="F47" s="81">
        <v>3</v>
      </c>
      <c r="G47" s="81">
        <v>2</v>
      </c>
      <c r="H47" s="81">
        <v>9</v>
      </c>
      <c r="I47" s="81" t="s">
        <v>884</v>
      </c>
      <c r="J47" s="81" t="s">
        <v>243</v>
      </c>
      <c r="K47" s="81" t="s">
        <v>990</v>
      </c>
      <c r="L47" s="79"/>
      <c r="M47" s="79"/>
      <c r="N47" s="79"/>
    </row>
    <row r="48" ht="26" spans="1:14">
      <c r="A48" s="81" t="s">
        <v>309</v>
      </c>
      <c r="B48" s="81" t="s">
        <v>77</v>
      </c>
      <c r="C48" s="81" t="s">
        <v>85</v>
      </c>
      <c r="D48" s="81" t="s">
        <v>93</v>
      </c>
      <c r="E48" s="81">
        <v>5</v>
      </c>
      <c r="F48" s="81">
        <v>3</v>
      </c>
      <c r="G48" s="81">
        <v>2</v>
      </c>
      <c r="H48" s="81">
        <v>9</v>
      </c>
      <c r="I48" s="81" t="s">
        <v>884</v>
      </c>
      <c r="J48" s="81" t="s">
        <v>243</v>
      </c>
      <c r="K48" s="81" t="s">
        <v>990</v>
      </c>
      <c r="L48" s="79"/>
      <c r="M48" s="79"/>
      <c r="N48" s="79"/>
    </row>
    <row r="49" ht="26" spans="1:14">
      <c r="A49" s="81" t="s">
        <v>310</v>
      </c>
      <c r="B49" s="81" t="s">
        <v>77</v>
      </c>
      <c r="C49" s="81" t="s">
        <v>85</v>
      </c>
      <c r="D49" s="81" t="s">
        <v>93</v>
      </c>
      <c r="E49" s="81">
        <v>5</v>
      </c>
      <c r="F49" s="81">
        <v>3</v>
      </c>
      <c r="G49" s="81">
        <v>2</v>
      </c>
      <c r="H49" s="81">
        <v>9</v>
      </c>
      <c r="I49" s="81" t="s">
        <v>884</v>
      </c>
      <c r="J49" s="81" t="s">
        <v>243</v>
      </c>
      <c r="K49" s="81" t="s">
        <v>990</v>
      </c>
      <c r="L49" s="79"/>
      <c r="M49" s="79"/>
      <c r="N49" s="79"/>
    </row>
    <row r="50" ht="26" spans="1:14">
      <c r="A50" s="81" t="s">
        <v>311</v>
      </c>
      <c r="B50" s="81" t="s">
        <v>77</v>
      </c>
      <c r="C50" s="81" t="s">
        <v>85</v>
      </c>
      <c r="D50" s="81" t="s">
        <v>93</v>
      </c>
      <c r="E50" s="81">
        <v>5</v>
      </c>
      <c r="F50" s="81">
        <v>3</v>
      </c>
      <c r="G50" s="81">
        <v>2</v>
      </c>
      <c r="H50" s="81">
        <v>9</v>
      </c>
      <c r="I50" s="81" t="s">
        <v>884</v>
      </c>
      <c r="J50" s="81" t="s">
        <v>243</v>
      </c>
      <c r="K50" s="81" t="s">
        <v>990</v>
      </c>
      <c r="L50" s="79"/>
      <c r="M50" s="79"/>
      <c r="N50" s="79"/>
    </row>
    <row r="51" ht="26" spans="1:14">
      <c r="A51" s="81" t="s">
        <v>313</v>
      </c>
      <c r="B51" s="81" t="s">
        <v>77</v>
      </c>
      <c r="C51" s="81" t="s">
        <v>85</v>
      </c>
      <c r="D51" s="81" t="s">
        <v>93</v>
      </c>
      <c r="E51" s="81">
        <v>5</v>
      </c>
      <c r="F51" s="81">
        <v>3</v>
      </c>
      <c r="G51" s="81">
        <v>2</v>
      </c>
      <c r="H51" s="81">
        <v>9</v>
      </c>
      <c r="I51" s="81" t="s">
        <v>884</v>
      </c>
      <c r="J51" s="81" t="s">
        <v>243</v>
      </c>
      <c r="K51" s="81" t="s">
        <v>990</v>
      </c>
      <c r="L51" s="79"/>
      <c r="M51" s="79"/>
      <c r="N51" s="79"/>
    </row>
    <row r="52" ht="26" spans="1:14">
      <c r="A52" s="81" t="s">
        <v>314</v>
      </c>
      <c r="B52" s="81" t="s">
        <v>77</v>
      </c>
      <c r="C52" s="81" t="s">
        <v>85</v>
      </c>
      <c r="D52" s="81" t="s">
        <v>93</v>
      </c>
      <c r="E52" s="81">
        <v>5</v>
      </c>
      <c r="F52" s="81">
        <v>3</v>
      </c>
      <c r="G52" s="81">
        <v>2</v>
      </c>
      <c r="H52" s="81">
        <v>9</v>
      </c>
      <c r="I52" s="81" t="s">
        <v>884</v>
      </c>
      <c r="J52" s="81" t="s">
        <v>243</v>
      </c>
      <c r="K52" s="81" t="s">
        <v>990</v>
      </c>
      <c r="L52" s="79"/>
      <c r="M52" s="79"/>
      <c r="N52" s="79"/>
    </row>
    <row r="53" ht="26" spans="1:14">
      <c r="A53" s="81" t="s">
        <v>315</v>
      </c>
      <c r="B53" s="81" t="s">
        <v>77</v>
      </c>
      <c r="C53" s="81" t="s">
        <v>85</v>
      </c>
      <c r="D53" s="81" t="s">
        <v>93</v>
      </c>
      <c r="E53" s="81">
        <v>5</v>
      </c>
      <c r="F53" s="81">
        <v>3</v>
      </c>
      <c r="G53" s="81">
        <v>2</v>
      </c>
      <c r="H53" s="81">
        <v>9</v>
      </c>
      <c r="I53" s="81" t="s">
        <v>884</v>
      </c>
      <c r="J53" s="81" t="s">
        <v>243</v>
      </c>
      <c r="K53" s="81" t="s">
        <v>990</v>
      </c>
      <c r="L53" s="79"/>
      <c r="M53" s="79"/>
      <c r="N53" s="79"/>
    </row>
    <row r="54" ht="26" spans="1:14">
      <c r="A54" s="81" t="s">
        <v>316</v>
      </c>
      <c r="B54" s="81" t="s">
        <v>77</v>
      </c>
      <c r="C54" s="81" t="s">
        <v>85</v>
      </c>
      <c r="D54" s="81" t="s">
        <v>93</v>
      </c>
      <c r="E54" s="81">
        <v>5</v>
      </c>
      <c r="F54" s="81">
        <v>3</v>
      </c>
      <c r="G54" s="81">
        <v>2</v>
      </c>
      <c r="H54" s="81">
        <v>9</v>
      </c>
      <c r="I54" s="81" t="s">
        <v>884</v>
      </c>
      <c r="J54" s="81" t="s">
        <v>243</v>
      </c>
      <c r="K54" s="81" t="s">
        <v>990</v>
      </c>
      <c r="L54" s="79"/>
      <c r="M54" s="79"/>
      <c r="N54" s="79"/>
    </row>
    <row r="55" ht="26" spans="1:14">
      <c r="A55" s="81" t="s">
        <v>317</v>
      </c>
      <c r="B55" s="81" t="s">
        <v>77</v>
      </c>
      <c r="C55" s="81" t="s">
        <v>85</v>
      </c>
      <c r="D55" s="81" t="s">
        <v>93</v>
      </c>
      <c r="E55" s="81">
        <v>5</v>
      </c>
      <c r="F55" s="81">
        <v>3</v>
      </c>
      <c r="G55" s="81">
        <v>2</v>
      </c>
      <c r="H55" s="81">
        <v>9</v>
      </c>
      <c r="I55" s="81" t="s">
        <v>884</v>
      </c>
      <c r="J55" s="81" t="s">
        <v>243</v>
      </c>
      <c r="K55" s="81" t="s">
        <v>990</v>
      </c>
      <c r="L55" s="79"/>
      <c r="M55" s="79"/>
      <c r="N55" s="79"/>
    </row>
    <row r="56" ht="26" spans="1:14">
      <c r="A56" s="81" t="s">
        <v>320</v>
      </c>
      <c r="B56" s="81" t="s">
        <v>77</v>
      </c>
      <c r="C56" s="81" t="s">
        <v>85</v>
      </c>
      <c r="D56" s="81" t="s">
        <v>93</v>
      </c>
      <c r="E56" s="81">
        <v>5</v>
      </c>
      <c r="F56" s="81">
        <v>3</v>
      </c>
      <c r="G56" s="81">
        <v>2</v>
      </c>
      <c r="H56" s="81">
        <v>9</v>
      </c>
      <c r="I56" s="81" t="s">
        <v>884</v>
      </c>
      <c r="J56" s="81" t="s">
        <v>243</v>
      </c>
      <c r="K56" s="81" t="s">
        <v>990</v>
      </c>
      <c r="L56" s="79"/>
      <c r="M56" s="79"/>
      <c r="N56" s="79"/>
    </row>
    <row r="57" ht="26" spans="1:14">
      <c r="A57" s="81" t="s">
        <v>321</v>
      </c>
      <c r="B57" s="81" t="s">
        <v>77</v>
      </c>
      <c r="C57" s="81" t="s">
        <v>85</v>
      </c>
      <c r="D57" s="81" t="s">
        <v>93</v>
      </c>
      <c r="E57" s="81">
        <v>5</v>
      </c>
      <c r="F57" s="81">
        <v>3</v>
      </c>
      <c r="G57" s="81">
        <v>2</v>
      </c>
      <c r="H57" s="81">
        <v>9</v>
      </c>
      <c r="I57" s="81" t="s">
        <v>884</v>
      </c>
      <c r="J57" s="81" t="s">
        <v>243</v>
      </c>
      <c r="K57" s="81" t="s">
        <v>990</v>
      </c>
      <c r="L57" s="79"/>
      <c r="M57" s="79"/>
      <c r="N57" s="79"/>
    </row>
    <row r="58" ht="26" spans="1:14">
      <c r="A58" s="81" t="s">
        <v>322</v>
      </c>
      <c r="B58" s="81" t="s">
        <v>77</v>
      </c>
      <c r="C58" s="81" t="s">
        <v>85</v>
      </c>
      <c r="D58" s="81" t="s">
        <v>93</v>
      </c>
      <c r="E58" s="81">
        <v>5</v>
      </c>
      <c r="F58" s="81">
        <v>3</v>
      </c>
      <c r="G58" s="81">
        <v>2</v>
      </c>
      <c r="H58" s="81">
        <v>9</v>
      </c>
      <c r="I58" s="81" t="s">
        <v>884</v>
      </c>
      <c r="J58" s="81" t="s">
        <v>243</v>
      </c>
      <c r="K58" s="81" t="s">
        <v>990</v>
      </c>
      <c r="L58" s="79"/>
      <c r="M58" s="79"/>
      <c r="N58" s="79"/>
    </row>
    <row r="59" ht="26" spans="1:14">
      <c r="A59" s="81" t="s">
        <v>323</v>
      </c>
      <c r="B59" s="81" t="s">
        <v>77</v>
      </c>
      <c r="C59" s="81" t="s">
        <v>85</v>
      </c>
      <c r="D59" s="81" t="s">
        <v>93</v>
      </c>
      <c r="E59" s="81">
        <v>5</v>
      </c>
      <c r="F59" s="81">
        <v>3</v>
      </c>
      <c r="G59" s="81">
        <v>2</v>
      </c>
      <c r="H59" s="81">
        <v>9</v>
      </c>
      <c r="I59" s="81" t="s">
        <v>884</v>
      </c>
      <c r="J59" s="81" t="s">
        <v>243</v>
      </c>
      <c r="K59" s="81" t="s">
        <v>990</v>
      </c>
      <c r="L59" s="79"/>
      <c r="M59" s="79"/>
      <c r="N59" s="79"/>
    </row>
    <row r="60" ht="26" spans="1:14">
      <c r="A60" s="81" t="s">
        <v>324</v>
      </c>
      <c r="B60" s="81" t="s">
        <v>77</v>
      </c>
      <c r="C60" s="81" t="s">
        <v>85</v>
      </c>
      <c r="D60" s="81" t="s">
        <v>93</v>
      </c>
      <c r="E60" s="81">
        <v>5</v>
      </c>
      <c r="F60" s="81">
        <v>3</v>
      </c>
      <c r="G60" s="81">
        <v>2</v>
      </c>
      <c r="H60" s="81">
        <v>9</v>
      </c>
      <c r="I60" s="81" t="s">
        <v>884</v>
      </c>
      <c r="J60" s="81" t="s">
        <v>243</v>
      </c>
      <c r="K60" s="81" t="s">
        <v>990</v>
      </c>
      <c r="L60" s="79"/>
      <c r="M60" s="79"/>
      <c r="N60" s="79"/>
    </row>
    <row r="61" ht="26" spans="1:14">
      <c r="A61" s="81" t="s">
        <v>326</v>
      </c>
      <c r="B61" s="81" t="s">
        <v>77</v>
      </c>
      <c r="C61" s="81" t="s">
        <v>85</v>
      </c>
      <c r="D61" s="81" t="s">
        <v>93</v>
      </c>
      <c r="E61" s="81">
        <v>5</v>
      </c>
      <c r="F61" s="81">
        <v>3</v>
      </c>
      <c r="G61" s="81">
        <v>2</v>
      </c>
      <c r="H61" s="81">
        <v>9</v>
      </c>
      <c r="I61" s="81" t="s">
        <v>884</v>
      </c>
      <c r="J61" s="81" t="s">
        <v>243</v>
      </c>
      <c r="K61" s="81" t="s">
        <v>990</v>
      </c>
      <c r="L61" s="79"/>
      <c r="M61" s="79"/>
      <c r="N61" s="79"/>
    </row>
    <row r="62" ht="26" spans="1:14">
      <c r="A62" s="81" t="s">
        <v>327</v>
      </c>
      <c r="B62" s="81" t="s">
        <v>77</v>
      </c>
      <c r="C62" s="81" t="s">
        <v>85</v>
      </c>
      <c r="D62" s="81" t="s">
        <v>93</v>
      </c>
      <c r="E62" s="81">
        <v>5</v>
      </c>
      <c r="F62" s="81">
        <v>3</v>
      </c>
      <c r="G62" s="81">
        <v>2</v>
      </c>
      <c r="H62" s="81">
        <v>9</v>
      </c>
      <c r="I62" s="81" t="s">
        <v>884</v>
      </c>
      <c r="J62" s="81" t="s">
        <v>243</v>
      </c>
      <c r="K62" s="81" t="s">
        <v>990</v>
      </c>
      <c r="L62" s="79"/>
      <c r="M62" s="79"/>
      <c r="N62" s="79"/>
    </row>
    <row r="63" ht="26" spans="1:14">
      <c r="A63" s="81" t="s">
        <v>328</v>
      </c>
      <c r="B63" s="81" t="s">
        <v>77</v>
      </c>
      <c r="C63" s="81" t="s">
        <v>85</v>
      </c>
      <c r="D63" s="81" t="s">
        <v>93</v>
      </c>
      <c r="E63" s="81">
        <v>5</v>
      </c>
      <c r="F63" s="81">
        <v>3</v>
      </c>
      <c r="G63" s="81">
        <v>2</v>
      </c>
      <c r="H63" s="81">
        <v>9</v>
      </c>
      <c r="I63" s="81" t="s">
        <v>884</v>
      </c>
      <c r="J63" s="81" t="s">
        <v>243</v>
      </c>
      <c r="K63" s="81" t="s">
        <v>990</v>
      </c>
      <c r="L63" s="79"/>
      <c r="M63" s="79"/>
      <c r="N63" s="79"/>
    </row>
    <row r="64" ht="26" spans="1:14">
      <c r="A64" s="81" t="s">
        <v>329</v>
      </c>
      <c r="B64" s="81" t="s">
        <v>77</v>
      </c>
      <c r="C64" s="81" t="s">
        <v>85</v>
      </c>
      <c r="D64" s="81" t="s">
        <v>93</v>
      </c>
      <c r="E64" s="81">
        <v>5</v>
      </c>
      <c r="F64" s="81">
        <v>3</v>
      </c>
      <c r="G64" s="81">
        <v>2</v>
      </c>
      <c r="H64" s="81">
        <v>9</v>
      </c>
      <c r="I64" s="81" t="s">
        <v>884</v>
      </c>
      <c r="J64" s="81" t="s">
        <v>243</v>
      </c>
      <c r="K64" s="81" t="s">
        <v>990</v>
      </c>
      <c r="L64" s="79"/>
      <c r="M64" s="79"/>
      <c r="N64" s="79"/>
    </row>
    <row r="65" ht="26" spans="1:14">
      <c r="A65" s="81" t="s">
        <v>330</v>
      </c>
      <c r="B65" s="81" t="s">
        <v>77</v>
      </c>
      <c r="C65" s="81" t="s">
        <v>85</v>
      </c>
      <c r="D65" s="81" t="s">
        <v>93</v>
      </c>
      <c r="E65" s="81">
        <v>5</v>
      </c>
      <c r="F65" s="81">
        <v>3</v>
      </c>
      <c r="G65" s="81">
        <v>2</v>
      </c>
      <c r="H65" s="81">
        <v>9</v>
      </c>
      <c r="I65" s="81" t="s">
        <v>884</v>
      </c>
      <c r="J65" s="81" t="s">
        <v>243</v>
      </c>
      <c r="K65" s="81" t="s">
        <v>990</v>
      </c>
      <c r="L65" s="79"/>
      <c r="M65" s="79"/>
      <c r="N65" s="79"/>
    </row>
    <row r="66" ht="26" spans="1:14">
      <c r="A66" s="81" t="s">
        <v>334</v>
      </c>
      <c r="B66" s="81" t="s">
        <v>77</v>
      </c>
      <c r="C66" s="81" t="s">
        <v>85</v>
      </c>
      <c r="D66" s="81" t="s">
        <v>335</v>
      </c>
      <c r="E66" s="81">
        <v>1</v>
      </c>
      <c r="F66" s="81">
        <v>2</v>
      </c>
      <c r="G66" s="81">
        <v>2</v>
      </c>
      <c r="H66" s="81">
        <v>6</v>
      </c>
      <c r="I66" s="81" t="s">
        <v>887</v>
      </c>
      <c r="J66" s="81" t="s">
        <v>341</v>
      </c>
      <c r="K66" s="81" t="s">
        <v>990</v>
      </c>
      <c r="L66" s="79"/>
      <c r="M66" s="79"/>
      <c r="N66" s="79"/>
    </row>
    <row r="67" ht="26" spans="1:14">
      <c r="A67" s="81" t="s">
        <v>342</v>
      </c>
      <c r="B67" s="81" t="s">
        <v>77</v>
      </c>
      <c r="C67" s="81" t="s">
        <v>85</v>
      </c>
      <c r="D67" s="81" t="s">
        <v>335</v>
      </c>
      <c r="E67" s="81">
        <v>1</v>
      </c>
      <c r="F67" s="81">
        <v>2</v>
      </c>
      <c r="G67" s="81">
        <v>2</v>
      </c>
      <c r="H67" s="81">
        <v>6</v>
      </c>
      <c r="I67" s="81" t="s">
        <v>887</v>
      </c>
      <c r="J67" s="81" t="s">
        <v>341</v>
      </c>
      <c r="K67" s="81" t="s">
        <v>990</v>
      </c>
      <c r="L67" s="79"/>
      <c r="M67" s="79"/>
      <c r="N67" s="79"/>
    </row>
    <row r="68" ht="26" spans="1:14">
      <c r="A68" s="81" t="s">
        <v>343</v>
      </c>
      <c r="B68" s="81" t="s">
        <v>77</v>
      </c>
      <c r="C68" s="81" t="s">
        <v>85</v>
      </c>
      <c r="D68" s="81" t="s">
        <v>93</v>
      </c>
      <c r="E68" s="81">
        <v>5</v>
      </c>
      <c r="F68" s="81">
        <v>3</v>
      </c>
      <c r="G68" s="81">
        <v>2</v>
      </c>
      <c r="H68" s="81">
        <v>9</v>
      </c>
      <c r="I68" s="81" t="s">
        <v>884</v>
      </c>
      <c r="J68" s="81" t="s">
        <v>243</v>
      </c>
      <c r="K68" s="81" t="s">
        <v>990</v>
      </c>
      <c r="L68" s="79"/>
      <c r="M68" s="79"/>
      <c r="N68" s="79"/>
    </row>
    <row r="69" ht="26" spans="1:14">
      <c r="A69" s="81" t="s">
        <v>347</v>
      </c>
      <c r="B69" s="81" t="s">
        <v>77</v>
      </c>
      <c r="C69" s="81" t="s">
        <v>85</v>
      </c>
      <c r="D69" s="81" t="s">
        <v>93</v>
      </c>
      <c r="E69" s="81">
        <v>5</v>
      </c>
      <c r="F69" s="81">
        <v>3</v>
      </c>
      <c r="G69" s="81">
        <v>2</v>
      </c>
      <c r="H69" s="81">
        <v>9</v>
      </c>
      <c r="I69" s="81" t="s">
        <v>884</v>
      </c>
      <c r="J69" s="81" t="s">
        <v>243</v>
      </c>
      <c r="K69" s="81" t="s">
        <v>990</v>
      </c>
      <c r="L69" s="79"/>
      <c r="M69" s="79"/>
      <c r="N69" s="79"/>
    </row>
    <row r="70" ht="26" spans="1:14">
      <c r="A70" s="81" t="s">
        <v>348</v>
      </c>
      <c r="B70" s="81" t="s">
        <v>77</v>
      </c>
      <c r="C70" s="81" t="s">
        <v>85</v>
      </c>
      <c r="D70" s="81" t="s">
        <v>93</v>
      </c>
      <c r="E70" s="81">
        <v>5</v>
      </c>
      <c r="F70" s="81">
        <v>3</v>
      </c>
      <c r="G70" s="81">
        <v>2</v>
      </c>
      <c r="H70" s="81">
        <v>9</v>
      </c>
      <c r="I70" s="81" t="s">
        <v>884</v>
      </c>
      <c r="J70" s="81" t="s">
        <v>243</v>
      </c>
      <c r="K70" s="81" t="s">
        <v>990</v>
      </c>
      <c r="L70" s="79"/>
      <c r="M70" s="79"/>
      <c r="N70" s="79"/>
    </row>
    <row r="71" ht="26" spans="1:14">
      <c r="A71" s="81" t="s">
        <v>349</v>
      </c>
      <c r="B71" s="81" t="s">
        <v>77</v>
      </c>
      <c r="C71" s="81" t="s">
        <v>85</v>
      </c>
      <c r="D71" s="81" t="s">
        <v>93</v>
      </c>
      <c r="E71" s="81">
        <v>5</v>
      </c>
      <c r="F71" s="81">
        <v>3</v>
      </c>
      <c r="G71" s="81">
        <v>2</v>
      </c>
      <c r="H71" s="81">
        <v>9</v>
      </c>
      <c r="I71" s="81" t="s">
        <v>884</v>
      </c>
      <c r="J71" s="81" t="s">
        <v>243</v>
      </c>
      <c r="K71" s="81" t="s">
        <v>990</v>
      </c>
      <c r="L71" s="79"/>
      <c r="M71" s="79"/>
      <c r="N71" s="79"/>
    </row>
    <row r="72" ht="26" spans="1:14">
      <c r="A72" s="81" t="s">
        <v>350</v>
      </c>
      <c r="B72" s="81" t="s">
        <v>77</v>
      </c>
      <c r="C72" s="81" t="s">
        <v>85</v>
      </c>
      <c r="D72" s="81" t="s">
        <v>93</v>
      </c>
      <c r="E72" s="81">
        <v>5</v>
      </c>
      <c r="F72" s="81">
        <v>3</v>
      </c>
      <c r="G72" s="81">
        <v>2</v>
      </c>
      <c r="H72" s="81">
        <v>9</v>
      </c>
      <c r="I72" s="81" t="s">
        <v>884</v>
      </c>
      <c r="J72" s="81" t="s">
        <v>243</v>
      </c>
      <c r="K72" s="81" t="s">
        <v>990</v>
      </c>
      <c r="L72" s="79"/>
      <c r="M72" s="79"/>
      <c r="N72" s="79"/>
    </row>
    <row r="73" ht="26" spans="1:14">
      <c r="A73" s="81" t="s">
        <v>351</v>
      </c>
      <c r="B73" s="81" t="s">
        <v>77</v>
      </c>
      <c r="C73" s="81" t="s">
        <v>85</v>
      </c>
      <c r="D73" s="81" t="s">
        <v>352</v>
      </c>
      <c r="E73" s="81">
        <v>1</v>
      </c>
      <c r="F73" s="81">
        <v>2</v>
      </c>
      <c r="G73" s="81">
        <v>2</v>
      </c>
      <c r="H73" s="81">
        <v>6</v>
      </c>
      <c r="I73" s="81" t="s">
        <v>887</v>
      </c>
      <c r="J73" s="81" t="s">
        <v>341</v>
      </c>
      <c r="K73" s="81" t="s">
        <v>990</v>
      </c>
      <c r="L73" s="79"/>
      <c r="M73" s="79"/>
      <c r="N73" s="79"/>
    </row>
    <row r="74" ht="26" spans="1:14">
      <c r="A74" s="81" t="s">
        <v>353</v>
      </c>
      <c r="B74" s="81" t="s">
        <v>77</v>
      </c>
      <c r="C74" s="81" t="s">
        <v>85</v>
      </c>
      <c r="D74" s="81" t="s">
        <v>352</v>
      </c>
      <c r="E74" s="81">
        <v>1</v>
      </c>
      <c r="F74" s="81">
        <v>2</v>
      </c>
      <c r="G74" s="81">
        <v>2</v>
      </c>
      <c r="H74" s="81">
        <v>6</v>
      </c>
      <c r="I74" s="81" t="s">
        <v>887</v>
      </c>
      <c r="J74" s="81" t="s">
        <v>341</v>
      </c>
      <c r="K74" s="81" t="s">
        <v>990</v>
      </c>
      <c r="L74" s="79"/>
      <c r="M74" s="79"/>
      <c r="N74" s="79"/>
    </row>
    <row r="75" ht="26" spans="1:14">
      <c r="A75" s="81" t="s">
        <v>354</v>
      </c>
      <c r="B75" s="81" t="s">
        <v>77</v>
      </c>
      <c r="C75" s="81" t="s">
        <v>85</v>
      </c>
      <c r="D75" s="81" t="s">
        <v>352</v>
      </c>
      <c r="E75" s="81">
        <v>1</v>
      </c>
      <c r="F75" s="81">
        <v>2</v>
      </c>
      <c r="G75" s="81">
        <v>2</v>
      </c>
      <c r="H75" s="81">
        <v>6</v>
      </c>
      <c r="I75" s="81" t="s">
        <v>887</v>
      </c>
      <c r="J75" s="81" t="s">
        <v>341</v>
      </c>
      <c r="K75" s="81" t="s">
        <v>990</v>
      </c>
      <c r="L75" s="79"/>
      <c r="M75" s="79"/>
      <c r="N75" s="79"/>
    </row>
    <row r="76" ht="26" spans="1:14">
      <c r="A76" s="81" t="s">
        <v>355</v>
      </c>
      <c r="B76" s="81" t="s">
        <v>77</v>
      </c>
      <c r="C76" s="81" t="s">
        <v>85</v>
      </c>
      <c r="D76" s="81" t="s">
        <v>352</v>
      </c>
      <c r="E76" s="81">
        <v>1</v>
      </c>
      <c r="F76" s="81">
        <v>2</v>
      </c>
      <c r="G76" s="81">
        <v>2</v>
      </c>
      <c r="H76" s="81">
        <v>6</v>
      </c>
      <c r="I76" s="81" t="s">
        <v>887</v>
      </c>
      <c r="J76" s="81" t="s">
        <v>341</v>
      </c>
      <c r="K76" s="81" t="s">
        <v>990</v>
      </c>
      <c r="L76" s="79"/>
      <c r="M76" s="79"/>
      <c r="N76" s="79"/>
    </row>
    <row r="77" ht="26" spans="1:14">
      <c r="A77" s="81" t="s">
        <v>356</v>
      </c>
      <c r="B77" s="81" t="s">
        <v>77</v>
      </c>
      <c r="C77" s="81" t="s">
        <v>85</v>
      </c>
      <c r="D77" s="81" t="s">
        <v>352</v>
      </c>
      <c r="E77" s="81">
        <v>1</v>
      </c>
      <c r="F77" s="81">
        <v>2</v>
      </c>
      <c r="G77" s="81">
        <v>2</v>
      </c>
      <c r="H77" s="81">
        <v>6</v>
      </c>
      <c r="I77" s="81" t="s">
        <v>887</v>
      </c>
      <c r="J77" s="81" t="s">
        <v>341</v>
      </c>
      <c r="K77" s="81" t="s">
        <v>990</v>
      </c>
      <c r="L77" s="79"/>
      <c r="M77" s="79"/>
      <c r="N77" s="79"/>
    </row>
    <row r="78" ht="26" spans="1:14">
      <c r="A78" s="81" t="s">
        <v>357</v>
      </c>
      <c r="B78" s="81" t="s">
        <v>77</v>
      </c>
      <c r="C78" s="81" t="s">
        <v>85</v>
      </c>
      <c r="D78" s="81" t="s">
        <v>352</v>
      </c>
      <c r="E78" s="81">
        <v>1</v>
      </c>
      <c r="F78" s="81">
        <v>2</v>
      </c>
      <c r="G78" s="81">
        <v>2</v>
      </c>
      <c r="H78" s="81">
        <v>6</v>
      </c>
      <c r="I78" s="81" t="s">
        <v>887</v>
      </c>
      <c r="J78" s="81" t="s">
        <v>341</v>
      </c>
      <c r="K78" s="81" t="s">
        <v>990</v>
      </c>
      <c r="L78" s="79"/>
      <c r="M78" s="79"/>
      <c r="N78" s="79"/>
    </row>
    <row r="79" ht="26" spans="1:14">
      <c r="A79" s="81" t="s">
        <v>359</v>
      </c>
      <c r="B79" s="81" t="s">
        <v>77</v>
      </c>
      <c r="C79" s="81" t="s">
        <v>85</v>
      </c>
      <c r="D79" s="81" t="s">
        <v>93</v>
      </c>
      <c r="E79" s="81">
        <v>5</v>
      </c>
      <c r="F79" s="81">
        <v>3</v>
      </c>
      <c r="G79" s="81">
        <v>2</v>
      </c>
      <c r="H79" s="81">
        <v>9</v>
      </c>
      <c r="I79" s="81" t="s">
        <v>884</v>
      </c>
      <c r="J79" s="81" t="s">
        <v>243</v>
      </c>
      <c r="K79" s="81" t="s">
        <v>990</v>
      </c>
      <c r="L79" s="79"/>
      <c r="M79" s="79"/>
      <c r="N79" s="79"/>
    </row>
    <row r="80" ht="26" spans="1:14">
      <c r="A80" s="81" t="s">
        <v>361</v>
      </c>
      <c r="B80" s="81" t="s">
        <v>77</v>
      </c>
      <c r="C80" s="81" t="s">
        <v>203</v>
      </c>
      <c r="D80" s="81" t="s">
        <v>362</v>
      </c>
      <c r="E80" s="81">
        <v>2</v>
      </c>
      <c r="F80" s="81">
        <v>2</v>
      </c>
      <c r="G80" s="81">
        <v>2</v>
      </c>
      <c r="H80" s="81">
        <v>7</v>
      </c>
      <c r="I80" s="81" t="s">
        <v>892</v>
      </c>
      <c r="J80" s="81" t="s">
        <v>243</v>
      </c>
      <c r="K80" s="81" t="s">
        <v>990</v>
      </c>
      <c r="L80" s="79"/>
      <c r="M80" s="79"/>
      <c r="N80" s="79"/>
    </row>
    <row r="81" ht="26" spans="1:14">
      <c r="A81" s="81" t="s">
        <v>370</v>
      </c>
      <c r="B81" s="81" t="s">
        <v>77</v>
      </c>
      <c r="C81" s="81" t="s">
        <v>203</v>
      </c>
      <c r="D81" s="81" t="s">
        <v>362</v>
      </c>
      <c r="E81" s="81">
        <v>2</v>
      </c>
      <c r="F81" s="81">
        <v>2</v>
      </c>
      <c r="G81" s="81">
        <v>2</v>
      </c>
      <c r="H81" s="81">
        <v>7</v>
      </c>
      <c r="I81" s="81" t="s">
        <v>892</v>
      </c>
      <c r="J81" s="81" t="s">
        <v>243</v>
      </c>
      <c r="K81" s="81" t="s">
        <v>990</v>
      </c>
      <c r="L81" s="79"/>
      <c r="M81" s="79"/>
      <c r="N81" s="79"/>
    </row>
    <row r="82" ht="26" spans="1:14">
      <c r="A82" s="81" t="s">
        <v>371</v>
      </c>
      <c r="B82" s="81" t="s">
        <v>77</v>
      </c>
      <c r="C82" s="81" t="s">
        <v>203</v>
      </c>
      <c r="D82" s="81" t="s">
        <v>362</v>
      </c>
      <c r="E82" s="81">
        <v>2</v>
      </c>
      <c r="F82" s="81">
        <v>2</v>
      </c>
      <c r="G82" s="81">
        <v>2</v>
      </c>
      <c r="H82" s="81">
        <v>7</v>
      </c>
      <c r="I82" s="81" t="s">
        <v>892</v>
      </c>
      <c r="J82" s="81" t="s">
        <v>243</v>
      </c>
      <c r="K82" s="81" t="s">
        <v>990</v>
      </c>
      <c r="L82" s="79"/>
      <c r="M82" s="79"/>
      <c r="N82" s="79"/>
    </row>
    <row r="83" ht="26" spans="1:14">
      <c r="A83" s="81" t="s">
        <v>372</v>
      </c>
      <c r="B83" s="81" t="s">
        <v>77</v>
      </c>
      <c r="C83" s="81" t="s">
        <v>203</v>
      </c>
      <c r="D83" s="81" t="s">
        <v>362</v>
      </c>
      <c r="E83" s="81">
        <v>2</v>
      </c>
      <c r="F83" s="81">
        <v>2</v>
      </c>
      <c r="G83" s="81">
        <v>2</v>
      </c>
      <c r="H83" s="81">
        <v>7</v>
      </c>
      <c r="I83" s="81" t="s">
        <v>892</v>
      </c>
      <c r="J83" s="81" t="s">
        <v>243</v>
      </c>
      <c r="K83" s="81" t="s">
        <v>990</v>
      </c>
      <c r="L83" s="79"/>
      <c r="M83" s="79"/>
      <c r="N83" s="79"/>
    </row>
    <row r="84" ht="26" spans="1:14">
      <c r="A84" s="81" t="s">
        <v>373</v>
      </c>
      <c r="B84" s="81" t="s">
        <v>77</v>
      </c>
      <c r="C84" s="81" t="s">
        <v>85</v>
      </c>
      <c r="D84" s="81" t="s">
        <v>335</v>
      </c>
      <c r="E84" s="81">
        <v>1</v>
      </c>
      <c r="F84" s="81">
        <v>2</v>
      </c>
      <c r="G84" s="81">
        <v>2</v>
      </c>
      <c r="H84" s="81">
        <v>6</v>
      </c>
      <c r="I84" s="81" t="s">
        <v>887</v>
      </c>
      <c r="J84" s="81" t="s">
        <v>341</v>
      </c>
      <c r="K84" s="81" t="s">
        <v>990</v>
      </c>
      <c r="L84" s="79"/>
      <c r="M84" s="79"/>
      <c r="N84" s="79"/>
    </row>
    <row r="85" ht="26" spans="1:14">
      <c r="A85" s="81" t="s">
        <v>374</v>
      </c>
      <c r="B85" s="81" t="s">
        <v>77</v>
      </c>
      <c r="C85" s="81" t="s">
        <v>85</v>
      </c>
      <c r="D85" s="81" t="s">
        <v>352</v>
      </c>
      <c r="E85" s="81">
        <v>1</v>
      </c>
      <c r="F85" s="81">
        <v>2</v>
      </c>
      <c r="G85" s="81">
        <v>2</v>
      </c>
      <c r="H85" s="81">
        <v>6</v>
      </c>
      <c r="I85" s="81" t="s">
        <v>887</v>
      </c>
      <c r="J85" s="81" t="s">
        <v>341</v>
      </c>
      <c r="K85" s="81" t="s">
        <v>990</v>
      </c>
      <c r="L85" s="79"/>
      <c r="M85" s="79"/>
      <c r="N85" s="79"/>
    </row>
    <row r="86" ht="26" spans="1:14">
      <c r="A86" s="81" t="s">
        <v>376</v>
      </c>
      <c r="B86" s="81" t="s">
        <v>77</v>
      </c>
      <c r="C86" s="81" t="s">
        <v>85</v>
      </c>
      <c r="D86" s="81" t="s">
        <v>352</v>
      </c>
      <c r="E86" s="81">
        <v>1</v>
      </c>
      <c r="F86" s="81">
        <v>2</v>
      </c>
      <c r="G86" s="81">
        <v>2</v>
      </c>
      <c r="H86" s="81">
        <v>6</v>
      </c>
      <c r="I86" s="81" t="s">
        <v>887</v>
      </c>
      <c r="J86" s="81" t="s">
        <v>341</v>
      </c>
      <c r="K86" s="81" t="s">
        <v>990</v>
      </c>
      <c r="L86" s="79"/>
      <c r="M86" s="79"/>
      <c r="N86" s="79"/>
    </row>
    <row r="87" ht="26" spans="1:14">
      <c r="A87" s="81" t="s">
        <v>377</v>
      </c>
      <c r="B87" s="81" t="s">
        <v>77</v>
      </c>
      <c r="C87" s="81" t="s">
        <v>85</v>
      </c>
      <c r="D87" s="81" t="s">
        <v>352</v>
      </c>
      <c r="E87" s="81">
        <v>1</v>
      </c>
      <c r="F87" s="81">
        <v>2</v>
      </c>
      <c r="G87" s="81">
        <v>2</v>
      </c>
      <c r="H87" s="81">
        <v>6</v>
      </c>
      <c r="I87" s="81" t="s">
        <v>887</v>
      </c>
      <c r="J87" s="81" t="s">
        <v>341</v>
      </c>
      <c r="K87" s="81" t="s">
        <v>990</v>
      </c>
      <c r="L87" s="79"/>
      <c r="M87" s="79"/>
      <c r="N87" s="79"/>
    </row>
    <row r="88" ht="26" spans="1:14">
      <c r="A88" s="81" t="s">
        <v>378</v>
      </c>
      <c r="B88" s="81" t="s">
        <v>77</v>
      </c>
      <c r="C88" s="81" t="s">
        <v>85</v>
      </c>
      <c r="D88" s="81" t="s">
        <v>352</v>
      </c>
      <c r="E88" s="81">
        <v>1</v>
      </c>
      <c r="F88" s="81">
        <v>2</v>
      </c>
      <c r="G88" s="81">
        <v>2</v>
      </c>
      <c r="H88" s="81">
        <v>6</v>
      </c>
      <c r="I88" s="81" t="s">
        <v>887</v>
      </c>
      <c r="J88" s="81" t="s">
        <v>341</v>
      </c>
      <c r="K88" s="81" t="s">
        <v>990</v>
      </c>
      <c r="L88" s="79"/>
      <c r="M88" s="79"/>
      <c r="N88" s="79"/>
    </row>
    <row r="89" ht="26" spans="1:14">
      <c r="A89" s="81" t="s">
        <v>379</v>
      </c>
      <c r="B89" s="81" t="s">
        <v>77</v>
      </c>
      <c r="C89" s="81" t="s">
        <v>85</v>
      </c>
      <c r="D89" s="81" t="s">
        <v>352</v>
      </c>
      <c r="E89" s="81">
        <v>1</v>
      </c>
      <c r="F89" s="81">
        <v>2</v>
      </c>
      <c r="G89" s="81">
        <v>2</v>
      </c>
      <c r="H89" s="81">
        <v>6</v>
      </c>
      <c r="I89" s="81" t="s">
        <v>887</v>
      </c>
      <c r="J89" s="81" t="s">
        <v>341</v>
      </c>
      <c r="K89" s="81" t="s">
        <v>990</v>
      </c>
      <c r="L89" s="79"/>
      <c r="M89" s="79"/>
      <c r="N89" s="79"/>
    </row>
    <row r="90" ht="26" spans="1:14">
      <c r="A90" s="81" t="s">
        <v>380</v>
      </c>
      <c r="B90" s="81" t="s">
        <v>77</v>
      </c>
      <c r="C90" s="81" t="s">
        <v>85</v>
      </c>
      <c r="D90" s="81" t="s">
        <v>352</v>
      </c>
      <c r="E90" s="81">
        <v>1</v>
      </c>
      <c r="F90" s="81">
        <v>2</v>
      </c>
      <c r="G90" s="81">
        <v>2</v>
      </c>
      <c r="H90" s="81">
        <v>6</v>
      </c>
      <c r="I90" s="81" t="s">
        <v>887</v>
      </c>
      <c r="J90" s="81" t="s">
        <v>341</v>
      </c>
      <c r="K90" s="81" t="s">
        <v>990</v>
      </c>
      <c r="L90" s="79"/>
      <c r="M90" s="79"/>
      <c r="N90" s="79"/>
    </row>
    <row r="91" ht="26" spans="1:14">
      <c r="A91" s="81" t="s">
        <v>381</v>
      </c>
      <c r="B91" s="81" t="s">
        <v>77</v>
      </c>
      <c r="C91" s="81" t="s">
        <v>85</v>
      </c>
      <c r="D91" s="81" t="s">
        <v>352</v>
      </c>
      <c r="E91" s="81">
        <v>1</v>
      </c>
      <c r="F91" s="81">
        <v>2</v>
      </c>
      <c r="G91" s="81">
        <v>2</v>
      </c>
      <c r="H91" s="81">
        <v>6</v>
      </c>
      <c r="I91" s="81" t="s">
        <v>887</v>
      </c>
      <c r="J91" s="81" t="s">
        <v>341</v>
      </c>
      <c r="K91" s="81" t="s">
        <v>990</v>
      </c>
      <c r="L91" s="79"/>
      <c r="M91" s="79"/>
      <c r="N91" s="79"/>
    </row>
    <row r="92" ht="26" spans="1:14">
      <c r="A92" s="81" t="s">
        <v>382</v>
      </c>
      <c r="B92" s="81" t="s">
        <v>77</v>
      </c>
      <c r="C92" s="81" t="s">
        <v>85</v>
      </c>
      <c r="D92" s="81" t="s">
        <v>352</v>
      </c>
      <c r="E92" s="81">
        <v>1</v>
      </c>
      <c r="F92" s="81">
        <v>2</v>
      </c>
      <c r="G92" s="81">
        <v>2</v>
      </c>
      <c r="H92" s="81">
        <v>6</v>
      </c>
      <c r="I92" s="81" t="s">
        <v>887</v>
      </c>
      <c r="J92" s="81" t="s">
        <v>341</v>
      </c>
      <c r="K92" s="81" t="s">
        <v>990</v>
      </c>
      <c r="L92" s="79"/>
      <c r="M92" s="79"/>
      <c r="N92" s="79"/>
    </row>
    <row r="93" ht="26" spans="1:14">
      <c r="A93" s="81" t="s">
        <v>383</v>
      </c>
      <c r="B93" s="81" t="s">
        <v>77</v>
      </c>
      <c r="C93" s="81" t="s">
        <v>85</v>
      </c>
      <c r="D93" s="81" t="s">
        <v>352</v>
      </c>
      <c r="E93" s="81">
        <v>1</v>
      </c>
      <c r="F93" s="81">
        <v>2</v>
      </c>
      <c r="G93" s="81">
        <v>2</v>
      </c>
      <c r="H93" s="81">
        <v>6</v>
      </c>
      <c r="I93" s="81" t="s">
        <v>887</v>
      </c>
      <c r="J93" s="81" t="s">
        <v>341</v>
      </c>
      <c r="K93" s="81" t="s">
        <v>990</v>
      </c>
      <c r="L93" s="79"/>
      <c r="M93" s="79"/>
      <c r="N93" s="79"/>
    </row>
    <row r="94" ht="26" spans="1:14">
      <c r="A94" s="81" t="s">
        <v>384</v>
      </c>
      <c r="B94" s="81" t="s">
        <v>77</v>
      </c>
      <c r="C94" s="81" t="s">
        <v>85</v>
      </c>
      <c r="D94" s="81" t="s">
        <v>352</v>
      </c>
      <c r="E94" s="81">
        <v>1</v>
      </c>
      <c r="F94" s="81">
        <v>2</v>
      </c>
      <c r="G94" s="81">
        <v>2</v>
      </c>
      <c r="H94" s="81">
        <v>6</v>
      </c>
      <c r="I94" s="81" t="s">
        <v>887</v>
      </c>
      <c r="J94" s="81" t="s">
        <v>341</v>
      </c>
      <c r="K94" s="81" t="s">
        <v>990</v>
      </c>
      <c r="L94" s="79"/>
      <c r="M94" s="79"/>
      <c r="N94" s="79"/>
    </row>
    <row r="95" ht="26" spans="1:14">
      <c r="A95" s="81" t="s">
        <v>385</v>
      </c>
      <c r="B95" s="81" t="s">
        <v>77</v>
      </c>
      <c r="C95" s="81" t="s">
        <v>85</v>
      </c>
      <c r="D95" s="81" t="s">
        <v>352</v>
      </c>
      <c r="E95" s="81">
        <v>1</v>
      </c>
      <c r="F95" s="81">
        <v>2</v>
      </c>
      <c r="G95" s="81">
        <v>2</v>
      </c>
      <c r="H95" s="81">
        <v>6</v>
      </c>
      <c r="I95" s="81" t="s">
        <v>887</v>
      </c>
      <c r="J95" s="81" t="s">
        <v>341</v>
      </c>
      <c r="K95" s="81" t="s">
        <v>990</v>
      </c>
      <c r="L95" s="79"/>
      <c r="M95" s="79"/>
      <c r="N95" s="79"/>
    </row>
    <row r="96" ht="26" spans="1:14">
      <c r="A96" s="81" t="s">
        <v>386</v>
      </c>
      <c r="B96" s="81" t="s">
        <v>77</v>
      </c>
      <c r="C96" s="81" t="s">
        <v>85</v>
      </c>
      <c r="D96" s="81" t="s">
        <v>352</v>
      </c>
      <c r="E96" s="81">
        <v>1</v>
      </c>
      <c r="F96" s="81">
        <v>2</v>
      </c>
      <c r="G96" s="81">
        <v>2</v>
      </c>
      <c r="H96" s="81">
        <v>6</v>
      </c>
      <c r="I96" s="81" t="s">
        <v>887</v>
      </c>
      <c r="J96" s="81" t="s">
        <v>341</v>
      </c>
      <c r="K96" s="81" t="s">
        <v>990</v>
      </c>
      <c r="L96" s="79"/>
      <c r="M96" s="79"/>
      <c r="N96" s="79"/>
    </row>
    <row r="97" ht="26" spans="1:14">
      <c r="A97" s="81" t="s">
        <v>387</v>
      </c>
      <c r="B97" s="81" t="s">
        <v>77</v>
      </c>
      <c r="C97" s="81" t="s">
        <v>85</v>
      </c>
      <c r="D97" s="81" t="s">
        <v>352</v>
      </c>
      <c r="E97" s="81">
        <v>1</v>
      </c>
      <c r="F97" s="81">
        <v>2</v>
      </c>
      <c r="G97" s="81">
        <v>2</v>
      </c>
      <c r="H97" s="81">
        <v>6</v>
      </c>
      <c r="I97" s="81" t="s">
        <v>887</v>
      </c>
      <c r="J97" s="81" t="s">
        <v>341</v>
      </c>
      <c r="K97" s="81" t="s">
        <v>990</v>
      </c>
      <c r="L97" s="79"/>
      <c r="M97" s="79"/>
      <c r="N97" s="79"/>
    </row>
    <row r="98" ht="26" spans="1:14">
      <c r="A98" s="81" t="s">
        <v>389</v>
      </c>
      <c r="B98" s="81" t="s">
        <v>77</v>
      </c>
      <c r="C98" s="81" t="s">
        <v>85</v>
      </c>
      <c r="D98" s="81" t="s">
        <v>93</v>
      </c>
      <c r="E98" s="81">
        <v>5</v>
      </c>
      <c r="F98" s="81">
        <v>3</v>
      </c>
      <c r="G98" s="81">
        <v>2</v>
      </c>
      <c r="H98" s="81">
        <v>9</v>
      </c>
      <c r="I98" s="81" t="s">
        <v>884</v>
      </c>
      <c r="J98" s="81" t="s">
        <v>243</v>
      </c>
      <c r="K98" s="81" t="s">
        <v>990</v>
      </c>
      <c r="L98" s="79"/>
      <c r="M98" s="79"/>
      <c r="N98" s="79"/>
    </row>
    <row r="99" ht="26" spans="1:14">
      <c r="A99" s="81" t="s">
        <v>391</v>
      </c>
      <c r="B99" s="81" t="s">
        <v>77</v>
      </c>
      <c r="C99" s="81" t="s">
        <v>203</v>
      </c>
      <c r="D99" s="81" t="s">
        <v>392</v>
      </c>
      <c r="E99" s="81">
        <v>1</v>
      </c>
      <c r="F99" s="81">
        <v>2</v>
      </c>
      <c r="G99" s="81">
        <v>2</v>
      </c>
      <c r="H99" s="81">
        <v>6</v>
      </c>
      <c r="I99" s="81" t="s">
        <v>887</v>
      </c>
      <c r="J99" s="81" t="s">
        <v>341</v>
      </c>
      <c r="K99" s="81" t="s">
        <v>990</v>
      </c>
      <c r="L99" s="79"/>
      <c r="M99" s="79"/>
      <c r="N99" s="79"/>
    </row>
    <row r="100" ht="26" spans="1:14">
      <c r="A100" s="81" t="s">
        <v>396</v>
      </c>
      <c r="B100" s="81" t="s">
        <v>77</v>
      </c>
      <c r="C100" s="81" t="s">
        <v>203</v>
      </c>
      <c r="D100" s="81" t="s">
        <v>392</v>
      </c>
      <c r="E100" s="81">
        <v>1</v>
      </c>
      <c r="F100" s="81">
        <v>2</v>
      </c>
      <c r="G100" s="81">
        <v>2</v>
      </c>
      <c r="H100" s="81">
        <v>6</v>
      </c>
      <c r="I100" s="81" t="s">
        <v>887</v>
      </c>
      <c r="J100" s="81" t="s">
        <v>341</v>
      </c>
      <c r="K100" s="81" t="s">
        <v>990</v>
      </c>
      <c r="L100" s="79"/>
      <c r="M100" s="79"/>
      <c r="N100" s="79"/>
    </row>
    <row r="101" ht="26" spans="1:14">
      <c r="A101" s="81" t="s">
        <v>397</v>
      </c>
      <c r="B101" s="81" t="s">
        <v>77</v>
      </c>
      <c r="C101" s="81" t="s">
        <v>203</v>
      </c>
      <c r="D101" s="81" t="s">
        <v>392</v>
      </c>
      <c r="E101" s="81">
        <v>1</v>
      </c>
      <c r="F101" s="81">
        <v>2</v>
      </c>
      <c r="G101" s="81">
        <v>2</v>
      </c>
      <c r="H101" s="81">
        <v>6</v>
      </c>
      <c r="I101" s="81" t="s">
        <v>887</v>
      </c>
      <c r="J101" s="81" t="s">
        <v>341</v>
      </c>
      <c r="K101" s="81" t="s">
        <v>990</v>
      </c>
      <c r="L101" s="79"/>
      <c r="M101" s="79"/>
      <c r="N101" s="79"/>
    </row>
    <row r="102" ht="26" spans="1:14">
      <c r="A102" s="81" t="s">
        <v>398</v>
      </c>
      <c r="B102" s="81" t="s">
        <v>77</v>
      </c>
      <c r="C102" s="81" t="s">
        <v>201</v>
      </c>
      <c r="D102" s="81" t="s">
        <v>400</v>
      </c>
      <c r="E102" s="81">
        <v>4</v>
      </c>
      <c r="F102" s="81">
        <v>3</v>
      </c>
      <c r="G102" s="81">
        <v>2</v>
      </c>
      <c r="H102" s="81">
        <v>8</v>
      </c>
      <c r="I102" s="81" t="s">
        <v>884</v>
      </c>
      <c r="J102" s="81" t="s">
        <v>243</v>
      </c>
      <c r="K102" s="81" t="s">
        <v>990</v>
      </c>
      <c r="L102" s="79"/>
      <c r="M102" s="79"/>
      <c r="N102" s="79"/>
    </row>
    <row r="103" ht="26" spans="1:14">
      <c r="A103" s="81" t="s">
        <v>404</v>
      </c>
      <c r="B103" s="81" t="s">
        <v>77</v>
      </c>
      <c r="C103" s="81" t="s">
        <v>85</v>
      </c>
      <c r="D103" s="81" t="s">
        <v>93</v>
      </c>
      <c r="E103" s="81">
        <v>5</v>
      </c>
      <c r="F103" s="81">
        <v>3</v>
      </c>
      <c r="G103" s="81">
        <v>2</v>
      </c>
      <c r="H103" s="81">
        <v>9</v>
      </c>
      <c r="I103" s="81" t="s">
        <v>884</v>
      </c>
      <c r="J103" s="81" t="s">
        <v>243</v>
      </c>
      <c r="K103" s="81" t="s">
        <v>990</v>
      </c>
      <c r="L103" s="79"/>
      <c r="M103" s="79"/>
      <c r="N103" s="79"/>
    </row>
    <row r="104" ht="26" spans="1:14">
      <c r="A104" s="81" t="s">
        <v>407</v>
      </c>
      <c r="B104" s="81" t="s">
        <v>77</v>
      </c>
      <c r="C104" s="81" t="s">
        <v>85</v>
      </c>
      <c r="D104" s="81" t="s">
        <v>93</v>
      </c>
      <c r="E104" s="81">
        <v>5</v>
      </c>
      <c r="F104" s="81">
        <v>3</v>
      </c>
      <c r="G104" s="81">
        <v>2</v>
      </c>
      <c r="H104" s="81">
        <v>9</v>
      </c>
      <c r="I104" s="81" t="s">
        <v>884</v>
      </c>
      <c r="J104" s="81" t="s">
        <v>243</v>
      </c>
      <c r="K104" s="81" t="s">
        <v>990</v>
      </c>
      <c r="L104" s="79"/>
      <c r="M104" s="79"/>
      <c r="N104" s="79"/>
    </row>
    <row r="105" ht="26" spans="1:14">
      <c r="A105" s="81" t="s">
        <v>408</v>
      </c>
      <c r="B105" s="81" t="s">
        <v>77</v>
      </c>
      <c r="C105" s="81" t="s">
        <v>85</v>
      </c>
      <c r="D105" s="81" t="s">
        <v>93</v>
      </c>
      <c r="E105" s="81">
        <v>5</v>
      </c>
      <c r="F105" s="81">
        <v>3</v>
      </c>
      <c r="G105" s="81">
        <v>2</v>
      </c>
      <c r="H105" s="81">
        <v>9</v>
      </c>
      <c r="I105" s="81" t="s">
        <v>884</v>
      </c>
      <c r="J105" s="81" t="s">
        <v>243</v>
      </c>
      <c r="K105" s="81" t="s">
        <v>990</v>
      </c>
      <c r="L105" s="79"/>
      <c r="M105" s="79"/>
      <c r="N105" s="79"/>
    </row>
    <row r="106" ht="26" spans="1:14">
      <c r="A106" s="81" t="s">
        <v>410</v>
      </c>
      <c r="B106" s="81" t="s">
        <v>77</v>
      </c>
      <c r="C106" s="81" t="s">
        <v>85</v>
      </c>
      <c r="D106" s="81" t="s">
        <v>411</v>
      </c>
      <c r="E106" s="81">
        <v>1</v>
      </c>
      <c r="F106" s="81">
        <v>2</v>
      </c>
      <c r="G106" s="81">
        <v>2</v>
      </c>
      <c r="H106" s="81">
        <v>6</v>
      </c>
      <c r="I106" s="81" t="s">
        <v>887</v>
      </c>
      <c r="J106" s="81" t="s">
        <v>341</v>
      </c>
      <c r="K106" s="81" t="s">
        <v>990</v>
      </c>
      <c r="L106" s="79"/>
      <c r="M106" s="79"/>
      <c r="N106" s="79"/>
    </row>
    <row r="107" ht="26" spans="1:14">
      <c r="A107" s="81" t="s">
        <v>416</v>
      </c>
      <c r="B107" s="81" t="s">
        <v>77</v>
      </c>
      <c r="C107" s="81" t="s">
        <v>85</v>
      </c>
      <c r="D107" s="81" t="s">
        <v>411</v>
      </c>
      <c r="E107" s="81">
        <v>1</v>
      </c>
      <c r="F107" s="81">
        <v>2</v>
      </c>
      <c r="G107" s="81">
        <v>2</v>
      </c>
      <c r="H107" s="81">
        <v>6</v>
      </c>
      <c r="I107" s="81" t="s">
        <v>887</v>
      </c>
      <c r="J107" s="81" t="s">
        <v>341</v>
      </c>
      <c r="K107" s="81" t="s">
        <v>990</v>
      </c>
      <c r="L107" s="79"/>
      <c r="M107" s="79"/>
      <c r="N107" s="79"/>
    </row>
    <row r="108" ht="26" spans="1:14">
      <c r="A108" s="81" t="s">
        <v>418</v>
      </c>
      <c r="B108" s="81" t="s">
        <v>77</v>
      </c>
      <c r="C108" s="81" t="s">
        <v>85</v>
      </c>
      <c r="D108" s="81" t="s">
        <v>411</v>
      </c>
      <c r="E108" s="81">
        <v>1</v>
      </c>
      <c r="F108" s="81">
        <v>2</v>
      </c>
      <c r="G108" s="81">
        <v>2</v>
      </c>
      <c r="H108" s="81">
        <v>6</v>
      </c>
      <c r="I108" s="81" t="s">
        <v>887</v>
      </c>
      <c r="J108" s="81" t="s">
        <v>341</v>
      </c>
      <c r="K108" s="81" t="s">
        <v>990</v>
      </c>
      <c r="L108" s="79"/>
      <c r="M108" s="79"/>
      <c r="N108" s="79"/>
    </row>
    <row r="109" ht="26" spans="1:14">
      <c r="A109" s="81" t="s">
        <v>420</v>
      </c>
      <c r="B109" s="81" t="s">
        <v>77</v>
      </c>
      <c r="C109" s="81" t="s">
        <v>201</v>
      </c>
      <c r="D109" s="81" t="s">
        <v>421</v>
      </c>
      <c r="E109" s="81">
        <v>4</v>
      </c>
      <c r="F109" s="81">
        <v>3</v>
      </c>
      <c r="G109" s="81">
        <v>2</v>
      </c>
      <c r="H109" s="81">
        <v>8</v>
      </c>
      <c r="I109" s="81" t="s">
        <v>884</v>
      </c>
      <c r="J109" s="81" t="s">
        <v>243</v>
      </c>
      <c r="K109" s="81" t="s">
        <v>990</v>
      </c>
      <c r="L109" s="79"/>
      <c r="M109" s="79"/>
      <c r="N109" s="79"/>
    </row>
    <row r="110" ht="26" spans="1:14">
      <c r="A110" s="81" t="s">
        <v>424</v>
      </c>
      <c r="B110" s="81" t="s">
        <v>77</v>
      </c>
      <c r="C110" s="81" t="s">
        <v>203</v>
      </c>
      <c r="D110" s="81" t="s">
        <v>362</v>
      </c>
      <c r="E110" s="81">
        <v>2</v>
      </c>
      <c r="F110" s="81">
        <v>2</v>
      </c>
      <c r="G110" s="81">
        <v>2</v>
      </c>
      <c r="H110" s="81">
        <v>7</v>
      </c>
      <c r="I110" s="81" t="s">
        <v>892</v>
      </c>
      <c r="J110" s="81" t="s">
        <v>243</v>
      </c>
      <c r="K110" s="81" t="s">
        <v>990</v>
      </c>
      <c r="L110" s="79"/>
      <c r="M110" s="79"/>
      <c r="N110" s="79"/>
    </row>
    <row r="111" ht="26" spans="1:14">
      <c r="A111" s="81" t="s">
        <v>426</v>
      </c>
      <c r="B111" s="81" t="s">
        <v>77</v>
      </c>
      <c r="C111" s="81" t="s">
        <v>201</v>
      </c>
      <c r="D111" s="81" t="s">
        <v>421</v>
      </c>
      <c r="E111" s="81">
        <v>4</v>
      </c>
      <c r="F111" s="81">
        <v>3</v>
      </c>
      <c r="G111" s="81">
        <v>2</v>
      </c>
      <c r="H111" s="81">
        <v>8</v>
      </c>
      <c r="I111" s="81" t="s">
        <v>884</v>
      </c>
      <c r="J111" s="81" t="s">
        <v>243</v>
      </c>
      <c r="K111" s="81" t="s">
        <v>990</v>
      </c>
      <c r="L111" s="79"/>
      <c r="M111" s="79"/>
      <c r="N111" s="79"/>
    </row>
    <row r="112" ht="26" spans="1:14">
      <c r="A112" s="81" t="s">
        <v>427</v>
      </c>
      <c r="B112" s="81" t="s">
        <v>77</v>
      </c>
      <c r="C112" s="81" t="s">
        <v>201</v>
      </c>
      <c r="D112" s="81" t="s">
        <v>421</v>
      </c>
      <c r="E112" s="81">
        <v>4</v>
      </c>
      <c r="F112" s="81">
        <v>3</v>
      </c>
      <c r="G112" s="81">
        <v>2</v>
      </c>
      <c r="H112" s="81">
        <v>8</v>
      </c>
      <c r="I112" s="81" t="s">
        <v>884</v>
      </c>
      <c r="J112" s="81" t="s">
        <v>243</v>
      </c>
      <c r="K112" s="81" t="s">
        <v>990</v>
      </c>
      <c r="L112" s="79"/>
      <c r="M112" s="79"/>
      <c r="N112" s="79"/>
    </row>
    <row r="113" ht="26" spans="1:14">
      <c r="A113" s="81" t="s">
        <v>429</v>
      </c>
      <c r="B113" s="81" t="s">
        <v>77</v>
      </c>
      <c r="C113" s="81" t="s">
        <v>201</v>
      </c>
      <c r="D113" s="81" t="s">
        <v>400</v>
      </c>
      <c r="E113" s="81">
        <v>4</v>
      </c>
      <c r="F113" s="81">
        <v>3</v>
      </c>
      <c r="G113" s="81">
        <v>2</v>
      </c>
      <c r="H113" s="81">
        <v>8</v>
      </c>
      <c r="I113" s="81" t="s">
        <v>884</v>
      </c>
      <c r="J113" s="81" t="s">
        <v>243</v>
      </c>
      <c r="K113" s="81" t="s">
        <v>990</v>
      </c>
      <c r="L113" s="79"/>
      <c r="M113" s="79"/>
      <c r="N113" s="79"/>
    </row>
    <row r="114" ht="26" spans="1:14">
      <c r="A114" s="81" t="s">
        <v>432</v>
      </c>
      <c r="B114" s="81" t="s">
        <v>77</v>
      </c>
      <c r="C114" s="81" t="s">
        <v>201</v>
      </c>
      <c r="D114" s="81" t="s">
        <v>400</v>
      </c>
      <c r="E114" s="81">
        <v>4</v>
      </c>
      <c r="F114" s="81">
        <v>3</v>
      </c>
      <c r="G114" s="81">
        <v>2</v>
      </c>
      <c r="H114" s="81">
        <v>8</v>
      </c>
      <c r="I114" s="81" t="s">
        <v>884</v>
      </c>
      <c r="J114" s="81" t="s">
        <v>243</v>
      </c>
      <c r="K114" s="81" t="s">
        <v>990</v>
      </c>
      <c r="L114" s="79"/>
      <c r="M114" s="79"/>
      <c r="N114" s="79"/>
    </row>
    <row r="115" ht="26" spans="1:14">
      <c r="A115" s="81" t="s">
        <v>433</v>
      </c>
      <c r="B115" s="81" t="s">
        <v>77</v>
      </c>
      <c r="C115" s="81" t="s">
        <v>201</v>
      </c>
      <c r="D115" s="81" t="s">
        <v>400</v>
      </c>
      <c r="E115" s="81">
        <v>4</v>
      </c>
      <c r="F115" s="81">
        <v>3</v>
      </c>
      <c r="G115" s="81">
        <v>2</v>
      </c>
      <c r="H115" s="81">
        <v>8</v>
      </c>
      <c r="I115" s="81" t="s">
        <v>884</v>
      </c>
      <c r="J115" s="81" t="s">
        <v>243</v>
      </c>
      <c r="K115" s="81" t="s">
        <v>990</v>
      </c>
      <c r="L115" s="79"/>
      <c r="M115" s="79"/>
      <c r="N115" s="79"/>
    </row>
    <row r="116" ht="26" spans="1:14">
      <c r="A116" s="81" t="s">
        <v>434</v>
      </c>
      <c r="B116" s="81" t="s">
        <v>77</v>
      </c>
      <c r="C116" s="81" t="s">
        <v>201</v>
      </c>
      <c r="D116" s="81" t="s">
        <v>435</v>
      </c>
      <c r="E116" s="81">
        <v>4</v>
      </c>
      <c r="F116" s="81">
        <v>4</v>
      </c>
      <c r="G116" s="81">
        <v>2</v>
      </c>
      <c r="H116" s="81">
        <v>10</v>
      </c>
      <c r="I116" s="81" t="s">
        <v>884</v>
      </c>
      <c r="J116" s="81" t="s">
        <v>243</v>
      </c>
      <c r="K116" s="81" t="s">
        <v>990</v>
      </c>
      <c r="L116" s="79"/>
      <c r="M116" s="79"/>
      <c r="N116" s="79"/>
    </row>
    <row r="117" ht="26" spans="1:14">
      <c r="A117" s="81" t="s">
        <v>439</v>
      </c>
      <c r="B117" s="81" t="s">
        <v>77</v>
      </c>
      <c r="C117" s="81" t="s">
        <v>201</v>
      </c>
      <c r="D117" s="81" t="s">
        <v>435</v>
      </c>
      <c r="E117" s="81">
        <v>4</v>
      </c>
      <c r="F117" s="81">
        <v>4</v>
      </c>
      <c r="G117" s="81">
        <v>2</v>
      </c>
      <c r="H117" s="81">
        <v>10</v>
      </c>
      <c r="I117" s="81" t="s">
        <v>884</v>
      </c>
      <c r="J117" s="81" t="s">
        <v>243</v>
      </c>
      <c r="K117" s="81" t="s">
        <v>990</v>
      </c>
      <c r="L117" s="79"/>
      <c r="M117" s="79"/>
      <c r="N117" s="79"/>
    </row>
    <row r="118" ht="26" spans="1:14">
      <c r="A118" s="81" t="s">
        <v>441</v>
      </c>
      <c r="B118" s="81" t="s">
        <v>77</v>
      </c>
      <c r="C118" s="81" t="s">
        <v>201</v>
      </c>
      <c r="D118" s="81" t="s">
        <v>435</v>
      </c>
      <c r="E118" s="81">
        <v>4</v>
      </c>
      <c r="F118" s="81">
        <v>4</v>
      </c>
      <c r="G118" s="81">
        <v>2</v>
      </c>
      <c r="H118" s="81">
        <v>10</v>
      </c>
      <c r="I118" s="81" t="s">
        <v>884</v>
      </c>
      <c r="J118" s="81" t="s">
        <v>243</v>
      </c>
      <c r="K118" s="81" t="s">
        <v>990</v>
      </c>
      <c r="L118" s="79"/>
      <c r="M118" s="79"/>
      <c r="N118" s="79"/>
    </row>
    <row r="119" ht="26" spans="1:14">
      <c r="A119" s="81" t="s">
        <v>443</v>
      </c>
      <c r="B119" s="81" t="s">
        <v>77</v>
      </c>
      <c r="C119" s="81" t="s">
        <v>201</v>
      </c>
      <c r="D119" s="81" t="s">
        <v>435</v>
      </c>
      <c r="E119" s="81">
        <v>4</v>
      </c>
      <c r="F119" s="81">
        <v>4</v>
      </c>
      <c r="G119" s="81">
        <v>2</v>
      </c>
      <c r="H119" s="81">
        <v>10</v>
      </c>
      <c r="I119" s="81" t="s">
        <v>884</v>
      </c>
      <c r="J119" s="81" t="s">
        <v>243</v>
      </c>
      <c r="K119" s="81" t="s">
        <v>990</v>
      </c>
      <c r="L119" s="79"/>
      <c r="M119" s="79"/>
      <c r="N119" s="79"/>
    </row>
    <row r="120" ht="26" spans="1:14">
      <c r="A120" s="81" t="s">
        <v>444</v>
      </c>
      <c r="B120" s="81" t="s">
        <v>77</v>
      </c>
      <c r="C120" s="81" t="s">
        <v>201</v>
      </c>
      <c r="D120" s="81" t="s">
        <v>435</v>
      </c>
      <c r="E120" s="81">
        <v>4</v>
      </c>
      <c r="F120" s="81">
        <v>4</v>
      </c>
      <c r="G120" s="81">
        <v>2</v>
      </c>
      <c r="H120" s="81">
        <v>10</v>
      </c>
      <c r="I120" s="81" t="s">
        <v>884</v>
      </c>
      <c r="J120" s="81" t="s">
        <v>243</v>
      </c>
      <c r="K120" s="81" t="s">
        <v>990</v>
      </c>
      <c r="L120" s="79"/>
      <c r="M120" s="79"/>
      <c r="N120" s="79"/>
    </row>
    <row r="121" ht="26" spans="1:14">
      <c r="A121" s="81" t="s">
        <v>445</v>
      </c>
      <c r="B121" s="81" t="s">
        <v>77</v>
      </c>
      <c r="C121" s="81" t="s">
        <v>201</v>
      </c>
      <c r="D121" s="81" t="s">
        <v>435</v>
      </c>
      <c r="E121" s="81">
        <v>4</v>
      </c>
      <c r="F121" s="81">
        <v>4</v>
      </c>
      <c r="G121" s="81">
        <v>2</v>
      </c>
      <c r="H121" s="81">
        <v>10</v>
      </c>
      <c r="I121" s="81" t="s">
        <v>884</v>
      </c>
      <c r="J121" s="81" t="s">
        <v>243</v>
      </c>
      <c r="K121" s="81" t="s">
        <v>990</v>
      </c>
      <c r="L121" s="79"/>
      <c r="M121" s="79"/>
      <c r="N121" s="79"/>
    </row>
    <row r="122" ht="26" spans="1:14">
      <c r="A122" s="81" t="s">
        <v>446</v>
      </c>
      <c r="B122" s="81" t="s">
        <v>77</v>
      </c>
      <c r="C122" s="81" t="s">
        <v>201</v>
      </c>
      <c r="D122" s="81" t="s">
        <v>435</v>
      </c>
      <c r="E122" s="81">
        <v>4</v>
      </c>
      <c r="F122" s="81">
        <v>4</v>
      </c>
      <c r="G122" s="81">
        <v>2</v>
      </c>
      <c r="H122" s="81">
        <v>10</v>
      </c>
      <c r="I122" s="81" t="s">
        <v>884</v>
      </c>
      <c r="J122" s="81" t="s">
        <v>243</v>
      </c>
      <c r="K122" s="81" t="s">
        <v>990</v>
      </c>
      <c r="L122" s="79"/>
      <c r="M122" s="79"/>
      <c r="N122" s="79"/>
    </row>
    <row r="123" ht="26" spans="1:14">
      <c r="A123" s="81" t="s">
        <v>447</v>
      </c>
      <c r="B123" s="81" t="s">
        <v>77</v>
      </c>
      <c r="C123" s="81" t="s">
        <v>201</v>
      </c>
      <c r="D123" s="81" t="s">
        <v>435</v>
      </c>
      <c r="E123" s="81">
        <v>4</v>
      </c>
      <c r="F123" s="81">
        <v>4</v>
      </c>
      <c r="G123" s="81">
        <v>2</v>
      </c>
      <c r="H123" s="81">
        <v>10</v>
      </c>
      <c r="I123" s="81" t="s">
        <v>884</v>
      </c>
      <c r="J123" s="81" t="s">
        <v>243</v>
      </c>
      <c r="K123" s="81" t="s">
        <v>990</v>
      </c>
      <c r="L123" s="79"/>
      <c r="M123" s="79"/>
      <c r="N123" s="79"/>
    </row>
    <row r="124" ht="26" spans="1:14">
      <c r="A124" s="81" t="s">
        <v>448</v>
      </c>
      <c r="B124" s="81" t="s">
        <v>77</v>
      </c>
      <c r="C124" s="81" t="s">
        <v>203</v>
      </c>
      <c r="D124" s="81" t="s">
        <v>449</v>
      </c>
      <c r="E124" s="81">
        <v>2</v>
      </c>
      <c r="F124" s="81">
        <v>2</v>
      </c>
      <c r="G124" s="81">
        <v>2</v>
      </c>
      <c r="H124" s="81">
        <v>7</v>
      </c>
      <c r="I124" s="81" t="s">
        <v>892</v>
      </c>
      <c r="J124" s="81" t="s">
        <v>243</v>
      </c>
      <c r="K124" s="81" t="s">
        <v>990</v>
      </c>
      <c r="L124" s="79"/>
      <c r="M124" s="79"/>
      <c r="N124" s="79"/>
    </row>
    <row r="125" ht="26" spans="1:14">
      <c r="A125" s="81" t="s">
        <v>451</v>
      </c>
      <c r="B125" s="81" t="s">
        <v>77</v>
      </c>
      <c r="C125" s="81" t="s">
        <v>201</v>
      </c>
      <c r="D125" s="81" t="s">
        <v>435</v>
      </c>
      <c r="E125" s="81">
        <v>4</v>
      </c>
      <c r="F125" s="81">
        <v>3</v>
      </c>
      <c r="G125" s="81">
        <v>2</v>
      </c>
      <c r="H125" s="81">
        <v>8</v>
      </c>
      <c r="I125" s="81" t="s">
        <v>884</v>
      </c>
      <c r="J125" s="81" t="s">
        <v>243</v>
      </c>
      <c r="K125" s="81" t="s">
        <v>990</v>
      </c>
      <c r="L125" s="79"/>
      <c r="M125" s="79"/>
      <c r="N125" s="79"/>
    </row>
    <row r="126" ht="26" spans="1:14">
      <c r="A126" s="81" t="s">
        <v>452</v>
      </c>
      <c r="B126" s="81" t="s">
        <v>77</v>
      </c>
      <c r="C126" s="81" t="s">
        <v>203</v>
      </c>
      <c r="D126" s="81" t="s">
        <v>449</v>
      </c>
      <c r="E126" s="81">
        <v>2</v>
      </c>
      <c r="F126" s="81">
        <v>2</v>
      </c>
      <c r="G126" s="81">
        <v>2</v>
      </c>
      <c r="H126" s="81">
        <v>7</v>
      </c>
      <c r="I126" s="81" t="s">
        <v>892</v>
      </c>
      <c r="J126" s="81" t="s">
        <v>243</v>
      </c>
      <c r="K126" s="81" t="s">
        <v>990</v>
      </c>
      <c r="L126" s="79"/>
      <c r="M126" s="79"/>
      <c r="N126" s="79"/>
    </row>
    <row r="127" ht="26" spans="1:14">
      <c r="A127" s="81" t="s">
        <v>454</v>
      </c>
      <c r="B127" s="81" t="s">
        <v>77</v>
      </c>
      <c r="C127" s="81" t="s">
        <v>203</v>
      </c>
      <c r="D127" s="81" t="s">
        <v>449</v>
      </c>
      <c r="E127" s="81">
        <v>2</v>
      </c>
      <c r="F127" s="81">
        <v>2</v>
      </c>
      <c r="G127" s="81">
        <v>2</v>
      </c>
      <c r="H127" s="81">
        <v>7</v>
      </c>
      <c r="I127" s="81" t="s">
        <v>892</v>
      </c>
      <c r="J127" s="81" t="s">
        <v>243</v>
      </c>
      <c r="K127" s="81" t="s">
        <v>990</v>
      </c>
      <c r="L127" s="79"/>
      <c r="M127" s="79"/>
      <c r="N127" s="79"/>
    </row>
    <row r="128" ht="26" spans="1:14">
      <c r="A128" s="81" t="s">
        <v>455</v>
      </c>
      <c r="B128" s="81" t="s">
        <v>77</v>
      </c>
      <c r="C128" s="81" t="s">
        <v>201</v>
      </c>
      <c r="D128" s="81" t="s">
        <v>435</v>
      </c>
      <c r="E128" s="81">
        <v>4</v>
      </c>
      <c r="F128" s="81">
        <v>3</v>
      </c>
      <c r="G128" s="81">
        <v>2</v>
      </c>
      <c r="H128" s="81">
        <v>8</v>
      </c>
      <c r="I128" s="81" t="s">
        <v>884</v>
      </c>
      <c r="J128" s="81" t="s">
        <v>243</v>
      </c>
      <c r="K128" s="81" t="s">
        <v>990</v>
      </c>
      <c r="L128" s="79"/>
      <c r="M128" s="79"/>
      <c r="N128" s="79"/>
    </row>
    <row r="129" ht="26" spans="1:14">
      <c r="A129" s="81" t="s">
        <v>457</v>
      </c>
      <c r="B129" s="81" t="s">
        <v>77</v>
      </c>
      <c r="C129" s="81" t="s">
        <v>201</v>
      </c>
      <c r="D129" s="81" t="s">
        <v>435</v>
      </c>
      <c r="E129" s="81">
        <v>4</v>
      </c>
      <c r="F129" s="81">
        <v>4</v>
      </c>
      <c r="G129" s="81">
        <v>2</v>
      </c>
      <c r="H129" s="81">
        <v>10</v>
      </c>
      <c r="I129" s="81" t="s">
        <v>884</v>
      </c>
      <c r="J129" s="81" t="s">
        <v>243</v>
      </c>
      <c r="K129" s="81" t="s">
        <v>990</v>
      </c>
      <c r="L129" s="79"/>
      <c r="M129" s="79"/>
      <c r="N129" s="79"/>
    </row>
    <row r="130" ht="26" spans="1:14">
      <c r="A130" s="81" t="s">
        <v>458</v>
      </c>
      <c r="B130" s="81" t="s">
        <v>77</v>
      </c>
      <c r="C130" s="81" t="s">
        <v>201</v>
      </c>
      <c r="D130" s="81" t="s">
        <v>435</v>
      </c>
      <c r="E130" s="81">
        <v>4</v>
      </c>
      <c r="F130" s="81">
        <v>3</v>
      </c>
      <c r="G130" s="81">
        <v>2</v>
      </c>
      <c r="H130" s="81">
        <v>8</v>
      </c>
      <c r="I130" s="81" t="s">
        <v>884</v>
      </c>
      <c r="J130" s="81" t="s">
        <v>243</v>
      </c>
      <c r="K130" s="81" t="s">
        <v>990</v>
      </c>
      <c r="L130" s="79"/>
      <c r="M130" s="79"/>
      <c r="N130" s="79"/>
    </row>
    <row r="131" ht="26" spans="1:14">
      <c r="A131" s="81" t="s">
        <v>459</v>
      </c>
      <c r="B131" s="81" t="s">
        <v>77</v>
      </c>
      <c r="C131" s="81" t="s">
        <v>201</v>
      </c>
      <c r="D131" s="81" t="s">
        <v>435</v>
      </c>
      <c r="E131" s="81">
        <v>4</v>
      </c>
      <c r="F131" s="81">
        <v>4</v>
      </c>
      <c r="G131" s="81">
        <v>2</v>
      </c>
      <c r="H131" s="81">
        <v>10</v>
      </c>
      <c r="I131" s="81" t="s">
        <v>884</v>
      </c>
      <c r="J131" s="81" t="s">
        <v>243</v>
      </c>
      <c r="K131" s="81" t="s">
        <v>990</v>
      </c>
      <c r="L131" s="79"/>
      <c r="M131" s="79"/>
      <c r="N131" s="79"/>
    </row>
    <row r="132" ht="26" spans="1:14">
      <c r="A132" s="81" t="s">
        <v>461</v>
      </c>
      <c r="B132" s="81" t="s">
        <v>77</v>
      </c>
      <c r="C132" s="81" t="s">
        <v>201</v>
      </c>
      <c r="D132" s="81" t="s">
        <v>435</v>
      </c>
      <c r="E132" s="81">
        <v>4</v>
      </c>
      <c r="F132" s="81">
        <v>3</v>
      </c>
      <c r="G132" s="81">
        <v>2</v>
      </c>
      <c r="H132" s="81">
        <v>8</v>
      </c>
      <c r="I132" s="81" t="s">
        <v>884</v>
      </c>
      <c r="J132" s="81" t="s">
        <v>243</v>
      </c>
      <c r="K132" s="81" t="s">
        <v>990</v>
      </c>
      <c r="L132" s="79"/>
      <c r="M132" s="79"/>
      <c r="N132" s="79"/>
    </row>
    <row r="133" ht="26" spans="1:14">
      <c r="A133" s="81" t="s">
        <v>463</v>
      </c>
      <c r="B133" s="81" t="s">
        <v>77</v>
      </c>
      <c r="C133" s="81" t="s">
        <v>201</v>
      </c>
      <c r="D133" s="81" t="s">
        <v>435</v>
      </c>
      <c r="E133" s="81">
        <v>4</v>
      </c>
      <c r="F133" s="81">
        <v>3</v>
      </c>
      <c r="G133" s="81">
        <v>2</v>
      </c>
      <c r="H133" s="81">
        <v>8</v>
      </c>
      <c r="I133" s="81" t="s">
        <v>884</v>
      </c>
      <c r="J133" s="81" t="s">
        <v>243</v>
      </c>
      <c r="K133" s="81" t="s">
        <v>990</v>
      </c>
      <c r="L133" s="79"/>
      <c r="M133" s="79"/>
      <c r="N133" s="79"/>
    </row>
    <row r="134" ht="26" spans="1:14">
      <c r="A134" s="81" t="s">
        <v>464</v>
      </c>
      <c r="B134" s="81" t="s">
        <v>77</v>
      </c>
      <c r="C134" s="81" t="s">
        <v>201</v>
      </c>
      <c r="D134" s="81" t="s">
        <v>435</v>
      </c>
      <c r="E134" s="81">
        <v>4</v>
      </c>
      <c r="F134" s="81">
        <v>3</v>
      </c>
      <c r="G134" s="81">
        <v>2</v>
      </c>
      <c r="H134" s="81">
        <v>8</v>
      </c>
      <c r="I134" s="81" t="s">
        <v>884</v>
      </c>
      <c r="J134" s="81" t="s">
        <v>243</v>
      </c>
      <c r="K134" s="81" t="s">
        <v>990</v>
      </c>
      <c r="L134" s="79"/>
      <c r="M134" s="79"/>
      <c r="N134" s="79"/>
    </row>
    <row r="135" ht="26" spans="1:14">
      <c r="A135" s="81" t="s">
        <v>465</v>
      </c>
      <c r="B135" s="81" t="s">
        <v>77</v>
      </c>
      <c r="C135" s="81" t="s">
        <v>201</v>
      </c>
      <c r="D135" s="81" t="s">
        <v>435</v>
      </c>
      <c r="E135" s="81">
        <v>4</v>
      </c>
      <c r="F135" s="81">
        <v>4</v>
      </c>
      <c r="G135" s="81">
        <v>2</v>
      </c>
      <c r="H135" s="81">
        <v>10</v>
      </c>
      <c r="I135" s="81" t="s">
        <v>884</v>
      </c>
      <c r="J135" s="81" t="s">
        <v>243</v>
      </c>
      <c r="K135" s="81" t="s">
        <v>990</v>
      </c>
      <c r="L135" s="79"/>
      <c r="M135" s="79"/>
      <c r="N135" s="79"/>
    </row>
    <row r="136" ht="26" spans="1:14">
      <c r="A136" s="81" t="s">
        <v>466</v>
      </c>
      <c r="B136" s="81" t="s">
        <v>77</v>
      </c>
      <c r="C136" s="81" t="s">
        <v>201</v>
      </c>
      <c r="D136" s="81" t="s">
        <v>435</v>
      </c>
      <c r="E136" s="81">
        <v>4</v>
      </c>
      <c r="F136" s="81">
        <v>3</v>
      </c>
      <c r="G136" s="81">
        <v>2</v>
      </c>
      <c r="H136" s="81">
        <v>8</v>
      </c>
      <c r="I136" s="81" t="s">
        <v>884</v>
      </c>
      <c r="J136" s="81" t="s">
        <v>243</v>
      </c>
      <c r="K136" s="81" t="s">
        <v>990</v>
      </c>
      <c r="L136" s="79"/>
      <c r="M136" s="79"/>
      <c r="N136" s="79"/>
    </row>
    <row r="137" ht="26" spans="1:14">
      <c r="A137" s="81" t="s">
        <v>467</v>
      </c>
      <c r="B137" s="81" t="s">
        <v>77</v>
      </c>
      <c r="C137" s="81" t="s">
        <v>203</v>
      </c>
      <c r="D137" s="81" t="s">
        <v>449</v>
      </c>
      <c r="E137" s="81">
        <v>2</v>
      </c>
      <c r="F137" s="81">
        <v>2</v>
      </c>
      <c r="G137" s="81">
        <v>2</v>
      </c>
      <c r="H137" s="81">
        <v>7</v>
      </c>
      <c r="I137" s="81" t="s">
        <v>892</v>
      </c>
      <c r="J137" s="81" t="s">
        <v>243</v>
      </c>
      <c r="K137" s="81" t="s">
        <v>990</v>
      </c>
      <c r="L137" s="79"/>
      <c r="M137" s="79"/>
      <c r="N137" s="79"/>
    </row>
    <row r="138" ht="26" spans="1:14">
      <c r="A138" s="81" t="s">
        <v>468</v>
      </c>
      <c r="B138" s="81" t="s">
        <v>77</v>
      </c>
      <c r="C138" s="81" t="s">
        <v>203</v>
      </c>
      <c r="D138" s="81" t="s">
        <v>449</v>
      </c>
      <c r="E138" s="81">
        <v>2</v>
      </c>
      <c r="F138" s="81">
        <v>2</v>
      </c>
      <c r="G138" s="81">
        <v>2</v>
      </c>
      <c r="H138" s="81">
        <v>7</v>
      </c>
      <c r="I138" s="81" t="s">
        <v>892</v>
      </c>
      <c r="J138" s="81" t="s">
        <v>243</v>
      </c>
      <c r="K138" s="81" t="s">
        <v>990</v>
      </c>
      <c r="L138" s="79"/>
      <c r="M138" s="79"/>
      <c r="N138" s="79"/>
    </row>
    <row r="139" ht="26" spans="1:14">
      <c r="A139" s="81" t="s">
        <v>469</v>
      </c>
      <c r="B139" s="81" t="s">
        <v>77</v>
      </c>
      <c r="C139" s="81" t="s">
        <v>201</v>
      </c>
      <c r="D139" s="81" t="s">
        <v>435</v>
      </c>
      <c r="E139" s="81">
        <v>4</v>
      </c>
      <c r="F139" s="81">
        <v>4</v>
      </c>
      <c r="G139" s="81">
        <v>2</v>
      </c>
      <c r="H139" s="81">
        <v>10</v>
      </c>
      <c r="I139" s="81" t="s">
        <v>884</v>
      </c>
      <c r="J139" s="81" t="s">
        <v>243</v>
      </c>
      <c r="K139" s="81" t="s">
        <v>990</v>
      </c>
      <c r="L139" s="79"/>
      <c r="M139" s="79"/>
      <c r="N139" s="79"/>
    </row>
    <row r="140" ht="26" spans="1:14">
      <c r="A140" s="81" t="s">
        <v>470</v>
      </c>
      <c r="B140" s="81" t="s">
        <v>77</v>
      </c>
      <c r="C140" s="81" t="s">
        <v>201</v>
      </c>
      <c r="D140" s="81" t="s">
        <v>435</v>
      </c>
      <c r="E140" s="81">
        <v>4</v>
      </c>
      <c r="F140" s="81">
        <v>4</v>
      </c>
      <c r="G140" s="81">
        <v>2</v>
      </c>
      <c r="H140" s="81">
        <v>10</v>
      </c>
      <c r="I140" s="81" t="s">
        <v>884</v>
      </c>
      <c r="J140" s="81" t="s">
        <v>243</v>
      </c>
      <c r="K140" s="81" t="s">
        <v>990</v>
      </c>
      <c r="L140" s="79"/>
      <c r="M140" s="79"/>
      <c r="N140" s="79"/>
    </row>
    <row r="141" ht="26" spans="1:14">
      <c r="A141" s="81" t="s">
        <v>471</v>
      </c>
      <c r="B141" s="81" t="s">
        <v>77</v>
      </c>
      <c r="C141" s="81" t="s">
        <v>201</v>
      </c>
      <c r="D141" s="81" t="s">
        <v>435</v>
      </c>
      <c r="E141" s="81">
        <v>4</v>
      </c>
      <c r="F141" s="81">
        <v>3</v>
      </c>
      <c r="G141" s="81">
        <v>2</v>
      </c>
      <c r="H141" s="81">
        <v>8</v>
      </c>
      <c r="I141" s="81" t="s">
        <v>884</v>
      </c>
      <c r="J141" s="81" t="s">
        <v>243</v>
      </c>
      <c r="K141" s="81" t="s">
        <v>990</v>
      </c>
      <c r="L141" s="79"/>
      <c r="M141" s="79"/>
      <c r="N141" s="79"/>
    </row>
    <row r="142" ht="26" spans="1:14">
      <c r="A142" s="81" t="s">
        <v>472</v>
      </c>
      <c r="B142" s="81" t="s">
        <v>77</v>
      </c>
      <c r="C142" s="81" t="s">
        <v>201</v>
      </c>
      <c r="D142" s="81" t="s">
        <v>435</v>
      </c>
      <c r="E142" s="81">
        <v>4</v>
      </c>
      <c r="F142" s="81">
        <v>4</v>
      </c>
      <c r="G142" s="81">
        <v>2</v>
      </c>
      <c r="H142" s="81">
        <v>10</v>
      </c>
      <c r="I142" s="81" t="s">
        <v>884</v>
      </c>
      <c r="J142" s="81" t="s">
        <v>243</v>
      </c>
      <c r="K142" s="81" t="s">
        <v>990</v>
      </c>
      <c r="L142" s="79"/>
      <c r="M142" s="79"/>
      <c r="N142" s="79"/>
    </row>
    <row r="143" ht="26" spans="1:14">
      <c r="A143" s="81" t="s">
        <v>473</v>
      </c>
      <c r="B143" s="81" t="s">
        <v>77</v>
      </c>
      <c r="C143" s="81" t="s">
        <v>201</v>
      </c>
      <c r="D143" s="81" t="s">
        <v>435</v>
      </c>
      <c r="E143" s="81">
        <v>4</v>
      </c>
      <c r="F143" s="81">
        <v>4</v>
      </c>
      <c r="G143" s="81">
        <v>2</v>
      </c>
      <c r="H143" s="81">
        <v>10</v>
      </c>
      <c r="I143" s="81" t="s">
        <v>884</v>
      </c>
      <c r="J143" s="81" t="s">
        <v>243</v>
      </c>
      <c r="K143" s="81" t="s">
        <v>990</v>
      </c>
      <c r="L143" s="79"/>
      <c r="M143" s="79"/>
      <c r="N143" s="79"/>
    </row>
    <row r="144" ht="26" spans="1:14">
      <c r="A144" s="81" t="s">
        <v>474</v>
      </c>
      <c r="B144" s="81" t="s">
        <v>77</v>
      </c>
      <c r="C144" s="81" t="s">
        <v>201</v>
      </c>
      <c r="D144" s="81" t="s">
        <v>435</v>
      </c>
      <c r="E144" s="81">
        <v>4</v>
      </c>
      <c r="F144" s="81">
        <v>3</v>
      </c>
      <c r="G144" s="81">
        <v>2</v>
      </c>
      <c r="H144" s="81">
        <v>8</v>
      </c>
      <c r="I144" s="81" t="s">
        <v>884</v>
      </c>
      <c r="J144" s="81" t="s">
        <v>243</v>
      </c>
      <c r="K144" s="81" t="s">
        <v>990</v>
      </c>
      <c r="L144" s="79"/>
      <c r="M144" s="79"/>
      <c r="N144" s="79"/>
    </row>
    <row r="145" ht="26" spans="1:14">
      <c r="A145" s="81" t="s">
        <v>476</v>
      </c>
      <c r="B145" s="81" t="s">
        <v>77</v>
      </c>
      <c r="C145" s="81" t="s">
        <v>201</v>
      </c>
      <c r="D145" s="81" t="s">
        <v>435</v>
      </c>
      <c r="E145" s="81">
        <v>4</v>
      </c>
      <c r="F145" s="81">
        <v>3</v>
      </c>
      <c r="G145" s="81">
        <v>2</v>
      </c>
      <c r="H145" s="81">
        <v>8</v>
      </c>
      <c r="I145" s="81" t="s">
        <v>884</v>
      </c>
      <c r="J145" s="81" t="s">
        <v>243</v>
      </c>
      <c r="K145" s="81" t="s">
        <v>990</v>
      </c>
      <c r="L145" s="79"/>
      <c r="M145" s="79"/>
      <c r="N145" s="79"/>
    </row>
    <row r="146" ht="26" spans="1:14">
      <c r="A146" s="81" t="s">
        <v>477</v>
      </c>
      <c r="B146" s="81" t="s">
        <v>77</v>
      </c>
      <c r="C146" s="81" t="s">
        <v>201</v>
      </c>
      <c r="D146" s="81" t="s">
        <v>435</v>
      </c>
      <c r="E146" s="81">
        <v>4</v>
      </c>
      <c r="F146" s="81">
        <v>3</v>
      </c>
      <c r="G146" s="81">
        <v>2</v>
      </c>
      <c r="H146" s="81">
        <v>8</v>
      </c>
      <c r="I146" s="81" t="s">
        <v>884</v>
      </c>
      <c r="J146" s="81" t="s">
        <v>243</v>
      </c>
      <c r="K146" s="81" t="s">
        <v>990</v>
      </c>
      <c r="L146" s="79"/>
      <c r="M146" s="79"/>
      <c r="N146" s="79"/>
    </row>
    <row r="147" ht="26" spans="1:14">
      <c r="A147" s="81" t="s">
        <v>478</v>
      </c>
      <c r="B147" s="81" t="s">
        <v>77</v>
      </c>
      <c r="C147" s="81" t="s">
        <v>201</v>
      </c>
      <c r="D147" s="81" t="s">
        <v>435</v>
      </c>
      <c r="E147" s="81">
        <v>4</v>
      </c>
      <c r="F147" s="81">
        <v>3</v>
      </c>
      <c r="G147" s="81">
        <v>2</v>
      </c>
      <c r="H147" s="81">
        <v>8</v>
      </c>
      <c r="I147" s="81" t="s">
        <v>884</v>
      </c>
      <c r="J147" s="81" t="s">
        <v>243</v>
      </c>
      <c r="K147" s="81" t="s">
        <v>990</v>
      </c>
      <c r="L147" s="79"/>
      <c r="M147" s="79"/>
      <c r="N147" s="79"/>
    </row>
    <row r="148" ht="26" spans="1:14">
      <c r="A148" s="81" t="s">
        <v>479</v>
      </c>
      <c r="B148" s="81" t="s">
        <v>77</v>
      </c>
      <c r="C148" s="81" t="s">
        <v>201</v>
      </c>
      <c r="D148" s="81" t="s">
        <v>435</v>
      </c>
      <c r="E148" s="81">
        <v>4</v>
      </c>
      <c r="F148" s="81">
        <v>4</v>
      </c>
      <c r="G148" s="81">
        <v>2</v>
      </c>
      <c r="H148" s="81">
        <v>10</v>
      </c>
      <c r="I148" s="81" t="s">
        <v>884</v>
      </c>
      <c r="J148" s="81" t="s">
        <v>243</v>
      </c>
      <c r="K148" s="81" t="s">
        <v>990</v>
      </c>
      <c r="L148" s="79"/>
      <c r="M148" s="79"/>
      <c r="N148" s="79"/>
    </row>
    <row r="149" ht="26" spans="1:14">
      <c r="A149" s="81" t="s">
        <v>481</v>
      </c>
      <c r="B149" s="81" t="s">
        <v>77</v>
      </c>
      <c r="C149" s="81" t="s">
        <v>201</v>
      </c>
      <c r="D149" s="81" t="s">
        <v>435</v>
      </c>
      <c r="E149" s="81">
        <v>4</v>
      </c>
      <c r="F149" s="81">
        <v>4</v>
      </c>
      <c r="G149" s="81">
        <v>2</v>
      </c>
      <c r="H149" s="81">
        <v>10</v>
      </c>
      <c r="I149" s="81" t="s">
        <v>884</v>
      </c>
      <c r="J149" s="81" t="s">
        <v>243</v>
      </c>
      <c r="K149" s="81" t="s">
        <v>990</v>
      </c>
      <c r="L149" s="79"/>
      <c r="M149" s="79"/>
      <c r="N149" s="79"/>
    </row>
    <row r="150" ht="26" spans="1:14">
      <c r="A150" s="81" t="s">
        <v>482</v>
      </c>
      <c r="B150" s="81" t="s">
        <v>77</v>
      </c>
      <c r="C150" s="81" t="s">
        <v>203</v>
      </c>
      <c r="D150" s="81" t="s">
        <v>483</v>
      </c>
      <c r="E150" s="81">
        <v>2</v>
      </c>
      <c r="F150" s="81">
        <v>2</v>
      </c>
      <c r="G150" s="81">
        <v>2</v>
      </c>
      <c r="H150" s="81">
        <v>7</v>
      </c>
      <c r="I150" s="81" t="s">
        <v>892</v>
      </c>
      <c r="J150" s="81" t="s">
        <v>243</v>
      </c>
      <c r="K150" s="81" t="s">
        <v>990</v>
      </c>
      <c r="L150" s="79"/>
      <c r="M150" s="79"/>
      <c r="N150" s="79"/>
    </row>
    <row r="151" ht="26" spans="1:14">
      <c r="A151" s="81" t="s">
        <v>486</v>
      </c>
      <c r="B151" s="81" t="s">
        <v>77</v>
      </c>
      <c r="C151" s="81" t="s">
        <v>203</v>
      </c>
      <c r="D151" s="81" t="s">
        <v>483</v>
      </c>
      <c r="E151" s="81">
        <v>2</v>
      </c>
      <c r="F151" s="81">
        <v>2</v>
      </c>
      <c r="G151" s="81">
        <v>2</v>
      </c>
      <c r="H151" s="81">
        <v>7</v>
      </c>
      <c r="I151" s="81" t="s">
        <v>892</v>
      </c>
      <c r="J151" s="81" t="s">
        <v>243</v>
      </c>
      <c r="K151" s="81" t="s">
        <v>990</v>
      </c>
      <c r="L151" s="79"/>
      <c r="M151" s="79"/>
      <c r="N151" s="79"/>
    </row>
    <row r="152" ht="26" spans="1:14">
      <c r="A152" s="81" t="s">
        <v>487</v>
      </c>
      <c r="B152" s="81" t="s">
        <v>77</v>
      </c>
      <c r="C152" s="81" t="s">
        <v>201</v>
      </c>
      <c r="D152" s="81" t="s">
        <v>488</v>
      </c>
      <c r="E152" s="81">
        <v>4</v>
      </c>
      <c r="F152" s="81">
        <v>3</v>
      </c>
      <c r="G152" s="81">
        <v>2</v>
      </c>
      <c r="H152" s="81">
        <v>8</v>
      </c>
      <c r="I152" s="81" t="s">
        <v>884</v>
      </c>
      <c r="J152" s="81" t="s">
        <v>243</v>
      </c>
      <c r="K152" s="81" t="s">
        <v>990</v>
      </c>
      <c r="L152" s="79"/>
      <c r="M152" s="79"/>
      <c r="N152" s="79"/>
    </row>
    <row r="153" ht="26" spans="1:14">
      <c r="A153" s="81" t="s">
        <v>490</v>
      </c>
      <c r="B153" s="81" t="s">
        <v>77</v>
      </c>
      <c r="C153" s="81" t="s">
        <v>201</v>
      </c>
      <c r="D153" s="81" t="s">
        <v>488</v>
      </c>
      <c r="E153" s="81">
        <v>4</v>
      </c>
      <c r="F153" s="81">
        <v>3</v>
      </c>
      <c r="G153" s="81">
        <v>2</v>
      </c>
      <c r="H153" s="81">
        <v>8</v>
      </c>
      <c r="I153" s="81" t="s">
        <v>884</v>
      </c>
      <c r="J153" s="81" t="s">
        <v>243</v>
      </c>
      <c r="K153" s="81" t="s">
        <v>990</v>
      </c>
      <c r="L153" s="79"/>
      <c r="M153" s="79"/>
      <c r="N153" s="79"/>
    </row>
    <row r="154" ht="26" spans="1:14">
      <c r="A154" s="81" t="s">
        <v>491</v>
      </c>
      <c r="B154" s="81" t="s">
        <v>77</v>
      </c>
      <c r="C154" s="81" t="s">
        <v>203</v>
      </c>
      <c r="D154" s="81" t="s">
        <v>362</v>
      </c>
      <c r="E154" s="81">
        <v>2</v>
      </c>
      <c r="F154" s="81">
        <v>2</v>
      </c>
      <c r="G154" s="81">
        <v>2</v>
      </c>
      <c r="H154" s="81">
        <v>7</v>
      </c>
      <c r="I154" s="81" t="s">
        <v>892</v>
      </c>
      <c r="J154" s="81" t="s">
        <v>243</v>
      </c>
      <c r="K154" s="81" t="s">
        <v>990</v>
      </c>
      <c r="L154" s="79"/>
      <c r="M154" s="79"/>
      <c r="N154" s="79"/>
    </row>
    <row r="155" ht="26" spans="1:14">
      <c r="A155" s="81" t="s">
        <v>494</v>
      </c>
      <c r="B155" s="81" t="s">
        <v>77</v>
      </c>
      <c r="C155" s="81" t="s">
        <v>203</v>
      </c>
      <c r="D155" s="81" t="s">
        <v>362</v>
      </c>
      <c r="E155" s="81">
        <v>2</v>
      </c>
      <c r="F155" s="81">
        <v>2</v>
      </c>
      <c r="G155" s="81">
        <v>2</v>
      </c>
      <c r="H155" s="81">
        <v>7</v>
      </c>
      <c r="I155" s="81" t="s">
        <v>892</v>
      </c>
      <c r="J155" s="81" t="s">
        <v>243</v>
      </c>
      <c r="K155" s="81" t="s">
        <v>990</v>
      </c>
      <c r="L155" s="79"/>
      <c r="M155" s="79"/>
      <c r="N155" s="79"/>
    </row>
    <row r="156" ht="26" spans="1:14">
      <c r="A156" s="81" t="s">
        <v>495</v>
      </c>
      <c r="B156" s="81" t="s">
        <v>77</v>
      </c>
      <c r="C156" s="81" t="s">
        <v>85</v>
      </c>
      <c r="D156" s="81" t="s">
        <v>93</v>
      </c>
      <c r="E156" s="81">
        <v>4</v>
      </c>
      <c r="F156" s="81">
        <v>3</v>
      </c>
      <c r="G156" s="81">
        <v>2</v>
      </c>
      <c r="H156" s="81">
        <v>8</v>
      </c>
      <c r="I156" s="81" t="s">
        <v>884</v>
      </c>
      <c r="J156" s="81" t="s">
        <v>243</v>
      </c>
      <c r="K156" s="81" t="s">
        <v>990</v>
      </c>
      <c r="L156" s="79"/>
      <c r="M156" s="79"/>
      <c r="N156" s="79"/>
    </row>
    <row r="157" ht="26" spans="1:14">
      <c r="A157" s="81" t="s">
        <v>496</v>
      </c>
      <c r="B157" s="81" t="s">
        <v>77</v>
      </c>
      <c r="C157" s="81" t="s">
        <v>85</v>
      </c>
      <c r="D157" s="81" t="s">
        <v>93</v>
      </c>
      <c r="E157" s="81">
        <v>4</v>
      </c>
      <c r="F157" s="81">
        <v>3</v>
      </c>
      <c r="G157" s="81">
        <v>2</v>
      </c>
      <c r="H157" s="81">
        <v>8</v>
      </c>
      <c r="I157" s="81" t="s">
        <v>884</v>
      </c>
      <c r="J157" s="81" t="s">
        <v>243</v>
      </c>
      <c r="K157" s="81" t="s">
        <v>990</v>
      </c>
      <c r="L157" s="79"/>
      <c r="M157" s="79"/>
      <c r="N157" s="79"/>
    </row>
    <row r="158" ht="26" spans="1:14">
      <c r="A158" s="81" t="s">
        <v>498</v>
      </c>
      <c r="B158" s="81" t="s">
        <v>77</v>
      </c>
      <c r="C158" s="81" t="s">
        <v>203</v>
      </c>
      <c r="D158" s="81" t="s">
        <v>362</v>
      </c>
      <c r="E158" s="81">
        <v>2</v>
      </c>
      <c r="F158" s="81">
        <v>2</v>
      </c>
      <c r="G158" s="81">
        <v>2</v>
      </c>
      <c r="H158" s="81">
        <v>7</v>
      </c>
      <c r="I158" s="81" t="s">
        <v>892</v>
      </c>
      <c r="J158" s="81" t="s">
        <v>243</v>
      </c>
      <c r="K158" s="81" t="s">
        <v>990</v>
      </c>
      <c r="L158" s="79"/>
      <c r="M158" s="79"/>
      <c r="N158" s="79"/>
    </row>
    <row r="159" ht="26" spans="1:14">
      <c r="A159" s="81" t="s">
        <v>502</v>
      </c>
      <c r="B159" s="81" t="s">
        <v>77</v>
      </c>
      <c r="C159" s="81" t="s">
        <v>203</v>
      </c>
      <c r="D159" s="81" t="s">
        <v>362</v>
      </c>
      <c r="E159" s="81">
        <v>2</v>
      </c>
      <c r="F159" s="81">
        <v>2</v>
      </c>
      <c r="G159" s="81">
        <v>2</v>
      </c>
      <c r="H159" s="81">
        <v>7</v>
      </c>
      <c r="I159" s="81" t="s">
        <v>892</v>
      </c>
      <c r="J159" s="81" t="s">
        <v>243</v>
      </c>
      <c r="K159" s="81" t="s">
        <v>990</v>
      </c>
      <c r="L159" s="79"/>
      <c r="M159" s="79"/>
      <c r="N159" s="79"/>
    </row>
    <row r="160" ht="26" spans="1:14">
      <c r="A160" s="81" t="s">
        <v>503</v>
      </c>
      <c r="B160" s="81" t="s">
        <v>77</v>
      </c>
      <c r="C160" s="81" t="s">
        <v>203</v>
      </c>
      <c r="D160" s="81" t="s">
        <v>362</v>
      </c>
      <c r="E160" s="81">
        <v>2</v>
      </c>
      <c r="F160" s="81">
        <v>2</v>
      </c>
      <c r="G160" s="81">
        <v>2</v>
      </c>
      <c r="H160" s="81">
        <v>7</v>
      </c>
      <c r="I160" s="81" t="s">
        <v>892</v>
      </c>
      <c r="J160" s="81" t="s">
        <v>243</v>
      </c>
      <c r="K160" s="81" t="s">
        <v>990</v>
      </c>
      <c r="L160" s="79"/>
      <c r="M160" s="79"/>
      <c r="N160" s="79"/>
    </row>
    <row r="161" ht="26" spans="1:14">
      <c r="A161" s="81" t="s">
        <v>504</v>
      </c>
      <c r="B161" s="81" t="s">
        <v>77</v>
      </c>
      <c r="C161" s="81" t="s">
        <v>203</v>
      </c>
      <c r="D161" s="81" t="s">
        <v>362</v>
      </c>
      <c r="E161" s="81">
        <v>2</v>
      </c>
      <c r="F161" s="81">
        <v>2</v>
      </c>
      <c r="G161" s="81">
        <v>2</v>
      </c>
      <c r="H161" s="81">
        <v>7</v>
      </c>
      <c r="I161" s="81" t="s">
        <v>892</v>
      </c>
      <c r="J161" s="81" t="s">
        <v>243</v>
      </c>
      <c r="K161" s="81" t="s">
        <v>990</v>
      </c>
      <c r="L161" s="79"/>
      <c r="M161" s="79"/>
      <c r="N161" s="79"/>
    </row>
    <row r="162" ht="26" spans="1:14">
      <c r="A162" s="81" t="s">
        <v>505</v>
      </c>
      <c r="B162" s="81" t="s">
        <v>77</v>
      </c>
      <c r="C162" s="81" t="s">
        <v>203</v>
      </c>
      <c r="D162" s="81" t="s">
        <v>362</v>
      </c>
      <c r="E162" s="81">
        <v>2</v>
      </c>
      <c r="F162" s="81">
        <v>2</v>
      </c>
      <c r="G162" s="81">
        <v>2</v>
      </c>
      <c r="H162" s="81">
        <v>7</v>
      </c>
      <c r="I162" s="81" t="s">
        <v>892</v>
      </c>
      <c r="J162" s="81" t="s">
        <v>243</v>
      </c>
      <c r="K162" s="81" t="s">
        <v>990</v>
      </c>
      <c r="L162" s="79"/>
      <c r="M162" s="79"/>
      <c r="N162" s="79"/>
    </row>
    <row r="163" ht="26" spans="1:14">
      <c r="A163" s="81" t="s">
        <v>507</v>
      </c>
      <c r="B163" s="81" t="s">
        <v>77</v>
      </c>
      <c r="C163" s="81" t="s">
        <v>203</v>
      </c>
      <c r="D163" s="81" t="s">
        <v>362</v>
      </c>
      <c r="E163" s="81">
        <v>2</v>
      </c>
      <c r="F163" s="81">
        <v>2</v>
      </c>
      <c r="G163" s="81">
        <v>2</v>
      </c>
      <c r="H163" s="81">
        <v>7</v>
      </c>
      <c r="I163" s="81" t="s">
        <v>892</v>
      </c>
      <c r="J163" s="81" t="s">
        <v>243</v>
      </c>
      <c r="K163" s="81" t="s">
        <v>990</v>
      </c>
      <c r="L163" s="79"/>
      <c r="M163" s="79"/>
      <c r="N163" s="79"/>
    </row>
    <row r="164" ht="26" spans="1:14">
      <c r="A164" s="81" t="s">
        <v>508</v>
      </c>
      <c r="B164" s="81" t="s">
        <v>77</v>
      </c>
      <c r="C164" s="81" t="s">
        <v>203</v>
      </c>
      <c r="D164" s="81" t="s">
        <v>362</v>
      </c>
      <c r="E164" s="81">
        <v>2</v>
      </c>
      <c r="F164" s="81">
        <v>2</v>
      </c>
      <c r="G164" s="81">
        <v>2</v>
      </c>
      <c r="H164" s="81">
        <v>7</v>
      </c>
      <c r="I164" s="81" t="s">
        <v>892</v>
      </c>
      <c r="J164" s="81" t="s">
        <v>243</v>
      </c>
      <c r="K164" s="81" t="s">
        <v>990</v>
      </c>
      <c r="L164" s="79"/>
      <c r="M164" s="79"/>
      <c r="N164" s="79"/>
    </row>
    <row r="165" ht="26" spans="1:14">
      <c r="A165" s="81" t="s">
        <v>509</v>
      </c>
      <c r="B165" s="81" t="s">
        <v>77</v>
      </c>
      <c r="C165" s="81" t="s">
        <v>203</v>
      </c>
      <c r="D165" s="81" t="s">
        <v>362</v>
      </c>
      <c r="E165" s="81">
        <v>2</v>
      </c>
      <c r="F165" s="81">
        <v>2</v>
      </c>
      <c r="G165" s="81">
        <v>2</v>
      </c>
      <c r="H165" s="81">
        <v>7</v>
      </c>
      <c r="I165" s="81" t="s">
        <v>892</v>
      </c>
      <c r="J165" s="81" t="s">
        <v>243</v>
      </c>
      <c r="K165" s="81" t="s">
        <v>990</v>
      </c>
      <c r="L165" s="79"/>
      <c r="M165" s="79"/>
      <c r="N165" s="79"/>
    </row>
    <row r="166" ht="26" spans="1:14">
      <c r="A166" s="81" t="s">
        <v>510</v>
      </c>
      <c r="B166" s="81" t="s">
        <v>77</v>
      </c>
      <c r="C166" s="81" t="s">
        <v>203</v>
      </c>
      <c r="D166" s="81" t="s">
        <v>362</v>
      </c>
      <c r="E166" s="81">
        <v>2</v>
      </c>
      <c r="F166" s="81">
        <v>2</v>
      </c>
      <c r="G166" s="81">
        <v>2</v>
      </c>
      <c r="H166" s="81">
        <v>7</v>
      </c>
      <c r="I166" s="81" t="s">
        <v>892</v>
      </c>
      <c r="J166" s="81" t="s">
        <v>243</v>
      </c>
      <c r="K166" s="81" t="s">
        <v>990</v>
      </c>
      <c r="L166" s="79"/>
      <c r="M166" s="79"/>
      <c r="N166" s="79"/>
    </row>
    <row r="167" ht="26" spans="1:14">
      <c r="A167" s="81" t="s">
        <v>511</v>
      </c>
      <c r="B167" s="81" t="s">
        <v>77</v>
      </c>
      <c r="C167" s="81" t="s">
        <v>203</v>
      </c>
      <c r="D167" s="81" t="s">
        <v>362</v>
      </c>
      <c r="E167" s="81">
        <v>2</v>
      </c>
      <c r="F167" s="81">
        <v>2</v>
      </c>
      <c r="G167" s="81">
        <v>2</v>
      </c>
      <c r="H167" s="81">
        <v>7</v>
      </c>
      <c r="I167" s="81" t="s">
        <v>892</v>
      </c>
      <c r="J167" s="81" t="s">
        <v>243</v>
      </c>
      <c r="K167" s="81" t="s">
        <v>990</v>
      </c>
      <c r="L167" s="79"/>
      <c r="M167" s="79"/>
      <c r="N167" s="79"/>
    </row>
    <row r="168" ht="26" spans="1:14">
      <c r="A168" s="81" t="s">
        <v>512</v>
      </c>
      <c r="B168" s="81" t="s">
        <v>77</v>
      </c>
      <c r="C168" s="81" t="s">
        <v>203</v>
      </c>
      <c r="D168" s="81" t="s">
        <v>362</v>
      </c>
      <c r="E168" s="81">
        <v>2</v>
      </c>
      <c r="F168" s="81">
        <v>2</v>
      </c>
      <c r="G168" s="81">
        <v>2</v>
      </c>
      <c r="H168" s="81">
        <v>7</v>
      </c>
      <c r="I168" s="81" t="s">
        <v>892</v>
      </c>
      <c r="J168" s="81" t="s">
        <v>243</v>
      </c>
      <c r="K168" s="81" t="s">
        <v>990</v>
      </c>
      <c r="L168" s="79"/>
      <c r="M168" s="79"/>
      <c r="N168" s="79"/>
    </row>
    <row r="169" ht="26" spans="1:14">
      <c r="A169" s="81" t="s">
        <v>514</v>
      </c>
      <c r="B169" s="81" t="s">
        <v>77</v>
      </c>
      <c r="C169" s="81" t="s">
        <v>203</v>
      </c>
      <c r="D169" s="81" t="s">
        <v>362</v>
      </c>
      <c r="E169" s="81">
        <v>2</v>
      </c>
      <c r="F169" s="81">
        <v>2</v>
      </c>
      <c r="G169" s="81">
        <v>2</v>
      </c>
      <c r="H169" s="81">
        <v>7</v>
      </c>
      <c r="I169" s="81" t="s">
        <v>892</v>
      </c>
      <c r="J169" s="81" t="s">
        <v>243</v>
      </c>
      <c r="K169" s="81" t="s">
        <v>990</v>
      </c>
      <c r="L169" s="79"/>
      <c r="M169" s="79"/>
      <c r="N169" s="79"/>
    </row>
    <row r="170" ht="26" spans="1:14">
      <c r="A170" s="81" t="s">
        <v>515</v>
      </c>
      <c r="B170" s="81" t="s">
        <v>77</v>
      </c>
      <c r="C170" s="81" t="s">
        <v>203</v>
      </c>
      <c r="D170" s="81" t="s">
        <v>449</v>
      </c>
      <c r="E170" s="81">
        <v>2</v>
      </c>
      <c r="F170" s="81">
        <v>2</v>
      </c>
      <c r="G170" s="81">
        <v>2</v>
      </c>
      <c r="H170" s="81">
        <v>7</v>
      </c>
      <c r="I170" s="81" t="s">
        <v>892</v>
      </c>
      <c r="J170" s="81" t="s">
        <v>243</v>
      </c>
      <c r="K170" s="81" t="s">
        <v>990</v>
      </c>
      <c r="L170" s="79"/>
      <c r="M170" s="79"/>
      <c r="N170" s="79"/>
    </row>
    <row r="171" ht="26" spans="1:14">
      <c r="A171" s="81" t="s">
        <v>517</v>
      </c>
      <c r="B171" s="81" t="s">
        <v>77</v>
      </c>
      <c r="C171" s="81" t="s">
        <v>203</v>
      </c>
      <c r="D171" s="81" t="s">
        <v>362</v>
      </c>
      <c r="E171" s="81">
        <v>2</v>
      </c>
      <c r="F171" s="81">
        <v>2</v>
      </c>
      <c r="G171" s="81">
        <v>2</v>
      </c>
      <c r="H171" s="81">
        <v>7</v>
      </c>
      <c r="I171" s="81" t="s">
        <v>892</v>
      </c>
      <c r="J171" s="81" t="s">
        <v>243</v>
      </c>
      <c r="K171" s="81" t="s">
        <v>990</v>
      </c>
      <c r="L171" s="79"/>
      <c r="M171" s="79"/>
      <c r="N171" s="79"/>
    </row>
    <row r="172" ht="26" spans="1:14">
      <c r="A172" s="81" t="s">
        <v>518</v>
      </c>
      <c r="B172" s="81" t="s">
        <v>77</v>
      </c>
      <c r="C172" s="81" t="s">
        <v>203</v>
      </c>
      <c r="D172" s="81" t="s">
        <v>362</v>
      </c>
      <c r="E172" s="81">
        <v>2</v>
      </c>
      <c r="F172" s="81">
        <v>2</v>
      </c>
      <c r="G172" s="81">
        <v>2</v>
      </c>
      <c r="H172" s="81">
        <v>7</v>
      </c>
      <c r="I172" s="81" t="s">
        <v>892</v>
      </c>
      <c r="J172" s="81" t="s">
        <v>243</v>
      </c>
      <c r="K172" s="81" t="s">
        <v>990</v>
      </c>
      <c r="L172" s="79"/>
      <c r="M172" s="79"/>
      <c r="N172" s="79"/>
    </row>
    <row r="173" ht="26" spans="1:14">
      <c r="A173" s="81" t="s">
        <v>519</v>
      </c>
      <c r="B173" s="81" t="s">
        <v>77</v>
      </c>
      <c r="C173" s="81" t="s">
        <v>203</v>
      </c>
      <c r="D173" s="81" t="s">
        <v>362</v>
      </c>
      <c r="E173" s="81">
        <v>2</v>
      </c>
      <c r="F173" s="81">
        <v>2</v>
      </c>
      <c r="G173" s="81">
        <v>2</v>
      </c>
      <c r="H173" s="81">
        <v>7</v>
      </c>
      <c r="I173" s="81" t="s">
        <v>892</v>
      </c>
      <c r="J173" s="81" t="s">
        <v>243</v>
      </c>
      <c r="K173" s="81" t="s">
        <v>990</v>
      </c>
      <c r="L173" s="79"/>
      <c r="M173" s="79"/>
      <c r="N173" s="79"/>
    </row>
    <row r="174" ht="26" spans="1:14">
      <c r="A174" s="81" t="s">
        <v>520</v>
      </c>
      <c r="B174" s="81" t="s">
        <v>77</v>
      </c>
      <c r="C174" s="81" t="s">
        <v>203</v>
      </c>
      <c r="D174" s="81" t="s">
        <v>362</v>
      </c>
      <c r="E174" s="81">
        <v>2</v>
      </c>
      <c r="F174" s="81">
        <v>2</v>
      </c>
      <c r="G174" s="81">
        <v>2</v>
      </c>
      <c r="H174" s="81">
        <v>7</v>
      </c>
      <c r="I174" s="81" t="s">
        <v>892</v>
      </c>
      <c r="J174" s="81" t="s">
        <v>243</v>
      </c>
      <c r="K174" s="81" t="s">
        <v>990</v>
      </c>
      <c r="L174" s="79"/>
      <c r="M174" s="79"/>
      <c r="N174" s="79"/>
    </row>
    <row r="175" ht="26" spans="1:14">
      <c r="A175" s="81" t="s">
        <v>521</v>
      </c>
      <c r="B175" s="81" t="s">
        <v>77</v>
      </c>
      <c r="C175" s="81" t="s">
        <v>203</v>
      </c>
      <c r="D175" s="81" t="s">
        <v>362</v>
      </c>
      <c r="E175" s="81">
        <v>2</v>
      </c>
      <c r="F175" s="81">
        <v>2</v>
      </c>
      <c r="G175" s="81">
        <v>2</v>
      </c>
      <c r="H175" s="81">
        <v>7</v>
      </c>
      <c r="I175" s="81" t="s">
        <v>892</v>
      </c>
      <c r="J175" s="81" t="s">
        <v>243</v>
      </c>
      <c r="K175" s="81" t="s">
        <v>990</v>
      </c>
      <c r="L175" s="79"/>
      <c r="M175" s="79"/>
      <c r="N175" s="79"/>
    </row>
    <row r="176" ht="26" spans="1:14">
      <c r="A176" s="81" t="s">
        <v>523</v>
      </c>
      <c r="B176" s="81" t="s">
        <v>77</v>
      </c>
      <c r="C176" s="81" t="s">
        <v>203</v>
      </c>
      <c r="D176" s="81" t="s">
        <v>362</v>
      </c>
      <c r="E176" s="81">
        <v>2</v>
      </c>
      <c r="F176" s="81">
        <v>2</v>
      </c>
      <c r="G176" s="81">
        <v>2</v>
      </c>
      <c r="H176" s="81">
        <v>7</v>
      </c>
      <c r="I176" s="81" t="s">
        <v>892</v>
      </c>
      <c r="J176" s="81" t="s">
        <v>243</v>
      </c>
      <c r="K176" s="81" t="s">
        <v>990</v>
      </c>
      <c r="L176" s="79"/>
      <c r="M176" s="79"/>
      <c r="N176" s="79"/>
    </row>
    <row r="177" ht="26" spans="1:14">
      <c r="A177" s="81" t="s">
        <v>524</v>
      </c>
      <c r="B177" s="81" t="s">
        <v>77</v>
      </c>
      <c r="C177" s="81" t="s">
        <v>203</v>
      </c>
      <c r="D177" s="81" t="s">
        <v>449</v>
      </c>
      <c r="E177" s="81">
        <v>2</v>
      </c>
      <c r="F177" s="81">
        <v>2</v>
      </c>
      <c r="G177" s="81">
        <v>2</v>
      </c>
      <c r="H177" s="81">
        <v>7</v>
      </c>
      <c r="I177" s="81" t="s">
        <v>892</v>
      </c>
      <c r="J177" s="81" t="s">
        <v>243</v>
      </c>
      <c r="K177" s="81" t="s">
        <v>990</v>
      </c>
      <c r="L177" s="79"/>
      <c r="M177" s="79"/>
      <c r="N177" s="79"/>
    </row>
    <row r="178" ht="26" spans="1:14">
      <c r="A178" s="81" t="s">
        <v>525</v>
      </c>
      <c r="B178" s="81" t="s">
        <v>77</v>
      </c>
      <c r="C178" s="81" t="s">
        <v>203</v>
      </c>
      <c r="D178" s="81" t="s">
        <v>362</v>
      </c>
      <c r="E178" s="81">
        <v>2</v>
      </c>
      <c r="F178" s="81">
        <v>2</v>
      </c>
      <c r="G178" s="81">
        <v>2</v>
      </c>
      <c r="H178" s="81">
        <v>7</v>
      </c>
      <c r="I178" s="81" t="s">
        <v>892</v>
      </c>
      <c r="J178" s="81" t="s">
        <v>243</v>
      </c>
      <c r="K178" s="81" t="s">
        <v>990</v>
      </c>
      <c r="L178" s="79"/>
      <c r="M178" s="79"/>
      <c r="N178" s="79"/>
    </row>
    <row r="179" ht="26" spans="1:14">
      <c r="A179" s="81" t="s">
        <v>526</v>
      </c>
      <c r="B179" s="81" t="s">
        <v>77</v>
      </c>
      <c r="C179" s="81" t="s">
        <v>201</v>
      </c>
      <c r="D179" s="81" t="s">
        <v>435</v>
      </c>
      <c r="E179" s="81">
        <v>4</v>
      </c>
      <c r="F179" s="81">
        <v>4</v>
      </c>
      <c r="G179" s="81">
        <v>2</v>
      </c>
      <c r="H179" s="81">
        <v>10</v>
      </c>
      <c r="I179" s="81" t="s">
        <v>884</v>
      </c>
      <c r="J179" s="81" t="s">
        <v>243</v>
      </c>
      <c r="K179" s="81" t="s">
        <v>990</v>
      </c>
      <c r="L179" s="79"/>
      <c r="M179" s="79"/>
      <c r="N179" s="79"/>
    </row>
    <row r="180" ht="26" spans="1:14">
      <c r="A180" s="81" t="s">
        <v>528</v>
      </c>
      <c r="B180" s="81" t="s">
        <v>77</v>
      </c>
      <c r="C180" s="81" t="s">
        <v>201</v>
      </c>
      <c r="D180" s="81" t="s">
        <v>435</v>
      </c>
      <c r="E180" s="81">
        <v>4</v>
      </c>
      <c r="F180" s="81">
        <v>4</v>
      </c>
      <c r="G180" s="81">
        <v>2</v>
      </c>
      <c r="H180" s="81">
        <v>10</v>
      </c>
      <c r="I180" s="81" t="s">
        <v>884</v>
      </c>
      <c r="J180" s="81" t="s">
        <v>243</v>
      </c>
      <c r="K180" s="81" t="s">
        <v>990</v>
      </c>
      <c r="L180" s="79"/>
      <c r="M180" s="79"/>
      <c r="N180" s="79"/>
    </row>
    <row r="181" ht="26" spans="1:14">
      <c r="A181" s="81" t="s">
        <v>529</v>
      </c>
      <c r="B181" s="81" t="s">
        <v>77</v>
      </c>
      <c r="C181" s="81" t="s">
        <v>201</v>
      </c>
      <c r="D181" s="81" t="s">
        <v>435</v>
      </c>
      <c r="E181" s="81">
        <v>4</v>
      </c>
      <c r="F181" s="81">
        <v>4</v>
      </c>
      <c r="G181" s="81">
        <v>2</v>
      </c>
      <c r="H181" s="81">
        <v>10</v>
      </c>
      <c r="I181" s="81" t="s">
        <v>884</v>
      </c>
      <c r="J181" s="81" t="s">
        <v>243</v>
      </c>
      <c r="K181" s="81" t="s">
        <v>990</v>
      </c>
      <c r="L181" s="79"/>
      <c r="M181" s="79"/>
      <c r="N181" s="79"/>
    </row>
    <row r="182" ht="26" spans="1:14">
      <c r="A182" s="81" t="s">
        <v>530</v>
      </c>
      <c r="B182" s="81" t="s">
        <v>77</v>
      </c>
      <c r="C182" s="81" t="s">
        <v>201</v>
      </c>
      <c r="D182" s="81" t="s">
        <v>435</v>
      </c>
      <c r="E182" s="81">
        <v>4</v>
      </c>
      <c r="F182" s="81">
        <v>4</v>
      </c>
      <c r="G182" s="81">
        <v>2</v>
      </c>
      <c r="H182" s="81">
        <v>10</v>
      </c>
      <c r="I182" s="81" t="s">
        <v>884</v>
      </c>
      <c r="J182" s="81" t="s">
        <v>243</v>
      </c>
      <c r="K182" s="81" t="s">
        <v>990</v>
      </c>
      <c r="L182" s="79"/>
      <c r="M182" s="79"/>
      <c r="N182" s="79"/>
    </row>
    <row r="183" ht="26" spans="1:14">
      <c r="A183" s="81" t="s">
        <v>531</v>
      </c>
      <c r="B183" s="81" t="s">
        <v>77</v>
      </c>
      <c r="C183" s="81" t="s">
        <v>201</v>
      </c>
      <c r="D183" s="81" t="s">
        <v>435</v>
      </c>
      <c r="E183" s="81">
        <v>4</v>
      </c>
      <c r="F183" s="81">
        <v>4</v>
      </c>
      <c r="G183" s="81">
        <v>2</v>
      </c>
      <c r="H183" s="81">
        <v>10</v>
      </c>
      <c r="I183" s="81" t="s">
        <v>884</v>
      </c>
      <c r="J183" s="81" t="s">
        <v>243</v>
      </c>
      <c r="K183" s="81" t="s">
        <v>990</v>
      </c>
      <c r="L183" s="79"/>
      <c r="M183" s="79"/>
      <c r="N183" s="79"/>
    </row>
    <row r="184" ht="26" spans="1:14">
      <c r="A184" s="81" t="s">
        <v>532</v>
      </c>
      <c r="B184" s="81" t="s">
        <v>77</v>
      </c>
      <c r="C184" s="81" t="s">
        <v>201</v>
      </c>
      <c r="D184" s="81" t="s">
        <v>435</v>
      </c>
      <c r="E184" s="81">
        <v>4</v>
      </c>
      <c r="F184" s="81">
        <v>4</v>
      </c>
      <c r="G184" s="81">
        <v>2</v>
      </c>
      <c r="H184" s="81">
        <v>10</v>
      </c>
      <c r="I184" s="81" t="s">
        <v>884</v>
      </c>
      <c r="J184" s="81" t="s">
        <v>243</v>
      </c>
      <c r="K184" s="81" t="s">
        <v>990</v>
      </c>
      <c r="L184" s="79"/>
      <c r="M184" s="79"/>
      <c r="N184" s="79"/>
    </row>
    <row r="185" ht="26" spans="1:14">
      <c r="A185" s="81" t="s">
        <v>533</v>
      </c>
      <c r="B185" s="81" t="s">
        <v>77</v>
      </c>
      <c r="C185" s="81" t="s">
        <v>203</v>
      </c>
      <c r="D185" s="81" t="s">
        <v>362</v>
      </c>
      <c r="E185" s="81">
        <v>2</v>
      </c>
      <c r="F185" s="81">
        <v>2</v>
      </c>
      <c r="G185" s="81">
        <v>2</v>
      </c>
      <c r="H185" s="81">
        <v>7</v>
      </c>
      <c r="I185" s="81" t="s">
        <v>892</v>
      </c>
      <c r="J185" s="81" t="s">
        <v>243</v>
      </c>
      <c r="K185" s="81" t="s">
        <v>990</v>
      </c>
      <c r="L185" s="79"/>
      <c r="M185" s="79"/>
      <c r="N185" s="79"/>
    </row>
    <row r="186" ht="26" spans="1:14">
      <c r="A186" s="81" t="s">
        <v>534</v>
      </c>
      <c r="B186" s="81" t="s">
        <v>77</v>
      </c>
      <c r="C186" s="81" t="s">
        <v>203</v>
      </c>
      <c r="D186" s="81" t="s">
        <v>362</v>
      </c>
      <c r="E186" s="81">
        <v>2</v>
      </c>
      <c r="F186" s="81">
        <v>2</v>
      </c>
      <c r="G186" s="81">
        <v>2</v>
      </c>
      <c r="H186" s="81">
        <v>7</v>
      </c>
      <c r="I186" s="81" t="s">
        <v>892</v>
      </c>
      <c r="J186" s="81" t="s">
        <v>243</v>
      </c>
      <c r="K186" s="81" t="s">
        <v>990</v>
      </c>
      <c r="L186" s="79"/>
      <c r="M186" s="79"/>
      <c r="N186" s="79"/>
    </row>
    <row r="187" ht="26" spans="1:14">
      <c r="A187" s="81" t="s">
        <v>535</v>
      </c>
      <c r="B187" s="81" t="s">
        <v>77</v>
      </c>
      <c r="C187" s="81" t="s">
        <v>203</v>
      </c>
      <c r="D187" s="81" t="s">
        <v>362</v>
      </c>
      <c r="E187" s="81">
        <v>2</v>
      </c>
      <c r="F187" s="81">
        <v>2</v>
      </c>
      <c r="G187" s="81">
        <v>2</v>
      </c>
      <c r="H187" s="81">
        <v>7</v>
      </c>
      <c r="I187" s="81" t="s">
        <v>892</v>
      </c>
      <c r="J187" s="81" t="s">
        <v>243</v>
      </c>
      <c r="K187" s="81" t="s">
        <v>990</v>
      </c>
      <c r="L187" s="79"/>
      <c r="M187" s="79"/>
      <c r="N187" s="79"/>
    </row>
    <row r="188" ht="26" spans="1:14">
      <c r="A188" s="81" t="s">
        <v>536</v>
      </c>
      <c r="B188" s="81" t="s">
        <v>77</v>
      </c>
      <c r="C188" s="81" t="s">
        <v>203</v>
      </c>
      <c r="D188" s="81" t="s">
        <v>362</v>
      </c>
      <c r="E188" s="81">
        <v>2</v>
      </c>
      <c r="F188" s="81">
        <v>2</v>
      </c>
      <c r="G188" s="81">
        <v>2</v>
      </c>
      <c r="H188" s="81">
        <v>7</v>
      </c>
      <c r="I188" s="81" t="s">
        <v>892</v>
      </c>
      <c r="J188" s="81" t="s">
        <v>243</v>
      </c>
      <c r="K188" s="81" t="s">
        <v>990</v>
      </c>
      <c r="L188" s="79"/>
      <c r="M188" s="79"/>
      <c r="N188" s="79"/>
    </row>
    <row r="189" ht="26" spans="1:14">
      <c r="A189" s="81" t="s">
        <v>537</v>
      </c>
      <c r="B189" s="81" t="s">
        <v>77</v>
      </c>
      <c r="C189" s="81" t="s">
        <v>203</v>
      </c>
      <c r="D189" s="81" t="s">
        <v>362</v>
      </c>
      <c r="E189" s="81">
        <v>2</v>
      </c>
      <c r="F189" s="81">
        <v>2</v>
      </c>
      <c r="G189" s="81">
        <v>2</v>
      </c>
      <c r="H189" s="81">
        <v>7</v>
      </c>
      <c r="I189" s="81" t="s">
        <v>892</v>
      </c>
      <c r="J189" s="81" t="s">
        <v>243</v>
      </c>
      <c r="K189" s="81" t="s">
        <v>990</v>
      </c>
      <c r="L189" s="79"/>
      <c r="M189" s="79"/>
      <c r="N189" s="79"/>
    </row>
    <row r="190" ht="26" spans="1:14">
      <c r="A190" s="81" t="s">
        <v>538</v>
      </c>
      <c r="B190" s="81" t="s">
        <v>77</v>
      </c>
      <c r="C190" s="81" t="s">
        <v>203</v>
      </c>
      <c r="D190" s="81" t="s">
        <v>362</v>
      </c>
      <c r="E190" s="81">
        <v>2</v>
      </c>
      <c r="F190" s="81">
        <v>2</v>
      </c>
      <c r="G190" s="81">
        <v>2</v>
      </c>
      <c r="H190" s="81">
        <v>7</v>
      </c>
      <c r="I190" s="81" t="s">
        <v>892</v>
      </c>
      <c r="J190" s="81" t="s">
        <v>243</v>
      </c>
      <c r="K190" s="81" t="s">
        <v>990</v>
      </c>
      <c r="L190" s="79"/>
      <c r="M190" s="79"/>
      <c r="N190" s="79"/>
    </row>
    <row r="191" ht="26" spans="1:14">
      <c r="A191" s="81" t="s">
        <v>539</v>
      </c>
      <c r="B191" s="81" t="s">
        <v>77</v>
      </c>
      <c r="C191" s="81" t="s">
        <v>203</v>
      </c>
      <c r="D191" s="81" t="s">
        <v>362</v>
      </c>
      <c r="E191" s="81">
        <v>2</v>
      </c>
      <c r="F191" s="81">
        <v>2</v>
      </c>
      <c r="G191" s="81">
        <v>2</v>
      </c>
      <c r="H191" s="81">
        <v>7</v>
      </c>
      <c r="I191" s="81" t="s">
        <v>892</v>
      </c>
      <c r="J191" s="81" t="s">
        <v>243</v>
      </c>
      <c r="K191" s="81" t="s">
        <v>990</v>
      </c>
      <c r="L191" s="79"/>
      <c r="M191" s="79"/>
      <c r="N191" s="79"/>
    </row>
    <row r="192" ht="26" spans="1:14">
      <c r="A192" s="81" t="s">
        <v>540</v>
      </c>
      <c r="B192" s="81" t="s">
        <v>77</v>
      </c>
      <c r="C192" s="81" t="s">
        <v>203</v>
      </c>
      <c r="D192" s="81" t="s">
        <v>483</v>
      </c>
      <c r="E192" s="81">
        <v>2</v>
      </c>
      <c r="F192" s="81">
        <v>2</v>
      </c>
      <c r="G192" s="81">
        <v>2</v>
      </c>
      <c r="H192" s="81">
        <v>7</v>
      </c>
      <c r="I192" s="81" t="s">
        <v>892</v>
      </c>
      <c r="J192" s="81" t="s">
        <v>545</v>
      </c>
      <c r="K192" s="81" t="s">
        <v>990</v>
      </c>
      <c r="L192" s="79"/>
      <c r="M192" s="79"/>
      <c r="N192" s="79"/>
    </row>
    <row r="193" ht="26" spans="1:14">
      <c r="A193" s="81" t="s">
        <v>546</v>
      </c>
      <c r="B193" s="81" t="s">
        <v>77</v>
      </c>
      <c r="C193" s="81" t="s">
        <v>203</v>
      </c>
      <c r="D193" s="81" t="s">
        <v>483</v>
      </c>
      <c r="E193" s="81">
        <v>2</v>
      </c>
      <c r="F193" s="81">
        <v>2</v>
      </c>
      <c r="G193" s="81">
        <v>2</v>
      </c>
      <c r="H193" s="81">
        <v>7</v>
      </c>
      <c r="I193" s="81" t="s">
        <v>892</v>
      </c>
      <c r="J193" s="81" t="s">
        <v>243</v>
      </c>
      <c r="K193" s="81" t="s">
        <v>990</v>
      </c>
      <c r="L193" s="79"/>
      <c r="M193" s="79"/>
      <c r="N193" s="79"/>
    </row>
    <row r="194" ht="26" spans="1:14">
      <c r="A194" s="81" t="s">
        <v>547</v>
      </c>
      <c r="B194" s="81" t="s">
        <v>77</v>
      </c>
      <c r="C194" s="81" t="s">
        <v>203</v>
      </c>
      <c r="D194" s="81" t="s">
        <v>483</v>
      </c>
      <c r="E194" s="81">
        <v>2</v>
      </c>
      <c r="F194" s="81">
        <v>2</v>
      </c>
      <c r="G194" s="81">
        <v>2</v>
      </c>
      <c r="H194" s="81">
        <v>7</v>
      </c>
      <c r="I194" s="81" t="s">
        <v>892</v>
      </c>
      <c r="J194" s="81" t="s">
        <v>243</v>
      </c>
      <c r="K194" s="81" t="s">
        <v>990</v>
      </c>
      <c r="L194" s="79"/>
      <c r="M194" s="79"/>
      <c r="N194" s="79"/>
    </row>
    <row r="195" ht="26" spans="1:14">
      <c r="A195" s="81" t="s">
        <v>548</v>
      </c>
      <c r="B195" s="81" t="s">
        <v>77</v>
      </c>
      <c r="C195" s="81" t="s">
        <v>203</v>
      </c>
      <c r="D195" s="81" t="s">
        <v>483</v>
      </c>
      <c r="E195" s="81">
        <v>2</v>
      </c>
      <c r="F195" s="81">
        <v>2</v>
      </c>
      <c r="G195" s="81">
        <v>2</v>
      </c>
      <c r="H195" s="81">
        <v>7</v>
      </c>
      <c r="I195" s="81" t="s">
        <v>892</v>
      </c>
      <c r="J195" s="81" t="s">
        <v>545</v>
      </c>
      <c r="K195" s="81" t="s">
        <v>990</v>
      </c>
      <c r="L195" s="79"/>
      <c r="M195" s="79"/>
      <c r="N195" s="79"/>
    </row>
    <row r="196" ht="26" spans="1:14">
      <c r="A196" s="81" t="s">
        <v>549</v>
      </c>
      <c r="B196" s="81" t="s">
        <v>77</v>
      </c>
      <c r="C196" s="81" t="s">
        <v>203</v>
      </c>
      <c r="D196" s="81" t="s">
        <v>483</v>
      </c>
      <c r="E196" s="81">
        <v>2</v>
      </c>
      <c r="F196" s="81">
        <v>2</v>
      </c>
      <c r="G196" s="81">
        <v>2</v>
      </c>
      <c r="H196" s="81">
        <v>7</v>
      </c>
      <c r="I196" s="81" t="s">
        <v>892</v>
      </c>
      <c r="J196" s="81" t="s">
        <v>243</v>
      </c>
      <c r="K196" s="81" t="s">
        <v>990</v>
      </c>
      <c r="L196" s="79"/>
      <c r="M196" s="79"/>
      <c r="N196" s="79"/>
    </row>
    <row r="197" ht="26" spans="1:14">
      <c r="A197" s="81" t="s">
        <v>550</v>
      </c>
      <c r="B197" s="81" t="s">
        <v>77</v>
      </c>
      <c r="C197" s="81" t="s">
        <v>203</v>
      </c>
      <c r="D197" s="81" t="s">
        <v>483</v>
      </c>
      <c r="E197" s="81">
        <v>2</v>
      </c>
      <c r="F197" s="81">
        <v>2</v>
      </c>
      <c r="G197" s="81">
        <v>2</v>
      </c>
      <c r="H197" s="81">
        <v>7</v>
      </c>
      <c r="I197" s="81" t="s">
        <v>892</v>
      </c>
      <c r="J197" s="81" t="s">
        <v>243</v>
      </c>
      <c r="K197" s="81" t="s">
        <v>990</v>
      </c>
      <c r="L197" s="79"/>
      <c r="M197" s="79"/>
      <c r="N197" s="79"/>
    </row>
    <row r="198" ht="26" spans="1:14">
      <c r="A198" s="81" t="s">
        <v>551</v>
      </c>
      <c r="B198" s="81" t="s">
        <v>77</v>
      </c>
      <c r="C198" s="81" t="s">
        <v>203</v>
      </c>
      <c r="D198" s="81" t="s">
        <v>552</v>
      </c>
      <c r="E198" s="81">
        <v>1</v>
      </c>
      <c r="F198" s="81">
        <v>2</v>
      </c>
      <c r="G198" s="81">
        <v>2</v>
      </c>
      <c r="H198" s="81">
        <v>6</v>
      </c>
      <c r="I198" s="81" t="s">
        <v>887</v>
      </c>
      <c r="J198" s="81" t="s">
        <v>341</v>
      </c>
      <c r="K198" s="81" t="s">
        <v>990</v>
      </c>
      <c r="L198" s="79"/>
      <c r="M198" s="79"/>
      <c r="N198" s="79"/>
    </row>
    <row r="199" ht="26" spans="1:14">
      <c r="A199" s="81" t="s">
        <v>555</v>
      </c>
      <c r="B199" s="81" t="s">
        <v>77</v>
      </c>
      <c r="C199" s="81" t="s">
        <v>203</v>
      </c>
      <c r="D199" s="81" t="s">
        <v>362</v>
      </c>
      <c r="E199" s="81">
        <v>2</v>
      </c>
      <c r="F199" s="81">
        <v>2</v>
      </c>
      <c r="G199" s="81">
        <v>2</v>
      </c>
      <c r="H199" s="81">
        <v>7</v>
      </c>
      <c r="I199" s="81" t="s">
        <v>892</v>
      </c>
      <c r="J199" s="81" t="s">
        <v>243</v>
      </c>
      <c r="K199" s="81" t="s">
        <v>990</v>
      </c>
      <c r="L199" s="79"/>
      <c r="M199" s="79"/>
      <c r="N199" s="79"/>
    </row>
    <row r="200" ht="26" spans="1:14">
      <c r="A200" s="81" t="s">
        <v>557</v>
      </c>
      <c r="B200" s="81" t="s">
        <v>77</v>
      </c>
      <c r="C200" s="81" t="s">
        <v>203</v>
      </c>
      <c r="D200" s="81" t="s">
        <v>483</v>
      </c>
      <c r="E200" s="81">
        <v>2</v>
      </c>
      <c r="F200" s="81">
        <v>2</v>
      </c>
      <c r="G200" s="81">
        <v>2</v>
      </c>
      <c r="H200" s="81">
        <v>7</v>
      </c>
      <c r="I200" s="81" t="s">
        <v>892</v>
      </c>
      <c r="J200" s="81" t="s">
        <v>243</v>
      </c>
      <c r="K200" s="81" t="s">
        <v>990</v>
      </c>
      <c r="L200" s="79"/>
      <c r="M200" s="79"/>
      <c r="N200" s="79"/>
    </row>
    <row r="201" ht="26" spans="1:14">
      <c r="A201" s="81" t="s">
        <v>559</v>
      </c>
      <c r="B201" s="81" t="s">
        <v>77</v>
      </c>
      <c r="C201" s="81" t="s">
        <v>203</v>
      </c>
      <c r="D201" s="81" t="s">
        <v>560</v>
      </c>
      <c r="E201" s="81">
        <v>2</v>
      </c>
      <c r="F201" s="81">
        <v>2</v>
      </c>
      <c r="G201" s="81">
        <v>2</v>
      </c>
      <c r="H201" s="81">
        <v>7</v>
      </c>
      <c r="I201" s="81" t="s">
        <v>892</v>
      </c>
      <c r="J201" s="81" t="s">
        <v>243</v>
      </c>
      <c r="K201" s="81" t="s">
        <v>990</v>
      </c>
      <c r="L201" s="79"/>
      <c r="M201" s="79"/>
      <c r="N201" s="79"/>
    </row>
    <row r="202" ht="26" spans="1:14">
      <c r="A202" s="81" t="s">
        <v>562</v>
      </c>
      <c r="B202" s="81" t="s">
        <v>77</v>
      </c>
      <c r="C202" s="81" t="s">
        <v>203</v>
      </c>
      <c r="D202" s="81" t="s">
        <v>449</v>
      </c>
      <c r="E202" s="81">
        <v>2</v>
      </c>
      <c r="F202" s="81">
        <v>2</v>
      </c>
      <c r="G202" s="81">
        <v>2</v>
      </c>
      <c r="H202" s="81">
        <v>7</v>
      </c>
      <c r="I202" s="81" t="s">
        <v>892</v>
      </c>
      <c r="J202" s="81" t="s">
        <v>243</v>
      </c>
      <c r="K202" s="81" t="s">
        <v>990</v>
      </c>
      <c r="L202" s="79"/>
      <c r="M202" s="79"/>
      <c r="N202" s="79"/>
    </row>
    <row r="203" ht="26" spans="1:14">
      <c r="A203" s="81" t="s">
        <v>563</v>
      </c>
      <c r="B203" s="81" t="s">
        <v>77</v>
      </c>
      <c r="C203" s="81" t="s">
        <v>203</v>
      </c>
      <c r="D203" s="81" t="s">
        <v>560</v>
      </c>
      <c r="E203" s="81">
        <v>2</v>
      </c>
      <c r="F203" s="81">
        <v>2</v>
      </c>
      <c r="G203" s="81">
        <v>2</v>
      </c>
      <c r="H203" s="81">
        <v>7</v>
      </c>
      <c r="I203" s="81" t="s">
        <v>892</v>
      </c>
      <c r="J203" s="81" t="s">
        <v>243</v>
      </c>
      <c r="K203" s="81" t="s">
        <v>990</v>
      </c>
      <c r="L203" s="79"/>
      <c r="M203" s="79"/>
      <c r="N203" s="79"/>
    </row>
    <row r="204" ht="26" spans="1:14">
      <c r="A204" s="81" t="s">
        <v>564</v>
      </c>
      <c r="B204" s="81" t="s">
        <v>77</v>
      </c>
      <c r="C204" s="81" t="s">
        <v>203</v>
      </c>
      <c r="D204" s="81" t="s">
        <v>483</v>
      </c>
      <c r="E204" s="81">
        <v>2</v>
      </c>
      <c r="F204" s="81">
        <v>2</v>
      </c>
      <c r="G204" s="81">
        <v>2</v>
      </c>
      <c r="H204" s="81">
        <v>7</v>
      </c>
      <c r="I204" s="81" t="s">
        <v>892</v>
      </c>
      <c r="J204" s="81" t="s">
        <v>243</v>
      </c>
      <c r="K204" s="81" t="s">
        <v>990</v>
      </c>
      <c r="L204" s="79"/>
      <c r="M204" s="79"/>
      <c r="N204" s="79"/>
    </row>
    <row r="205" ht="26" spans="1:14">
      <c r="A205" s="81" t="s">
        <v>565</v>
      </c>
      <c r="B205" s="81" t="s">
        <v>77</v>
      </c>
      <c r="C205" s="81" t="s">
        <v>203</v>
      </c>
      <c r="D205" s="81" t="s">
        <v>483</v>
      </c>
      <c r="E205" s="81">
        <v>2</v>
      </c>
      <c r="F205" s="81">
        <v>2</v>
      </c>
      <c r="G205" s="81">
        <v>2</v>
      </c>
      <c r="H205" s="81">
        <v>7</v>
      </c>
      <c r="I205" s="81" t="s">
        <v>892</v>
      </c>
      <c r="J205" s="81" t="s">
        <v>243</v>
      </c>
      <c r="K205" s="81" t="s">
        <v>990</v>
      </c>
      <c r="L205" s="79"/>
      <c r="M205" s="79"/>
      <c r="N205" s="79"/>
    </row>
    <row r="206" ht="26" spans="1:14">
      <c r="A206" s="81" t="s">
        <v>566</v>
      </c>
      <c r="B206" s="81" t="s">
        <v>77</v>
      </c>
      <c r="C206" s="81" t="s">
        <v>203</v>
      </c>
      <c r="D206" s="81" t="s">
        <v>483</v>
      </c>
      <c r="E206" s="81">
        <v>2</v>
      </c>
      <c r="F206" s="81">
        <v>2</v>
      </c>
      <c r="G206" s="81">
        <v>2</v>
      </c>
      <c r="H206" s="81">
        <v>7</v>
      </c>
      <c r="I206" s="81" t="s">
        <v>892</v>
      </c>
      <c r="J206" s="81" t="s">
        <v>243</v>
      </c>
      <c r="K206" s="81" t="s">
        <v>990</v>
      </c>
      <c r="L206" s="79"/>
      <c r="M206" s="79"/>
      <c r="N206" s="79"/>
    </row>
    <row r="207" ht="26" spans="1:14">
      <c r="A207" s="81" t="s">
        <v>567</v>
      </c>
      <c r="B207" s="81" t="s">
        <v>77</v>
      </c>
      <c r="C207" s="81" t="s">
        <v>203</v>
      </c>
      <c r="D207" s="81" t="s">
        <v>449</v>
      </c>
      <c r="E207" s="81">
        <v>2</v>
      </c>
      <c r="F207" s="81">
        <v>2</v>
      </c>
      <c r="G207" s="81">
        <v>2</v>
      </c>
      <c r="H207" s="81">
        <v>7</v>
      </c>
      <c r="I207" s="81" t="s">
        <v>892</v>
      </c>
      <c r="J207" s="81" t="s">
        <v>243</v>
      </c>
      <c r="K207" s="81" t="s">
        <v>990</v>
      </c>
      <c r="L207" s="79"/>
      <c r="M207" s="79"/>
      <c r="N207" s="79"/>
    </row>
    <row r="208" ht="26" spans="1:14">
      <c r="A208" s="81" t="s">
        <v>569</v>
      </c>
      <c r="B208" s="81" t="s">
        <v>77</v>
      </c>
      <c r="C208" s="81" t="s">
        <v>203</v>
      </c>
      <c r="D208" s="81" t="s">
        <v>560</v>
      </c>
      <c r="E208" s="81">
        <v>2</v>
      </c>
      <c r="F208" s="81">
        <v>2</v>
      </c>
      <c r="G208" s="81">
        <v>2</v>
      </c>
      <c r="H208" s="81">
        <v>7</v>
      </c>
      <c r="I208" s="81" t="s">
        <v>892</v>
      </c>
      <c r="J208" s="81" t="s">
        <v>243</v>
      </c>
      <c r="K208" s="81" t="s">
        <v>990</v>
      </c>
      <c r="L208" s="79"/>
      <c r="M208" s="79"/>
      <c r="N208" s="79"/>
    </row>
    <row r="209" ht="26" spans="1:14">
      <c r="A209" s="81" t="s">
        <v>570</v>
      </c>
      <c r="B209" s="81" t="s">
        <v>77</v>
      </c>
      <c r="C209" s="81" t="s">
        <v>203</v>
      </c>
      <c r="D209" s="81" t="s">
        <v>449</v>
      </c>
      <c r="E209" s="81">
        <v>2</v>
      </c>
      <c r="F209" s="81">
        <v>2</v>
      </c>
      <c r="G209" s="81">
        <v>2</v>
      </c>
      <c r="H209" s="81">
        <v>7</v>
      </c>
      <c r="I209" s="81" t="s">
        <v>892</v>
      </c>
      <c r="J209" s="81" t="s">
        <v>243</v>
      </c>
      <c r="K209" s="81" t="s">
        <v>990</v>
      </c>
      <c r="L209" s="79"/>
      <c r="M209" s="79"/>
      <c r="N209" s="79"/>
    </row>
    <row r="210" ht="26" spans="1:14">
      <c r="A210" s="81" t="s">
        <v>573</v>
      </c>
      <c r="B210" s="81" t="s">
        <v>77</v>
      </c>
      <c r="C210" s="81" t="s">
        <v>203</v>
      </c>
      <c r="D210" s="81" t="s">
        <v>449</v>
      </c>
      <c r="E210" s="81">
        <v>2</v>
      </c>
      <c r="F210" s="81">
        <v>2</v>
      </c>
      <c r="G210" s="81">
        <v>2</v>
      </c>
      <c r="H210" s="81">
        <v>7</v>
      </c>
      <c r="I210" s="81" t="s">
        <v>892</v>
      </c>
      <c r="J210" s="81" t="s">
        <v>243</v>
      </c>
      <c r="K210" s="81" t="s">
        <v>990</v>
      </c>
      <c r="L210" s="79"/>
      <c r="M210" s="79"/>
      <c r="N210" s="79"/>
    </row>
    <row r="211" ht="26" spans="1:14">
      <c r="A211" s="81" t="s">
        <v>574</v>
      </c>
      <c r="B211" s="81" t="s">
        <v>77</v>
      </c>
      <c r="C211" s="81" t="s">
        <v>203</v>
      </c>
      <c r="D211" s="81" t="s">
        <v>449</v>
      </c>
      <c r="E211" s="81">
        <v>2</v>
      </c>
      <c r="F211" s="81">
        <v>2</v>
      </c>
      <c r="G211" s="81">
        <v>2</v>
      </c>
      <c r="H211" s="81">
        <v>7</v>
      </c>
      <c r="I211" s="81" t="s">
        <v>892</v>
      </c>
      <c r="J211" s="81" t="s">
        <v>243</v>
      </c>
      <c r="K211" s="81" t="s">
        <v>990</v>
      </c>
      <c r="L211" s="79"/>
      <c r="M211" s="79"/>
      <c r="N211" s="79"/>
    </row>
    <row r="212" ht="26" spans="1:14">
      <c r="A212" s="81" t="s">
        <v>575</v>
      </c>
      <c r="B212" s="81" t="s">
        <v>77</v>
      </c>
      <c r="C212" s="81" t="s">
        <v>203</v>
      </c>
      <c r="D212" s="81" t="s">
        <v>449</v>
      </c>
      <c r="E212" s="81">
        <v>2</v>
      </c>
      <c r="F212" s="81">
        <v>2</v>
      </c>
      <c r="G212" s="81">
        <v>2</v>
      </c>
      <c r="H212" s="81">
        <v>7</v>
      </c>
      <c r="I212" s="81" t="s">
        <v>892</v>
      </c>
      <c r="J212" s="81" t="s">
        <v>243</v>
      </c>
      <c r="K212" s="81" t="s">
        <v>990</v>
      </c>
      <c r="L212" s="79"/>
      <c r="M212" s="79"/>
      <c r="N212" s="79"/>
    </row>
    <row r="213" ht="26" spans="1:14">
      <c r="A213" s="81" t="s">
        <v>577</v>
      </c>
      <c r="B213" s="81" t="s">
        <v>77</v>
      </c>
      <c r="C213" s="81" t="s">
        <v>203</v>
      </c>
      <c r="D213" s="81" t="s">
        <v>449</v>
      </c>
      <c r="E213" s="81">
        <v>2</v>
      </c>
      <c r="F213" s="81">
        <v>2</v>
      </c>
      <c r="G213" s="81">
        <v>2</v>
      </c>
      <c r="H213" s="81">
        <v>7</v>
      </c>
      <c r="I213" s="81" t="s">
        <v>892</v>
      </c>
      <c r="J213" s="81" t="s">
        <v>243</v>
      </c>
      <c r="K213" s="81" t="s">
        <v>990</v>
      </c>
      <c r="L213" s="79"/>
      <c r="M213" s="79"/>
      <c r="N213" s="79"/>
    </row>
    <row r="214" ht="26" spans="1:14">
      <c r="A214" s="81" t="s">
        <v>578</v>
      </c>
      <c r="B214" s="81" t="s">
        <v>77</v>
      </c>
      <c r="C214" s="81" t="s">
        <v>203</v>
      </c>
      <c r="D214" s="81" t="s">
        <v>449</v>
      </c>
      <c r="E214" s="81">
        <v>2</v>
      </c>
      <c r="F214" s="81">
        <v>2</v>
      </c>
      <c r="G214" s="81">
        <v>2</v>
      </c>
      <c r="H214" s="81">
        <v>7</v>
      </c>
      <c r="I214" s="81" t="s">
        <v>892</v>
      </c>
      <c r="J214" s="81" t="s">
        <v>243</v>
      </c>
      <c r="K214" s="81" t="s">
        <v>990</v>
      </c>
      <c r="L214" s="79"/>
      <c r="M214" s="79"/>
      <c r="N214" s="79"/>
    </row>
    <row r="215" ht="26" spans="1:14">
      <c r="A215" s="81" t="s">
        <v>579</v>
      </c>
      <c r="B215" s="81" t="s">
        <v>77</v>
      </c>
      <c r="C215" s="81" t="s">
        <v>203</v>
      </c>
      <c r="D215" s="81" t="s">
        <v>449</v>
      </c>
      <c r="E215" s="81">
        <v>2</v>
      </c>
      <c r="F215" s="81">
        <v>2</v>
      </c>
      <c r="G215" s="81">
        <v>2</v>
      </c>
      <c r="H215" s="81">
        <v>7</v>
      </c>
      <c r="I215" s="81" t="s">
        <v>892</v>
      </c>
      <c r="J215" s="81" t="s">
        <v>243</v>
      </c>
      <c r="K215" s="81" t="s">
        <v>990</v>
      </c>
      <c r="L215" s="79"/>
      <c r="M215" s="79"/>
      <c r="N215" s="79"/>
    </row>
    <row r="216" ht="26" spans="1:14">
      <c r="A216" s="81" t="s">
        <v>580</v>
      </c>
      <c r="B216" s="81" t="s">
        <v>77</v>
      </c>
      <c r="C216" s="81" t="s">
        <v>203</v>
      </c>
      <c r="D216" s="81" t="s">
        <v>449</v>
      </c>
      <c r="E216" s="81">
        <v>2</v>
      </c>
      <c r="F216" s="81">
        <v>2</v>
      </c>
      <c r="G216" s="81">
        <v>2</v>
      </c>
      <c r="H216" s="81">
        <v>7</v>
      </c>
      <c r="I216" s="81" t="s">
        <v>892</v>
      </c>
      <c r="J216" s="81" t="s">
        <v>243</v>
      </c>
      <c r="K216" s="81" t="s">
        <v>990</v>
      </c>
      <c r="L216" s="79"/>
      <c r="M216" s="79"/>
      <c r="N216" s="79"/>
    </row>
    <row r="217" ht="26" spans="1:14">
      <c r="A217" s="81" t="s">
        <v>581</v>
      </c>
      <c r="B217" s="81" t="s">
        <v>77</v>
      </c>
      <c r="C217" s="81" t="s">
        <v>203</v>
      </c>
      <c r="D217" s="81" t="s">
        <v>449</v>
      </c>
      <c r="E217" s="81">
        <v>2</v>
      </c>
      <c r="F217" s="81">
        <v>2</v>
      </c>
      <c r="G217" s="81">
        <v>2</v>
      </c>
      <c r="H217" s="81">
        <v>7</v>
      </c>
      <c r="I217" s="81" t="s">
        <v>892</v>
      </c>
      <c r="J217" s="81" t="s">
        <v>243</v>
      </c>
      <c r="K217" s="81" t="s">
        <v>990</v>
      </c>
      <c r="L217" s="79"/>
      <c r="M217" s="79"/>
      <c r="N217" s="79"/>
    </row>
    <row r="218" ht="26" spans="1:14">
      <c r="A218" s="81" t="s">
        <v>582</v>
      </c>
      <c r="B218" s="81" t="s">
        <v>77</v>
      </c>
      <c r="C218" s="81" t="s">
        <v>203</v>
      </c>
      <c r="D218" s="81" t="s">
        <v>449</v>
      </c>
      <c r="E218" s="81">
        <v>2</v>
      </c>
      <c r="F218" s="81">
        <v>2</v>
      </c>
      <c r="G218" s="81">
        <v>2</v>
      </c>
      <c r="H218" s="81">
        <v>7</v>
      </c>
      <c r="I218" s="81" t="s">
        <v>892</v>
      </c>
      <c r="J218" s="81" t="s">
        <v>243</v>
      </c>
      <c r="K218" s="81" t="s">
        <v>990</v>
      </c>
      <c r="L218" s="79"/>
      <c r="M218" s="79"/>
      <c r="N218" s="79"/>
    </row>
    <row r="219" ht="26" spans="1:14">
      <c r="A219" s="81" t="s">
        <v>583</v>
      </c>
      <c r="B219" s="81" t="s">
        <v>77</v>
      </c>
      <c r="C219" s="81" t="s">
        <v>203</v>
      </c>
      <c r="D219" s="81" t="s">
        <v>449</v>
      </c>
      <c r="E219" s="81">
        <v>2</v>
      </c>
      <c r="F219" s="81">
        <v>2</v>
      </c>
      <c r="G219" s="81">
        <v>2</v>
      </c>
      <c r="H219" s="81">
        <v>7</v>
      </c>
      <c r="I219" s="81" t="s">
        <v>892</v>
      </c>
      <c r="J219" s="81" t="s">
        <v>545</v>
      </c>
      <c r="K219" s="81" t="s">
        <v>990</v>
      </c>
      <c r="L219" s="79"/>
      <c r="M219" s="79"/>
      <c r="N219" s="79"/>
    </row>
    <row r="220" ht="26" spans="1:14">
      <c r="A220" s="81" t="s">
        <v>584</v>
      </c>
      <c r="B220" s="81" t="s">
        <v>77</v>
      </c>
      <c r="C220" s="81" t="s">
        <v>203</v>
      </c>
      <c r="D220" s="81" t="s">
        <v>449</v>
      </c>
      <c r="E220" s="81">
        <v>2</v>
      </c>
      <c r="F220" s="81">
        <v>2</v>
      </c>
      <c r="G220" s="81">
        <v>2</v>
      </c>
      <c r="H220" s="81">
        <v>7</v>
      </c>
      <c r="I220" s="81" t="s">
        <v>892</v>
      </c>
      <c r="J220" s="81" t="s">
        <v>243</v>
      </c>
      <c r="K220" s="81" t="s">
        <v>990</v>
      </c>
      <c r="L220" s="79"/>
      <c r="M220" s="79"/>
      <c r="N220" s="79"/>
    </row>
    <row r="221" ht="26" spans="1:14">
      <c r="A221" s="81" t="s">
        <v>585</v>
      </c>
      <c r="B221" s="81" t="s">
        <v>77</v>
      </c>
      <c r="C221" s="81" t="s">
        <v>203</v>
      </c>
      <c r="D221" s="81" t="s">
        <v>449</v>
      </c>
      <c r="E221" s="81">
        <v>2</v>
      </c>
      <c r="F221" s="81">
        <v>2</v>
      </c>
      <c r="G221" s="81">
        <v>2</v>
      </c>
      <c r="H221" s="81">
        <v>7</v>
      </c>
      <c r="I221" s="81" t="s">
        <v>892</v>
      </c>
      <c r="J221" s="81" t="s">
        <v>243</v>
      </c>
      <c r="K221" s="81" t="s">
        <v>990</v>
      </c>
      <c r="L221" s="79"/>
      <c r="M221" s="79"/>
      <c r="N221" s="79"/>
    </row>
    <row r="222" ht="26" spans="1:14">
      <c r="A222" s="81" t="s">
        <v>586</v>
      </c>
      <c r="B222" s="81" t="s">
        <v>77</v>
      </c>
      <c r="C222" s="81" t="s">
        <v>203</v>
      </c>
      <c r="D222" s="81" t="s">
        <v>449</v>
      </c>
      <c r="E222" s="81">
        <v>2</v>
      </c>
      <c r="F222" s="81">
        <v>2</v>
      </c>
      <c r="G222" s="81">
        <v>2</v>
      </c>
      <c r="H222" s="81">
        <v>7</v>
      </c>
      <c r="I222" s="81" t="s">
        <v>892</v>
      </c>
      <c r="J222" s="81" t="s">
        <v>545</v>
      </c>
      <c r="K222" s="81" t="s">
        <v>990</v>
      </c>
      <c r="L222" s="79"/>
      <c r="M222" s="79"/>
      <c r="N222" s="79"/>
    </row>
    <row r="223" ht="26" spans="1:14">
      <c r="A223" s="81" t="s">
        <v>587</v>
      </c>
      <c r="B223" s="81" t="s">
        <v>77</v>
      </c>
      <c r="C223" s="81" t="s">
        <v>203</v>
      </c>
      <c r="D223" s="81" t="s">
        <v>449</v>
      </c>
      <c r="E223" s="81">
        <v>2</v>
      </c>
      <c r="F223" s="81">
        <v>2</v>
      </c>
      <c r="G223" s="81">
        <v>2</v>
      </c>
      <c r="H223" s="81">
        <v>7</v>
      </c>
      <c r="I223" s="81" t="s">
        <v>892</v>
      </c>
      <c r="J223" s="81" t="s">
        <v>243</v>
      </c>
      <c r="K223" s="81" t="s">
        <v>990</v>
      </c>
      <c r="L223" s="79"/>
      <c r="M223" s="79"/>
      <c r="N223" s="79"/>
    </row>
    <row r="224" ht="26" spans="1:14">
      <c r="A224" s="81" t="s">
        <v>588</v>
      </c>
      <c r="B224" s="81" t="s">
        <v>77</v>
      </c>
      <c r="C224" s="81" t="s">
        <v>203</v>
      </c>
      <c r="D224" s="81" t="s">
        <v>449</v>
      </c>
      <c r="E224" s="81">
        <v>2</v>
      </c>
      <c r="F224" s="81">
        <v>2</v>
      </c>
      <c r="G224" s="81">
        <v>2</v>
      </c>
      <c r="H224" s="81">
        <v>7</v>
      </c>
      <c r="I224" s="81" t="s">
        <v>892</v>
      </c>
      <c r="J224" s="81" t="s">
        <v>545</v>
      </c>
      <c r="K224" s="81" t="s">
        <v>990</v>
      </c>
      <c r="L224" s="79"/>
      <c r="M224" s="79"/>
      <c r="N224" s="79"/>
    </row>
    <row r="225" ht="26" spans="1:14">
      <c r="A225" s="81" t="s">
        <v>589</v>
      </c>
      <c r="B225" s="81" t="s">
        <v>77</v>
      </c>
      <c r="C225" s="81" t="s">
        <v>203</v>
      </c>
      <c r="D225" s="81" t="s">
        <v>449</v>
      </c>
      <c r="E225" s="81">
        <v>2</v>
      </c>
      <c r="F225" s="81">
        <v>2</v>
      </c>
      <c r="G225" s="81">
        <v>2</v>
      </c>
      <c r="H225" s="81">
        <v>7</v>
      </c>
      <c r="I225" s="81" t="s">
        <v>892</v>
      </c>
      <c r="J225" s="81" t="s">
        <v>545</v>
      </c>
      <c r="K225" s="81" t="s">
        <v>990</v>
      </c>
      <c r="L225" s="79"/>
      <c r="M225" s="79"/>
      <c r="N225" s="79"/>
    </row>
    <row r="226" ht="26" spans="1:14">
      <c r="A226" s="81" t="s">
        <v>590</v>
      </c>
      <c r="B226" s="81" t="s">
        <v>77</v>
      </c>
      <c r="C226" s="81" t="s">
        <v>203</v>
      </c>
      <c r="D226" s="81" t="s">
        <v>449</v>
      </c>
      <c r="E226" s="81">
        <v>2</v>
      </c>
      <c r="F226" s="81">
        <v>2</v>
      </c>
      <c r="G226" s="81">
        <v>2</v>
      </c>
      <c r="H226" s="81">
        <v>7</v>
      </c>
      <c r="I226" s="81" t="s">
        <v>892</v>
      </c>
      <c r="J226" s="81" t="s">
        <v>545</v>
      </c>
      <c r="K226" s="81" t="s">
        <v>990</v>
      </c>
      <c r="L226" s="79"/>
      <c r="M226" s="79"/>
      <c r="N226" s="79"/>
    </row>
    <row r="227" ht="26" spans="1:14">
      <c r="A227" s="81" t="s">
        <v>591</v>
      </c>
      <c r="B227" s="81" t="s">
        <v>77</v>
      </c>
      <c r="C227" s="81" t="s">
        <v>203</v>
      </c>
      <c r="D227" s="81" t="s">
        <v>449</v>
      </c>
      <c r="E227" s="81">
        <v>2</v>
      </c>
      <c r="F227" s="81">
        <v>2</v>
      </c>
      <c r="G227" s="81">
        <v>2</v>
      </c>
      <c r="H227" s="81">
        <v>7</v>
      </c>
      <c r="I227" s="81" t="s">
        <v>892</v>
      </c>
      <c r="J227" s="81" t="s">
        <v>545</v>
      </c>
      <c r="K227" s="81" t="s">
        <v>990</v>
      </c>
      <c r="L227" s="79"/>
      <c r="M227" s="79"/>
      <c r="N227" s="79"/>
    </row>
    <row r="228" ht="26" spans="1:14">
      <c r="A228" s="81" t="s">
        <v>592</v>
      </c>
      <c r="B228" s="81" t="s">
        <v>77</v>
      </c>
      <c r="C228" s="81" t="s">
        <v>203</v>
      </c>
      <c r="D228" s="81" t="s">
        <v>449</v>
      </c>
      <c r="E228" s="81">
        <v>2</v>
      </c>
      <c r="F228" s="81">
        <v>2</v>
      </c>
      <c r="G228" s="81">
        <v>2</v>
      </c>
      <c r="H228" s="81">
        <v>7</v>
      </c>
      <c r="I228" s="81" t="s">
        <v>892</v>
      </c>
      <c r="J228" s="81" t="s">
        <v>545</v>
      </c>
      <c r="K228" s="81" t="s">
        <v>990</v>
      </c>
      <c r="L228" s="79"/>
      <c r="M228" s="79"/>
      <c r="N228" s="79"/>
    </row>
    <row r="229" ht="26" spans="1:14">
      <c r="A229" s="81" t="s">
        <v>593</v>
      </c>
      <c r="B229" s="81" t="s">
        <v>77</v>
      </c>
      <c r="C229" s="81" t="s">
        <v>203</v>
      </c>
      <c r="D229" s="81" t="s">
        <v>449</v>
      </c>
      <c r="E229" s="81">
        <v>2</v>
      </c>
      <c r="F229" s="81">
        <v>2</v>
      </c>
      <c r="G229" s="81">
        <v>2</v>
      </c>
      <c r="H229" s="81">
        <v>7</v>
      </c>
      <c r="I229" s="81" t="s">
        <v>892</v>
      </c>
      <c r="J229" s="81" t="s">
        <v>545</v>
      </c>
      <c r="K229" s="81" t="s">
        <v>990</v>
      </c>
      <c r="L229" s="79"/>
      <c r="M229" s="79"/>
      <c r="N229" s="79"/>
    </row>
    <row r="230" ht="26" spans="1:14">
      <c r="A230" s="81" t="s">
        <v>594</v>
      </c>
      <c r="B230" s="81" t="s">
        <v>77</v>
      </c>
      <c r="C230" s="81" t="s">
        <v>203</v>
      </c>
      <c r="D230" s="81" t="s">
        <v>449</v>
      </c>
      <c r="E230" s="81">
        <v>2</v>
      </c>
      <c r="F230" s="81">
        <v>2</v>
      </c>
      <c r="G230" s="81">
        <v>2</v>
      </c>
      <c r="H230" s="81">
        <v>7</v>
      </c>
      <c r="I230" s="81" t="s">
        <v>892</v>
      </c>
      <c r="J230" s="81" t="s">
        <v>243</v>
      </c>
      <c r="K230" s="81" t="s">
        <v>990</v>
      </c>
      <c r="L230" s="79"/>
      <c r="M230" s="79"/>
      <c r="N230" s="79"/>
    </row>
    <row r="231" ht="26" spans="1:14">
      <c r="A231" s="81" t="s">
        <v>595</v>
      </c>
      <c r="B231" s="81" t="s">
        <v>77</v>
      </c>
      <c r="C231" s="81" t="s">
        <v>203</v>
      </c>
      <c r="D231" s="81" t="s">
        <v>449</v>
      </c>
      <c r="E231" s="81">
        <v>2</v>
      </c>
      <c r="F231" s="81">
        <v>2</v>
      </c>
      <c r="G231" s="81">
        <v>2</v>
      </c>
      <c r="H231" s="81">
        <v>7</v>
      </c>
      <c r="I231" s="81" t="s">
        <v>892</v>
      </c>
      <c r="J231" s="81" t="s">
        <v>243</v>
      </c>
      <c r="K231" s="81" t="s">
        <v>990</v>
      </c>
      <c r="L231" s="79"/>
      <c r="M231" s="79"/>
      <c r="N231" s="79"/>
    </row>
    <row r="232" ht="26" spans="1:14">
      <c r="A232" s="81" t="s">
        <v>596</v>
      </c>
      <c r="B232" s="81" t="s">
        <v>77</v>
      </c>
      <c r="C232" s="81" t="s">
        <v>203</v>
      </c>
      <c r="D232" s="81" t="s">
        <v>449</v>
      </c>
      <c r="E232" s="81">
        <v>2</v>
      </c>
      <c r="F232" s="81">
        <v>2</v>
      </c>
      <c r="G232" s="81">
        <v>2</v>
      </c>
      <c r="H232" s="81">
        <v>7</v>
      </c>
      <c r="I232" s="81" t="s">
        <v>892</v>
      </c>
      <c r="J232" s="81" t="s">
        <v>243</v>
      </c>
      <c r="K232" s="81" t="s">
        <v>990</v>
      </c>
      <c r="L232" s="79"/>
      <c r="M232" s="79"/>
      <c r="N232" s="79"/>
    </row>
    <row r="233" ht="26" spans="1:14">
      <c r="A233" s="81" t="s">
        <v>597</v>
      </c>
      <c r="B233" s="81" t="s">
        <v>77</v>
      </c>
      <c r="C233" s="81" t="s">
        <v>203</v>
      </c>
      <c r="D233" s="81" t="s">
        <v>449</v>
      </c>
      <c r="E233" s="81">
        <v>2</v>
      </c>
      <c r="F233" s="81">
        <v>2</v>
      </c>
      <c r="G233" s="81">
        <v>2</v>
      </c>
      <c r="H233" s="81">
        <v>7</v>
      </c>
      <c r="I233" s="81" t="s">
        <v>892</v>
      </c>
      <c r="J233" s="81" t="s">
        <v>243</v>
      </c>
      <c r="K233" s="81" t="s">
        <v>990</v>
      </c>
      <c r="L233" s="79"/>
      <c r="M233" s="79"/>
      <c r="N233" s="79"/>
    </row>
    <row r="234" ht="26" spans="1:14">
      <c r="A234" s="81" t="s">
        <v>598</v>
      </c>
      <c r="B234" s="81" t="s">
        <v>77</v>
      </c>
      <c r="C234" s="81" t="s">
        <v>203</v>
      </c>
      <c r="D234" s="81" t="s">
        <v>449</v>
      </c>
      <c r="E234" s="81">
        <v>2</v>
      </c>
      <c r="F234" s="81">
        <v>2</v>
      </c>
      <c r="G234" s="81">
        <v>2</v>
      </c>
      <c r="H234" s="81">
        <v>7</v>
      </c>
      <c r="I234" s="81" t="s">
        <v>892</v>
      </c>
      <c r="J234" s="81" t="s">
        <v>243</v>
      </c>
      <c r="K234" s="81" t="s">
        <v>990</v>
      </c>
      <c r="L234" s="79"/>
      <c r="M234" s="79"/>
      <c r="N234" s="79"/>
    </row>
    <row r="235" ht="26" spans="1:14">
      <c r="A235" s="81" t="s">
        <v>599</v>
      </c>
      <c r="B235" s="81" t="s">
        <v>77</v>
      </c>
      <c r="C235" s="81" t="s">
        <v>203</v>
      </c>
      <c r="D235" s="81" t="s">
        <v>449</v>
      </c>
      <c r="E235" s="81">
        <v>2</v>
      </c>
      <c r="F235" s="81">
        <v>2</v>
      </c>
      <c r="G235" s="81">
        <v>2</v>
      </c>
      <c r="H235" s="81">
        <v>7</v>
      </c>
      <c r="I235" s="81" t="s">
        <v>892</v>
      </c>
      <c r="J235" s="81" t="s">
        <v>243</v>
      </c>
      <c r="K235" s="81" t="s">
        <v>990</v>
      </c>
      <c r="L235" s="79"/>
      <c r="M235" s="79"/>
      <c r="N235" s="79"/>
    </row>
    <row r="236" ht="26" spans="1:14">
      <c r="A236" s="81" t="s">
        <v>600</v>
      </c>
      <c r="B236" s="81" t="s">
        <v>77</v>
      </c>
      <c r="C236" s="81" t="s">
        <v>203</v>
      </c>
      <c r="D236" s="81" t="s">
        <v>449</v>
      </c>
      <c r="E236" s="81">
        <v>2</v>
      </c>
      <c r="F236" s="81">
        <v>2</v>
      </c>
      <c r="G236" s="81">
        <v>2</v>
      </c>
      <c r="H236" s="81">
        <v>7</v>
      </c>
      <c r="I236" s="81" t="s">
        <v>892</v>
      </c>
      <c r="J236" s="81" t="s">
        <v>243</v>
      </c>
      <c r="K236" s="81" t="s">
        <v>990</v>
      </c>
      <c r="L236" s="79"/>
      <c r="M236" s="79"/>
      <c r="N236" s="79"/>
    </row>
    <row r="237" ht="26" spans="1:14">
      <c r="A237" s="81" t="s">
        <v>601</v>
      </c>
      <c r="B237" s="81" t="s">
        <v>77</v>
      </c>
      <c r="C237" s="81" t="s">
        <v>203</v>
      </c>
      <c r="D237" s="81" t="s">
        <v>449</v>
      </c>
      <c r="E237" s="81">
        <v>2</v>
      </c>
      <c r="F237" s="81">
        <v>2</v>
      </c>
      <c r="G237" s="81">
        <v>2</v>
      </c>
      <c r="H237" s="81">
        <v>7</v>
      </c>
      <c r="I237" s="81" t="s">
        <v>892</v>
      </c>
      <c r="J237" s="81" t="s">
        <v>243</v>
      </c>
      <c r="K237" s="81" t="s">
        <v>990</v>
      </c>
      <c r="L237" s="79"/>
      <c r="M237" s="79"/>
      <c r="N237" s="79"/>
    </row>
    <row r="238" ht="26" spans="1:14">
      <c r="A238" s="81" t="s">
        <v>602</v>
      </c>
      <c r="B238" s="81" t="s">
        <v>77</v>
      </c>
      <c r="C238" s="81" t="s">
        <v>203</v>
      </c>
      <c r="D238" s="81" t="s">
        <v>449</v>
      </c>
      <c r="E238" s="81">
        <v>2</v>
      </c>
      <c r="F238" s="81">
        <v>2</v>
      </c>
      <c r="G238" s="81">
        <v>2</v>
      </c>
      <c r="H238" s="81">
        <v>7</v>
      </c>
      <c r="I238" s="81" t="s">
        <v>892</v>
      </c>
      <c r="J238" s="81" t="s">
        <v>243</v>
      </c>
      <c r="K238" s="81" t="s">
        <v>990</v>
      </c>
      <c r="L238" s="79"/>
      <c r="M238" s="79"/>
      <c r="N238" s="79"/>
    </row>
    <row r="239" ht="26" spans="1:14">
      <c r="A239" s="81" t="s">
        <v>604</v>
      </c>
      <c r="B239" s="81" t="s">
        <v>77</v>
      </c>
      <c r="C239" s="81" t="s">
        <v>203</v>
      </c>
      <c r="D239" s="81" t="s">
        <v>392</v>
      </c>
      <c r="E239" s="81">
        <v>1</v>
      </c>
      <c r="F239" s="81">
        <v>2</v>
      </c>
      <c r="G239" s="81">
        <v>2</v>
      </c>
      <c r="H239" s="81">
        <v>6</v>
      </c>
      <c r="I239" s="81" t="s">
        <v>887</v>
      </c>
      <c r="J239" s="81" t="s">
        <v>341</v>
      </c>
      <c r="K239" s="81" t="s">
        <v>990</v>
      </c>
      <c r="L239" s="79"/>
      <c r="M239" s="79"/>
      <c r="N239" s="79"/>
    </row>
    <row r="240" ht="26" spans="1:14">
      <c r="A240" s="81" t="s">
        <v>607</v>
      </c>
      <c r="B240" s="81" t="s">
        <v>77</v>
      </c>
      <c r="C240" s="81" t="s">
        <v>203</v>
      </c>
      <c r="D240" s="81" t="s">
        <v>392</v>
      </c>
      <c r="E240" s="81">
        <v>1</v>
      </c>
      <c r="F240" s="81">
        <v>2</v>
      </c>
      <c r="G240" s="81">
        <v>2</v>
      </c>
      <c r="H240" s="81">
        <v>6</v>
      </c>
      <c r="I240" s="81" t="s">
        <v>887</v>
      </c>
      <c r="J240" s="81" t="s">
        <v>341</v>
      </c>
      <c r="K240" s="81" t="s">
        <v>990</v>
      </c>
      <c r="L240" s="79"/>
      <c r="M240" s="79"/>
      <c r="N240" s="79"/>
    </row>
    <row r="241" ht="26" spans="1:14">
      <c r="A241" s="81" t="s">
        <v>608</v>
      </c>
      <c r="B241" s="81" t="s">
        <v>77</v>
      </c>
      <c r="C241" s="81" t="s">
        <v>203</v>
      </c>
      <c r="D241" s="81" t="s">
        <v>392</v>
      </c>
      <c r="E241" s="81">
        <v>1</v>
      </c>
      <c r="F241" s="81">
        <v>2</v>
      </c>
      <c r="G241" s="81">
        <v>2</v>
      </c>
      <c r="H241" s="81">
        <v>6</v>
      </c>
      <c r="I241" s="81" t="s">
        <v>887</v>
      </c>
      <c r="J241" s="81" t="s">
        <v>341</v>
      </c>
      <c r="K241" s="81" t="s">
        <v>990</v>
      </c>
      <c r="L241" s="79"/>
      <c r="M241" s="79"/>
      <c r="N241" s="79"/>
    </row>
    <row r="242" ht="26" spans="1:14">
      <c r="A242" s="81" t="s">
        <v>609</v>
      </c>
      <c r="B242" s="81" t="s">
        <v>77</v>
      </c>
      <c r="C242" s="81" t="s">
        <v>203</v>
      </c>
      <c r="D242" s="81" t="s">
        <v>392</v>
      </c>
      <c r="E242" s="81">
        <v>1</v>
      </c>
      <c r="F242" s="81">
        <v>2</v>
      </c>
      <c r="G242" s="81">
        <v>2</v>
      </c>
      <c r="H242" s="81">
        <v>6</v>
      </c>
      <c r="I242" s="81" t="s">
        <v>887</v>
      </c>
      <c r="J242" s="81" t="s">
        <v>341</v>
      </c>
      <c r="K242" s="81" t="s">
        <v>990</v>
      </c>
      <c r="L242" s="79"/>
      <c r="M242" s="79"/>
      <c r="N242" s="79"/>
    </row>
    <row r="243" ht="26" spans="1:14">
      <c r="A243" s="81" t="s">
        <v>610</v>
      </c>
      <c r="B243" s="81" t="s">
        <v>77</v>
      </c>
      <c r="C243" s="81" t="s">
        <v>203</v>
      </c>
      <c r="D243" s="81" t="s">
        <v>392</v>
      </c>
      <c r="E243" s="81">
        <v>1</v>
      </c>
      <c r="F243" s="81">
        <v>2</v>
      </c>
      <c r="G243" s="81">
        <v>2</v>
      </c>
      <c r="H243" s="81">
        <v>6</v>
      </c>
      <c r="I243" s="81" t="s">
        <v>887</v>
      </c>
      <c r="J243" s="81" t="s">
        <v>341</v>
      </c>
      <c r="K243" s="81" t="s">
        <v>990</v>
      </c>
      <c r="L243" s="79"/>
      <c r="M243" s="79"/>
      <c r="N243" s="79"/>
    </row>
    <row r="244" ht="26" spans="1:14">
      <c r="A244" s="81" t="s">
        <v>611</v>
      </c>
      <c r="B244" s="81" t="s">
        <v>77</v>
      </c>
      <c r="C244" s="81" t="s">
        <v>203</v>
      </c>
      <c r="D244" s="81" t="s">
        <v>392</v>
      </c>
      <c r="E244" s="81">
        <v>1</v>
      </c>
      <c r="F244" s="81">
        <v>2</v>
      </c>
      <c r="G244" s="81">
        <v>2</v>
      </c>
      <c r="H244" s="81">
        <v>6</v>
      </c>
      <c r="I244" s="81" t="s">
        <v>887</v>
      </c>
      <c r="J244" s="81" t="s">
        <v>341</v>
      </c>
      <c r="K244" s="81" t="s">
        <v>990</v>
      </c>
      <c r="L244" s="79"/>
      <c r="M244" s="79"/>
      <c r="N244" s="79"/>
    </row>
    <row r="245" ht="26" spans="1:14">
      <c r="A245" s="81" t="s">
        <v>612</v>
      </c>
      <c r="B245" s="81" t="s">
        <v>77</v>
      </c>
      <c r="C245" s="81" t="s">
        <v>203</v>
      </c>
      <c r="D245" s="81" t="s">
        <v>392</v>
      </c>
      <c r="E245" s="81">
        <v>1</v>
      </c>
      <c r="F245" s="81">
        <v>2</v>
      </c>
      <c r="G245" s="81">
        <v>2</v>
      </c>
      <c r="H245" s="81">
        <v>6</v>
      </c>
      <c r="I245" s="81" t="s">
        <v>887</v>
      </c>
      <c r="J245" s="81" t="s">
        <v>341</v>
      </c>
      <c r="K245" s="81" t="s">
        <v>990</v>
      </c>
      <c r="L245" s="79"/>
      <c r="M245" s="79"/>
      <c r="N245" s="79"/>
    </row>
    <row r="246" ht="26" spans="1:14">
      <c r="A246" s="81" t="s">
        <v>613</v>
      </c>
      <c r="B246" s="81" t="s">
        <v>77</v>
      </c>
      <c r="C246" s="81" t="s">
        <v>203</v>
      </c>
      <c r="D246" s="81" t="s">
        <v>392</v>
      </c>
      <c r="E246" s="81">
        <v>1</v>
      </c>
      <c r="F246" s="81">
        <v>2</v>
      </c>
      <c r="G246" s="81">
        <v>2</v>
      </c>
      <c r="H246" s="81">
        <v>6</v>
      </c>
      <c r="I246" s="81" t="s">
        <v>887</v>
      </c>
      <c r="J246" s="81" t="s">
        <v>341</v>
      </c>
      <c r="K246" s="81" t="s">
        <v>990</v>
      </c>
      <c r="L246" s="79"/>
      <c r="M246" s="79"/>
      <c r="N246" s="79"/>
    </row>
    <row r="247" ht="26" spans="1:14">
      <c r="A247" s="81" t="s">
        <v>614</v>
      </c>
      <c r="B247" s="81" t="s">
        <v>77</v>
      </c>
      <c r="C247" s="81" t="s">
        <v>203</v>
      </c>
      <c r="D247" s="81" t="s">
        <v>362</v>
      </c>
      <c r="E247" s="81">
        <v>2</v>
      </c>
      <c r="F247" s="81">
        <v>2</v>
      </c>
      <c r="G247" s="81">
        <v>2</v>
      </c>
      <c r="H247" s="81">
        <v>7</v>
      </c>
      <c r="I247" s="81" t="s">
        <v>892</v>
      </c>
      <c r="J247" s="81" t="s">
        <v>243</v>
      </c>
      <c r="K247" s="81" t="s">
        <v>990</v>
      </c>
      <c r="L247" s="79"/>
      <c r="M247" s="79"/>
      <c r="N247" s="79"/>
    </row>
    <row r="248" ht="26" spans="1:14">
      <c r="A248" s="81" t="s">
        <v>615</v>
      </c>
      <c r="B248" s="81" t="s">
        <v>77</v>
      </c>
      <c r="C248" s="81" t="s">
        <v>203</v>
      </c>
      <c r="D248" s="81" t="s">
        <v>392</v>
      </c>
      <c r="E248" s="81">
        <v>1</v>
      </c>
      <c r="F248" s="81">
        <v>2</v>
      </c>
      <c r="G248" s="81">
        <v>2</v>
      </c>
      <c r="H248" s="81">
        <v>6</v>
      </c>
      <c r="I248" s="81" t="s">
        <v>887</v>
      </c>
      <c r="J248" s="81" t="s">
        <v>341</v>
      </c>
      <c r="K248" s="81" t="s">
        <v>990</v>
      </c>
      <c r="L248" s="79"/>
      <c r="M248" s="79"/>
      <c r="N248" s="79"/>
    </row>
    <row r="249" ht="26" spans="1:14">
      <c r="A249" s="81" t="s">
        <v>617</v>
      </c>
      <c r="B249" s="81" t="s">
        <v>77</v>
      </c>
      <c r="C249" s="81" t="s">
        <v>203</v>
      </c>
      <c r="D249" s="81" t="s">
        <v>392</v>
      </c>
      <c r="E249" s="81">
        <v>1</v>
      </c>
      <c r="F249" s="81">
        <v>2</v>
      </c>
      <c r="G249" s="81">
        <v>2</v>
      </c>
      <c r="H249" s="81">
        <v>6</v>
      </c>
      <c r="I249" s="81" t="s">
        <v>887</v>
      </c>
      <c r="J249" s="81" t="s">
        <v>341</v>
      </c>
      <c r="K249" s="81" t="s">
        <v>990</v>
      </c>
      <c r="L249" s="79"/>
      <c r="M249" s="79"/>
      <c r="N249" s="79"/>
    </row>
    <row r="250" ht="26" spans="1:14">
      <c r="A250" s="81" t="s">
        <v>618</v>
      </c>
      <c r="B250" s="81" t="s">
        <v>77</v>
      </c>
      <c r="C250" s="81" t="s">
        <v>203</v>
      </c>
      <c r="D250" s="81" t="s">
        <v>392</v>
      </c>
      <c r="E250" s="81">
        <v>1</v>
      </c>
      <c r="F250" s="81">
        <v>2</v>
      </c>
      <c r="G250" s="81">
        <v>2</v>
      </c>
      <c r="H250" s="81">
        <v>6</v>
      </c>
      <c r="I250" s="81" t="s">
        <v>887</v>
      </c>
      <c r="J250" s="81" t="s">
        <v>341</v>
      </c>
      <c r="K250" s="81" t="s">
        <v>990</v>
      </c>
      <c r="L250" s="79"/>
      <c r="M250" s="79"/>
      <c r="N250" s="79"/>
    </row>
    <row r="251" ht="26" spans="1:14">
      <c r="A251" s="81" t="s">
        <v>619</v>
      </c>
      <c r="B251" s="81" t="s">
        <v>77</v>
      </c>
      <c r="C251" s="81" t="s">
        <v>203</v>
      </c>
      <c r="D251" s="81" t="s">
        <v>392</v>
      </c>
      <c r="E251" s="81">
        <v>1</v>
      </c>
      <c r="F251" s="81">
        <v>2</v>
      </c>
      <c r="G251" s="81">
        <v>2</v>
      </c>
      <c r="H251" s="81">
        <v>6</v>
      </c>
      <c r="I251" s="81" t="s">
        <v>887</v>
      </c>
      <c r="J251" s="81" t="s">
        <v>341</v>
      </c>
      <c r="K251" s="81" t="s">
        <v>990</v>
      </c>
      <c r="L251" s="79"/>
      <c r="M251" s="79"/>
      <c r="N251" s="79"/>
    </row>
    <row r="252" ht="26" spans="1:14">
      <c r="A252" s="81" t="s">
        <v>620</v>
      </c>
      <c r="B252" s="81" t="s">
        <v>77</v>
      </c>
      <c r="C252" s="81" t="s">
        <v>203</v>
      </c>
      <c r="D252" s="81" t="s">
        <v>392</v>
      </c>
      <c r="E252" s="81">
        <v>1</v>
      </c>
      <c r="F252" s="81">
        <v>2</v>
      </c>
      <c r="G252" s="81">
        <v>2</v>
      </c>
      <c r="H252" s="81">
        <v>6</v>
      </c>
      <c r="I252" s="81" t="s">
        <v>887</v>
      </c>
      <c r="J252" s="81" t="s">
        <v>341</v>
      </c>
      <c r="K252" s="81" t="s">
        <v>990</v>
      </c>
      <c r="L252" s="79"/>
      <c r="M252" s="79"/>
      <c r="N252" s="79"/>
    </row>
    <row r="253" ht="26" spans="1:14">
      <c r="A253" s="81" t="s">
        <v>621</v>
      </c>
      <c r="B253" s="81" t="s">
        <v>77</v>
      </c>
      <c r="C253" s="81" t="s">
        <v>203</v>
      </c>
      <c r="D253" s="81" t="s">
        <v>392</v>
      </c>
      <c r="E253" s="81">
        <v>1</v>
      </c>
      <c r="F253" s="81">
        <v>2</v>
      </c>
      <c r="G253" s="81">
        <v>2</v>
      </c>
      <c r="H253" s="81">
        <v>6</v>
      </c>
      <c r="I253" s="81" t="s">
        <v>887</v>
      </c>
      <c r="J253" s="81" t="s">
        <v>341</v>
      </c>
      <c r="K253" s="81" t="s">
        <v>990</v>
      </c>
      <c r="L253" s="79"/>
      <c r="M253" s="79"/>
      <c r="N253" s="79"/>
    </row>
    <row r="254" ht="26" spans="1:14">
      <c r="A254" s="81" t="s">
        <v>622</v>
      </c>
      <c r="B254" s="81" t="s">
        <v>77</v>
      </c>
      <c r="C254" s="81" t="s">
        <v>203</v>
      </c>
      <c r="D254" s="81" t="s">
        <v>392</v>
      </c>
      <c r="E254" s="81">
        <v>1</v>
      </c>
      <c r="F254" s="81">
        <v>2</v>
      </c>
      <c r="G254" s="81">
        <v>2</v>
      </c>
      <c r="H254" s="81">
        <v>6</v>
      </c>
      <c r="I254" s="81" t="s">
        <v>887</v>
      </c>
      <c r="J254" s="81" t="s">
        <v>341</v>
      </c>
      <c r="K254" s="81" t="s">
        <v>990</v>
      </c>
      <c r="L254" s="79"/>
      <c r="M254" s="79"/>
      <c r="N254" s="79"/>
    </row>
    <row r="255" ht="26" spans="1:14">
      <c r="A255" s="81" t="s">
        <v>623</v>
      </c>
      <c r="B255" s="81" t="s">
        <v>77</v>
      </c>
      <c r="C255" s="81" t="s">
        <v>203</v>
      </c>
      <c r="D255" s="81" t="s">
        <v>392</v>
      </c>
      <c r="E255" s="81">
        <v>1</v>
      </c>
      <c r="F255" s="81">
        <v>2</v>
      </c>
      <c r="G255" s="81">
        <v>2</v>
      </c>
      <c r="H255" s="81">
        <v>6</v>
      </c>
      <c r="I255" s="81" t="s">
        <v>887</v>
      </c>
      <c r="J255" s="81" t="s">
        <v>341</v>
      </c>
      <c r="K255" s="81" t="s">
        <v>990</v>
      </c>
      <c r="L255" s="79"/>
      <c r="M255" s="79"/>
      <c r="N255" s="79"/>
    </row>
    <row r="256" ht="26" spans="1:14">
      <c r="A256" s="81" t="s">
        <v>624</v>
      </c>
      <c r="B256" s="81" t="s">
        <v>77</v>
      </c>
      <c r="C256" s="81" t="s">
        <v>203</v>
      </c>
      <c r="D256" s="81" t="s">
        <v>392</v>
      </c>
      <c r="E256" s="81">
        <v>1</v>
      </c>
      <c r="F256" s="81">
        <v>2</v>
      </c>
      <c r="G256" s="81">
        <v>2</v>
      </c>
      <c r="H256" s="81">
        <v>6</v>
      </c>
      <c r="I256" s="81" t="s">
        <v>887</v>
      </c>
      <c r="J256" s="81" t="s">
        <v>341</v>
      </c>
      <c r="K256" s="81" t="s">
        <v>990</v>
      </c>
      <c r="L256" s="79"/>
      <c r="M256" s="79"/>
      <c r="N256" s="79"/>
    </row>
    <row r="257" ht="26" spans="1:14">
      <c r="A257" s="81" t="s">
        <v>625</v>
      </c>
      <c r="B257" s="81" t="s">
        <v>77</v>
      </c>
      <c r="C257" s="81" t="s">
        <v>203</v>
      </c>
      <c r="D257" s="81" t="s">
        <v>392</v>
      </c>
      <c r="E257" s="81">
        <v>1</v>
      </c>
      <c r="F257" s="81">
        <v>2</v>
      </c>
      <c r="G257" s="81">
        <v>2</v>
      </c>
      <c r="H257" s="81">
        <v>6</v>
      </c>
      <c r="I257" s="81" t="s">
        <v>887</v>
      </c>
      <c r="J257" s="81" t="s">
        <v>341</v>
      </c>
      <c r="K257" s="81" t="s">
        <v>990</v>
      </c>
      <c r="L257" s="79"/>
      <c r="M257" s="79"/>
      <c r="N257" s="79"/>
    </row>
    <row r="258" ht="26" spans="1:14">
      <c r="A258" s="81" t="s">
        <v>626</v>
      </c>
      <c r="B258" s="81" t="s">
        <v>77</v>
      </c>
      <c r="C258" s="81" t="s">
        <v>203</v>
      </c>
      <c r="D258" s="81" t="s">
        <v>392</v>
      </c>
      <c r="E258" s="81">
        <v>1</v>
      </c>
      <c r="F258" s="81">
        <v>2</v>
      </c>
      <c r="G258" s="81">
        <v>2</v>
      </c>
      <c r="H258" s="81">
        <v>6</v>
      </c>
      <c r="I258" s="81" t="s">
        <v>887</v>
      </c>
      <c r="J258" s="81" t="s">
        <v>341</v>
      </c>
      <c r="K258" s="81" t="s">
        <v>990</v>
      </c>
      <c r="L258" s="79"/>
      <c r="M258" s="79"/>
      <c r="N258" s="79"/>
    </row>
    <row r="259" ht="26" spans="1:14">
      <c r="A259" s="81" t="s">
        <v>627</v>
      </c>
      <c r="B259" s="81" t="s">
        <v>77</v>
      </c>
      <c r="C259" s="81" t="s">
        <v>203</v>
      </c>
      <c r="D259" s="81" t="s">
        <v>392</v>
      </c>
      <c r="E259" s="81">
        <v>1</v>
      </c>
      <c r="F259" s="81">
        <v>2</v>
      </c>
      <c r="G259" s="81">
        <v>2</v>
      </c>
      <c r="H259" s="81">
        <v>6</v>
      </c>
      <c r="I259" s="81" t="s">
        <v>887</v>
      </c>
      <c r="J259" s="81" t="s">
        <v>341</v>
      </c>
      <c r="K259" s="81" t="s">
        <v>990</v>
      </c>
      <c r="L259" s="79"/>
      <c r="M259" s="79"/>
      <c r="N259" s="79"/>
    </row>
    <row r="260" ht="26" spans="1:14">
      <c r="A260" s="81" t="s">
        <v>628</v>
      </c>
      <c r="B260" s="81" t="s">
        <v>77</v>
      </c>
      <c r="C260" s="81" t="s">
        <v>203</v>
      </c>
      <c r="D260" s="81" t="s">
        <v>629</v>
      </c>
      <c r="E260" s="81">
        <v>1</v>
      </c>
      <c r="F260" s="81">
        <v>2</v>
      </c>
      <c r="G260" s="81">
        <v>2</v>
      </c>
      <c r="H260" s="81">
        <v>6</v>
      </c>
      <c r="I260" s="81" t="s">
        <v>887</v>
      </c>
      <c r="J260" s="81" t="s">
        <v>341</v>
      </c>
      <c r="K260" s="81" t="s">
        <v>990</v>
      </c>
      <c r="L260" s="79"/>
      <c r="M260" s="79"/>
      <c r="N260" s="79"/>
    </row>
    <row r="261" ht="26" spans="1:14">
      <c r="A261" s="81" t="s">
        <v>635</v>
      </c>
      <c r="B261" s="81" t="s">
        <v>77</v>
      </c>
      <c r="C261" s="81" t="s">
        <v>203</v>
      </c>
      <c r="D261" s="81" t="s">
        <v>629</v>
      </c>
      <c r="E261" s="81">
        <v>1</v>
      </c>
      <c r="F261" s="81">
        <v>2</v>
      </c>
      <c r="G261" s="81">
        <v>2</v>
      </c>
      <c r="H261" s="81">
        <v>6</v>
      </c>
      <c r="I261" s="81" t="s">
        <v>887</v>
      </c>
      <c r="J261" s="81" t="s">
        <v>341</v>
      </c>
      <c r="K261" s="81" t="s">
        <v>990</v>
      </c>
      <c r="L261" s="79"/>
      <c r="M261" s="79"/>
      <c r="N261" s="79"/>
    </row>
    <row r="262" ht="26" spans="1:14">
      <c r="A262" s="81" t="s">
        <v>636</v>
      </c>
      <c r="B262" s="81" t="s">
        <v>77</v>
      </c>
      <c r="C262" s="81" t="s">
        <v>203</v>
      </c>
      <c r="D262" s="81" t="s">
        <v>629</v>
      </c>
      <c r="E262" s="81">
        <v>1</v>
      </c>
      <c r="F262" s="81">
        <v>2</v>
      </c>
      <c r="G262" s="81">
        <v>2</v>
      </c>
      <c r="H262" s="81">
        <v>6</v>
      </c>
      <c r="I262" s="81" t="s">
        <v>887</v>
      </c>
      <c r="J262" s="81" t="s">
        <v>341</v>
      </c>
      <c r="K262" s="81" t="s">
        <v>990</v>
      </c>
      <c r="L262" s="79"/>
      <c r="M262" s="79"/>
      <c r="N262" s="79"/>
    </row>
    <row r="263" ht="26" spans="1:14">
      <c r="A263" s="81" t="s">
        <v>637</v>
      </c>
      <c r="B263" s="81" t="s">
        <v>77</v>
      </c>
      <c r="C263" s="81" t="s">
        <v>203</v>
      </c>
      <c r="D263" s="81" t="s">
        <v>629</v>
      </c>
      <c r="E263" s="81">
        <v>1</v>
      </c>
      <c r="F263" s="81">
        <v>2</v>
      </c>
      <c r="G263" s="81">
        <v>2</v>
      </c>
      <c r="H263" s="81">
        <v>6</v>
      </c>
      <c r="I263" s="81" t="s">
        <v>887</v>
      </c>
      <c r="J263" s="81" t="s">
        <v>341</v>
      </c>
      <c r="K263" s="81" t="s">
        <v>990</v>
      </c>
      <c r="L263" s="79"/>
      <c r="M263" s="79"/>
      <c r="N263" s="79"/>
    </row>
    <row r="264" ht="26" spans="1:14">
      <c r="A264" s="81" t="s">
        <v>638</v>
      </c>
      <c r="B264" s="81" t="s">
        <v>77</v>
      </c>
      <c r="C264" s="81" t="s">
        <v>203</v>
      </c>
      <c r="D264" s="81" t="s">
        <v>629</v>
      </c>
      <c r="E264" s="81">
        <v>1</v>
      </c>
      <c r="F264" s="81">
        <v>2</v>
      </c>
      <c r="G264" s="81">
        <v>2</v>
      </c>
      <c r="H264" s="81">
        <v>6</v>
      </c>
      <c r="I264" s="81" t="s">
        <v>887</v>
      </c>
      <c r="J264" s="81" t="s">
        <v>341</v>
      </c>
      <c r="K264" s="81" t="s">
        <v>990</v>
      </c>
      <c r="L264" s="79"/>
      <c r="M264" s="79"/>
      <c r="N264" s="79"/>
    </row>
    <row r="265" ht="26" spans="1:14">
      <c r="A265" s="81" t="s">
        <v>639</v>
      </c>
      <c r="B265" s="81" t="s">
        <v>77</v>
      </c>
      <c r="C265" s="81" t="s">
        <v>203</v>
      </c>
      <c r="D265" s="81" t="s">
        <v>629</v>
      </c>
      <c r="E265" s="81">
        <v>1</v>
      </c>
      <c r="F265" s="81">
        <v>2</v>
      </c>
      <c r="G265" s="81">
        <v>2</v>
      </c>
      <c r="H265" s="81">
        <v>6</v>
      </c>
      <c r="I265" s="81" t="s">
        <v>887</v>
      </c>
      <c r="J265" s="81" t="s">
        <v>341</v>
      </c>
      <c r="K265" s="81" t="s">
        <v>990</v>
      </c>
      <c r="L265" s="79"/>
      <c r="M265" s="79"/>
      <c r="N265" s="79"/>
    </row>
    <row r="266" ht="26" spans="1:14">
      <c r="A266" s="81" t="s">
        <v>640</v>
      </c>
      <c r="B266" s="81" t="s">
        <v>77</v>
      </c>
      <c r="C266" s="81" t="s">
        <v>203</v>
      </c>
      <c r="D266" s="81" t="s">
        <v>641</v>
      </c>
      <c r="E266" s="81">
        <v>1</v>
      </c>
      <c r="F266" s="81">
        <v>2</v>
      </c>
      <c r="G266" s="81">
        <v>2</v>
      </c>
      <c r="H266" s="81">
        <v>6</v>
      </c>
      <c r="I266" s="81" t="s">
        <v>887</v>
      </c>
      <c r="J266" s="81" t="s">
        <v>341</v>
      </c>
      <c r="K266" s="81" t="s">
        <v>990</v>
      </c>
      <c r="L266" s="79"/>
      <c r="M266" s="79"/>
      <c r="N266" s="79"/>
    </row>
    <row r="267" ht="26" spans="1:14">
      <c r="A267" s="81" t="s">
        <v>643</v>
      </c>
      <c r="B267" s="81" t="s">
        <v>77</v>
      </c>
      <c r="C267" s="81" t="s">
        <v>203</v>
      </c>
      <c r="D267" s="81" t="s">
        <v>392</v>
      </c>
      <c r="E267" s="81">
        <v>1</v>
      </c>
      <c r="F267" s="81">
        <v>2</v>
      </c>
      <c r="G267" s="81">
        <v>2</v>
      </c>
      <c r="H267" s="81">
        <v>6</v>
      </c>
      <c r="I267" s="81" t="s">
        <v>887</v>
      </c>
      <c r="J267" s="81" t="s">
        <v>341</v>
      </c>
      <c r="K267" s="81" t="s">
        <v>990</v>
      </c>
      <c r="L267" s="79"/>
      <c r="M267" s="79"/>
      <c r="N267" s="79"/>
    </row>
    <row r="268" ht="26" spans="1:14">
      <c r="A268" s="81" t="s">
        <v>644</v>
      </c>
      <c r="B268" s="81" t="s">
        <v>77</v>
      </c>
      <c r="C268" s="81" t="s">
        <v>203</v>
      </c>
      <c r="D268" s="81" t="s">
        <v>449</v>
      </c>
      <c r="E268" s="81">
        <v>2</v>
      </c>
      <c r="F268" s="81">
        <v>2</v>
      </c>
      <c r="G268" s="81">
        <v>2</v>
      </c>
      <c r="H268" s="81">
        <v>7</v>
      </c>
      <c r="I268" s="81" t="s">
        <v>892</v>
      </c>
      <c r="J268" s="81" t="s">
        <v>243</v>
      </c>
      <c r="K268" s="81" t="s">
        <v>990</v>
      </c>
      <c r="L268" s="79"/>
      <c r="M268" s="79"/>
      <c r="N268" s="79"/>
    </row>
    <row r="269" ht="26" spans="1:14">
      <c r="A269" s="81" t="s">
        <v>645</v>
      </c>
      <c r="B269" s="81" t="s">
        <v>77</v>
      </c>
      <c r="C269" s="81" t="s">
        <v>203</v>
      </c>
      <c r="D269" s="81" t="s">
        <v>449</v>
      </c>
      <c r="E269" s="81">
        <v>2</v>
      </c>
      <c r="F269" s="81">
        <v>2</v>
      </c>
      <c r="G269" s="81">
        <v>2</v>
      </c>
      <c r="H269" s="81">
        <v>7</v>
      </c>
      <c r="I269" s="81" t="s">
        <v>892</v>
      </c>
      <c r="J269" s="81" t="s">
        <v>243</v>
      </c>
      <c r="K269" s="81" t="s">
        <v>990</v>
      </c>
      <c r="L269" s="79"/>
      <c r="M269" s="79"/>
      <c r="N269" s="79"/>
    </row>
    <row r="270" ht="26" spans="1:14">
      <c r="A270" s="81" t="s">
        <v>646</v>
      </c>
      <c r="B270" s="81" t="s">
        <v>77</v>
      </c>
      <c r="C270" s="81" t="s">
        <v>203</v>
      </c>
      <c r="D270" s="81" t="s">
        <v>641</v>
      </c>
      <c r="E270" s="81">
        <v>1</v>
      </c>
      <c r="F270" s="81">
        <v>2</v>
      </c>
      <c r="G270" s="81">
        <v>2</v>
      </c>
      <c r="H270" s="81">
        <v>6</v>
      </c>
      <c r="I270" s="81" t="s">
        <v>887</v>
      </c>
      <c r="J270" s="81" t="s">
        <v>341</v>
      </c>
      <c r="K270" s="81" t="s">
        <v>990</v>
      </c>
      <c r="L270" s="79"/>
      <c r="M270" s="79"/>
      <c r="N270" s="79"/>
    </row>
    <row r="271" ht="26" spans="1:14">
      <c r="A271" s="81" t="s">
        <v>648</v>
      </c>
      <c r="B271" s="81" t="s">
        <v>77</v>
      </c>
      <c r="C271" s="81" t="s">
        <v>203</v>
      </c>
      <c r="D271" s="81" t="s">
        <v>641</v>
      </c>
      <c r="E271" s="81">
        <v>1</v>
      </c>
      <c r="F271" s="81">
        <v>2</v>
      </c>
      <c r="G271" s="81">
        <v>2</v>
      </c>
      <c r="H271" s="81">
        <v>6</v>
      </c>
      <c r="I271" s="81" t="s">
        <v>887</v>
      </c>
      <c r="J271" s="81" t="s">
        <v>341</v>
      </c>
      <c r="K271" s="81" t="s">
        <v>990</v>
      </c>
      <c r="L271" s="79"/>
      <c r="M271" s="79"/>
      <c r="N271" s="79"/>
    </row>
    <row r="272" ht="26" spans="1:14">
      <c r="A272" s="81" t="s">
        <v>649</v>
      </c>
      <c r="B272" s="81" t="s">
        <v>77</v>
      </c>
      <c r="C272" s="81" t="s">
        <v>203</v>
      </c>
      <c r="D272" s="81" t="s">
        <v>641</v>
      </c>
      <c r="E272" s="81">
        <v>1</v>
      </c>
      <c r="F272" s="81">
        <v>2</v>
      </c>
      <c r="G272" s="81">
        <v>2</v>
      </c>
      <c r="H272" s="81">
        <v>6</v>
      </c>
      <c r="I272" s="81" t="s">
        <v>887</v>
      </c>
      <c r="J272" s="81" t="s">
        <v>341</v>
      </c>
      <c r="K272" s="81" t="s">
        <v>990</v>
      </c>
      <c r="L272" s="79"/>
      <c r="M272" s="79"/>
      <c r="N272" s="79"/>
    </row>
    <row r="273" ht="26" spans="1:14">
      <c r="A273" s="81" t="s">
        <v>650</v>
      </c>
      <c r="B273" s="81" t="s">
        <v>77</v>
      </c>
      <c r="C273" s="81" t="s">
        <v>203</v>
      </c>
      <c r="D273" s="81" t="s">
        <v>641</v>
      </c>
      <c r="E273" s="81">
        <v>1</v>
      </c>
      <c r="F273" s="81">
        <v>2</v>
      </c>
      <c r="G273" s="81">
        <v>2</v>
      </c>
      <c r="H273" s="81">
        <v>6</v>
      </c>
      <c r="I273" s="81" t="s">
        <v>887</v>
      </c>
      <c r="J273" s="81" t="s">
        <v>341</v>
      </c>
      <c r="K273" s="81" t="s">
        <v>990</v>
      </c>
      <c r="L273" s="79"/>
      <c r="M273" s="79"/>
      <c r="N273" s="79"/>
    </row>
    <row r="274" ht="26" spans="1:14">
      <c r="A274" s="81" t="s">
        <v>651</v>
      </c>
      <c r="B274" s="81" t="s">
        <v>77</v>
      </c>
      <c r="C274" s="81" t="s">
        <v>203</v>
      </c>
      <c r="D274" s="81" t="s">
        <v>641</v>
      </c>
      <c r="E274" s="81">
        <v>1</v>
      </c>
      <c r="F274" s="81">
        <v>2</v>
      </c>
      <c r="G274" s="81">
        <v>2</v>
      </c>
      <c r="H274" s="81">
        <v>6</v>
      </c>
      <c r="I274" s="81" t="s">
        <v>887</v>
      </c>
      <c r="J274" s="81" t="s">
        <v>341</v>
      </c>
      <c r="K274" s="81" t="s">
        <v>990</v>
      </c>
      <c r="L274" s="79"/>
      <c r="M274" s="79"/>
      <c r="N274" s="79"/>
    </row>
    <row r="275" ht="26" spans="1:14">
      <c r="A275" s="81" t="s">
        <v>652</v>
      </c>
      <c r="B275" s="81" t="s">
        <v>77</v>
      </c>
      <c r="C275" s="81" t="s">
        <v>203</v>
      </c>
      <c r="D275" s="81" t="s">
        <v>641</v>
      </c>
      <c r="E275" s="81">
        <v>1</v>
      </c>
      <c r="F275" s="81">
        <v>2</v>
      </c>
      <c r="G275" s="81">
        <v>2</v>
      </c>
      <c r="H275" s="81">
        <v>6</v>
      </c>
      <c r="I275" s="81" t="s">
        <v>887</v>
      </c>
      <c r="J275" s="81" t="s">
        <v>341</v>
      </c>
      <c r="K275" s="81" t="s">
        <v>990</v>
      </c>
      <c r="L275" s="79"/>
      <c r="M275" s="79"/>
      <c r="N275" s="79"/>
    </row>
    <row r="276" ht="26" spans="1:14">
      <c r="A276" s="81" t="s">
        <v>653</v>
      </c>
      <c r="B276" s="81" t="s">
        <v>77</v>
      </c>
      <c r="C276" s="81" t="s">
        <v>203</v>
      </c>
      <c r="D276" s="81" t="s">
        <v>641</v>
      </c>
      <c r="E276" s="81">
        <v>1</v>
      </c>
      <c r="F276" s="81">
        <v>2</v>
      </c>
      <c r="G276" s="81">
        <v>2</v>
      </c>
      <c r="H276" s="81">
        <v>6</v>
      </c>
      <c r="I276" s="81" t="s">
        <v>887</v>
      </c>
      <c r="J276" s="81" t="s">
        <v>341</v>
      </c>
      <c r="K276" s="81" t="s">
        <v>990</v>
      </c>
      <c r="L276" s="79"/>
      <c r="M276" s="79"/>
      <c r="N276" s="79"/>
    </row>
    <row r="277" ht="26" spans="1:14">
      <c r="A277" s="81" t="s">
        <v>654</v>
      </c>
      <c r="B277" s="81" t="s">
        <v>77</v>
      </c>
      <c r="C277" s="81" t="s">
        <v>203</v>
      </c>
      <c r="D277" s="81" t="s">
        <v>641</v>
      </c>
      <c r="E277" s="81">
        <v>1</v>
      </c>
      <c r="F277" s="81">
        <v>2</v>
      </c>
      <c r="G277" s="81">
        <v>2</v>
      </c>
      <c r="H277" s="81">
        <v>6</v>
      </c>
      <c r="I277" s="81" t="s">
        <v>887</v>
      </c>
      <c r="J277" s="81" t="s">
        <v>341</v>
      </c>
      <c r="K277" s="81" t="s">
        <v>990</v>
      </c>
      <c r="L277" s="79"/>
      <c r="M277" s="79"/>
      <c r="N277" s="79"/>
    </row>
    <row r="278" ht="26" spans="1:14">
      <c r="A278" s="81" t="s">
        <v>655</v>
      </c>
      <c r="B278" s="81" t="s">
        <v>77</v>
      </c>
      <c r="C278" s="81" t="s">
        <v>203</v>
      </c>
      <c r="D278" s="81" t="s">
        <v>641</v>
      </c>
      <c r="E278" s="81">
        <v>1</v>
      </c>
      <c r="F278" s="81">
        <v>2</v>
      </c>
      <c r="G278" s="81">
        <v>2</v>
      </c>
      <c r="H278" s="81">
        <v>6</v>
      </c>
      <c r="I278" s="81" t="s">
        <v>887</v>
      </c>
      <c r="J278" s="81" t="s">
        <v>341</v>
      </c>
      <c r="K278" s="81" t="s">
        <v>990</v>
      </c>
      <c r="L278" s="79"/>
      <c r="M278" s="79"/>
      <c r="N278" s="79"/>
    </row>
    <row r="279" ht="26" spans="1:14">
      <c r="A279" s="81" t="s">
        <v>656</v>
      </c>
      <c r="B279" s="81" t="s">
        <v>77</v>
      </c>
      <c r="C279" s="81" t="s">
        <v>203</v>
      </c>
      <c r="D279" s="81" t="s">
        <v>641</v>
      </c>
      <c r="E279" s="81">
        <v>1</v>
      </c>
      <c r="F279" s="81">
        <v>2</v>
      </c>
      <c r="G279" s="81">
        <v>2</v>
      </c>
      <c r="H279" s="81">
        <v>6</v>
      </c>
      <c r="I279" s="81" t="s">
        <v>887</v>
      </c>
      <c r="J279" s="81" t="s">
        <v>341</v>
      </c>
      <c r="K279" s="81" t="s">
        <v>990</v>
      </c>
      <c r="L279" s="79"/>
      <c r="M279" s="79"/>
      <c r="N279" s="79"/>
    </row>
    <row r="280" ht="26" spans="1:14">
      <c r="A280" s="81" t="s">
        <v>657</v>
      </c>
      <c r="B280" s="81" t="s">
        <v>77</v>
      </c>
      <c r="C280" s="81" t="s">
        <v>203</v>
      </c>
      <c r="D280" s="81" t="s">
        <v>641</v>
      </c>
      <c r="E280" s="81">
        <v>1</v>
      </c>
      <c r="F280" s="81">
        <v>2</v>
      </c>
      <c r="G280" s="81">
        <v>2</v>
      </c>
      <c r="H280" s="81">
        <v>6</v>
      </c>
      <c r="I280" s="81" t="s">
        <v>887</v>
      </c>
      <c r="J280" s="81" t="s">
        <v>341</v>
      </c>
      <c r="K280" s="81" t="s">
        <v>990</v>
      </c>
      <c r="L280" s="79"/>
      <c r="M280" s="79"/>
      <c r="N280" s="79"/>
    </row>
    <row r="281" ht="26" spans="1:14">
      <c r="A281" s="81" t="s">
        <v>658</v>
      </c>
      <c r="B281" s="81" t="s">
        <v>77</v>
      </c>
      <c r="C281" s="81" t="s">
        <v>203</v>
      </c>
      <c r="D281" s="81" t="s">
        <v>641</v>
      </c>
      <c r="E281" s="81">
        <v>1</v>
      </c>
      <c r="F281" s="81">
        <v>2</v>
      </c>
      <c r="G281" s="81">
        <v>2</v>
      </c>
      <c r="H281" s="81">
        <v>6</v>
      </c>
      <c r="I281" s="81" t="s">
        <v>887</v>
      </c>
      <c r="J281" s="81" t="s">
        <v>341</v>
      </c>
      <c r="K281" s="81" t="s">
        <v>990</v>
      </c>
      <c r="L281" s="79"/>
      <c r="M281" s="79"/>
      <c r="N281" s="79"/>
    </row>
    <row r="282" ht="26" spans="1:14">
      <c r="A282" s="81" t="s">
        <v>659</v>
      </c>
      <c r="B282" s="81" t="s">
        <v>77</v>
      </c>
      <c r="C282" s="81" t="s">
        <v>203</v>
      </c>
      <c r="D282" s="81" t="s">
        <v>641</v>
      </c>
      <c r="E282" s="81">
        <v>1</v>
      </c>
      <c r="F282" s="81">
        <v>2</v>
      </c>
      <c r="G282" s="81">
        <v>2</v>
      </c>
      <c r="H282" s="81">
        <v>6</v>
      </c>
      <c r="I282" s="81" t="s">
        <v>887</v>
      </c>
      <c r="J282" s="81" t="s">
        <v>341</v>
      </c>
      <c r="K282" s="81" t="s">
        <v>990</v>
      </c>
      <c r="L282" s="79"/>
      <c r="M282" s="79"/>
      <c r="N282" s="79"/>
    </row>
    <row r="283" ht="26" spans="1:14">
      <c r="A283" s="81" t="s">
        <v>660</v>
      </c>
      <c r="B283" s="81" t="s">
        <v>77</v>
      </c>
      <c r="C283" s="81" t="s">
        <v>203</v>
      </c>
      <c r="D283" s="81" t="s">
        <v>641</v>
      </c>
      <c r="E283" s="81">
        <v>1</v>
      </c>
      <c r="F283" s="81">
        <v>2</v>
      </c>
      <c r="G283" s="81">
        <v>2</v>
      </c>
      <c r="H283" s="81">
        <v>6</v>
      </c>
      <c r="I283" s="81" t="s">
        <v>887</v>
      </c>
      <c r="J283" s="81" t="s">
        <v>341</v>
      </c>
      <c r="K283" s="81" t="s">
        <v>990</v>
      </c>
      <c r="L283" s="79"/>
      <c r="M283" s="79"/>
      <c r="N283" s="79"/>
    </row>
    <row r="284" ht="26" spans="1:14">
      <c r="A284" s="81" t="s">
        <v>661</v>
      </c>
      <c r="B284" s="81" t="s">
        <v>77</v>
      </c>
      <c r="C284" s="81" t="s">
        <v>203</v>
      </c>
      <c r="D284" s="81" t="s">
        <v>641</v>
      </c>
      <c r="E284" s="81">
        <v>1</v>
      </c>
      <c r="F284" s="81">
        <v>2</v>
      </c>
      <c r="G284" s="81">
        <v>2</v>
      </c>
      <c r="H284" s="81">
        <v>6</v>
      </c>
      <c r="I284" s="81" t="s">
        <v>887</v>
      </c>
      <c r="J284" s="81" t="s">
        <v>341</v>
      </c>
      <c r="K284" s="81" t="s">
        <v>990</v>
      </c>
      <c r="L284" s="79"/>
      <c r="M284" s="79"/>
      <c r="N284" s="79"/>
    </row>
    <row r="285" ht="26" spans="1:14">
      <c r="A285" s="81" t="s">
        <v>662</v>
      </c>
      <c r="B285" s="81" t="s">
        <v>77</v>
      </c>
      <c r="C285" s="81" t="s">
        <v>203</v>
      </c>
      <c r="D285" s="81" t="s">
        <v>641</v>
      </c>
      <c r="E285" s="81">
        <v>1</v>
      </c>
      <c r="F285" s="81">
        <v>2</v>
      </c>
      <c r="G285" s="81">
        <v>2</v>
      </c>
      <c r="H285" s="81">
        <v>6</v>
      </c>
      <c r="I285" s="81" t="s">
        <v>887</v>
      </c>
      <c r="J285" s="81" t="s">
        <v>341</v>
      </c>
      <c r="K285" s="81" t="s">
        <v>990</v>
      </c>
      <c r="L285" s="79"/>
      <c r="M285" s="79"/>
      <c r="N285" s="79"/>
    </row>
    <row r="286" ht="26" spans="1:14">
      <c r="A286" s="81" t="s">
        <v>663</v>
      </c>
      <c r="B286" s="81" t="s">
        <v>77</v>
      </c>
      <c r="C286" s="81" t="s">
        <v>203</v>
      </c>
      <c r="D286" s="81" t="s">
        <v>641</v>
      </c>
      <c r="E286" s="81">
        <v>1</v>
      </c>
      <c r="F286" s="81">
        <v>2</v>
      </c>
      <c r="G286" s="81">
        <v>2</v>
      </c>
      <c r="H286" s="81">
        <v>6</v>
      </c>
      <c r="I286" s="81" t="s">
        <v>887</v>
      </c>
      <c r="J286" s="81" t="s">
        <v>341</v>
      </c>
      <c r="K286" s="81" t="s">
        <v>990</v>
      </c>
      <c r="L286" s="79"/>
      <c r="M286" s="79"/>
      <c r="N286" s="79"/>
    </row>
    <row r="287" ht="26" spans="1:14">
      <c r="A287" s="81" t="s">
        <v>664</v>
      </c>
      <c r="B287" s="81" t="s">
        <v>77</v>
      </c>
      <c r="C287" s="81" t="s">
        <v>203</v>
      </c>
      <c r="D287" s="81" t="s">
        <v>641</v>
      </c>
      <c r="E287" s="81">
        <v>1</v>
      </c>
      <c r="F287" s="81">
        <v>2</v>
      </c>
      <c r="G287" s="81">
        <v>2</v>
      </c>
      <c r="H287" s="81">
        <v>6</v>
      </c>
      <c r="I287" s="81" t="s">
        <v>887</v>
      </c>
      <c r="J287" s="81" t="s">
        <v>341</v>
      </c>
      <c r="K287" s="81" t="s">
        <v>990</v>
      </c>
      <c r="L287" s="79"/>
      <c r="M287" s="79"/>
      <c r="N287" s="79"/>
    </row>
    <row r="288" ht="26" spans="1:14">
      <c r="A288" s="81" t="s">
        <v>665</v>
      </c>
      <c r="B288" s="81" t="s">
        <v>77</v>
      </c>
      <c r="C288" s="81" t="s">
        <v>203</v>
      </c>
      <c r="D288" s="81" t="s">
        <v>641</v>
      </c>
      <c r="E288" s="81">
        <v>1</v>
      </c>
      <c r="F288" s="81">
        <v>2</v>
      </c>
      <c r="G288" s="81">
        <v>2</v>
      </c>
      <c r="H288" s="81">
        <v>6</v>
      </c>
      <c r="I288" s="81" t="s">
        <v>887</v>
      </c>
      <c r="J288" s="81" t="s">
        <v>341</v>
      </c>
      <c r="K288" s="81" t="s">
        <v>990</v>
      </c>
      <c r="L288" s="79"/>
      <c r="M288" s="79"/>
      <c r="N288" s="79"/>
    </row>
    <row r="289" ht="26" spans="1:14">
      <c r="A289" s="81" t="s">
        <v>666</v>
      </c>
      <c r="B289" s="81" t="s">
        <v>77</v>
      </c>
      <c r="C289" s="81" t="s">
        <v>203</v>
      </c>
      <c r="D289" s="81" t="s">
        <v>641</v>
      </c>
      <c r="E289" s="81">
        <v>1</v>
      </c>
      <c r="F289" s="81">
        <v>2</v>
      </c>
      <c r="G289" s="81">
        <v>2</v>
      </c>
      <c r="H289" s="81">
        <v>6</v>
      </c>
      <c r="I289" s="81" t="s">
        <v>887</v>
      </c>
      <c r="J289" s="81" t="s">
        <v>341</v>
      </c>
      <c r="K289" s="81" t="s">
        <v>990</v>
      </c>
      <c r="L289" s="79"/>
      <c r="M289" s="79"/>
      <c r="N289" s="79"/>
    </row>
    <row r="290" ht="26" spans="1:14">
      <c r="A290" s="81" t="s">
        <v>667</v>
      </c>
      <c r="B290" s="81" t="s">
        <v>77</v>
      </c>
      <c r="C290" s="81" t="s">
        <v>203</v>
      </c>
      <c r="D290" s="81" t="s">
        <v>641</v>
      </c>
      <c r="E290" s="81">
        <v>1</v>
      </c>
      <c r="F290" s="81">
        <v>2</v>
      </c>
      <c r="G290" s="81">
        <v>2</v>
      </c>
      <c r="H290" s="81">
        <v>6</v>
      </c>
      <c r="I290" s="81" t="s">
        <v>887</v>
      </c>
      <c r="J290" s="81" t="s">
        <v>341</v>
      </c>
      <c r="K290" s="81" t="s">
        <v>990</v>
      </c>
      <c r="L290" s="79"/>
      <c r="M290" s="79"/>
      <c r="N290" s="79"/>
    </row>
    <row r="291" ht="26" spans="1:14">
      <c r="A291" s="81" t="s">
        <v>668</v>
      </c>
      <c r="B291" s="81" t="s">
        <v>77</v>
      </c>
      <c r="C291" s="81" t="s">
        <v>203</v>
      </c>
      <c r="D291" s="81" t="s">
        <v>641</v>
      </c>
      <c r="E291" s="81">
        <v>1</v>
      </c>
      <c r="F291" s="81">
        <v>2</v>
      </c>
      <c r="G291" s="81">
        <v>2</v>
      </c>
      <c r="H291" s="81">
        <v>6</v>
      </c>
      <c r="I291" s="81" t="s">
        <v>887</v>
      </c>
      <c r="J291" s="81" t="s">
        <v>341</v>
      </c>
      <c r="K291" s="81" t="s">
        <v>990</v>
      </c>
      <c r="L291" s="79"/>
      <c r="M291" s="79"/>
      <c r="N291" s="79"/>
    </row>
    <row r="292" ht="26" spans="1:14">
      <c r="A292" s="81" t="s">
        <v>669</v>
      </c>
      <c r="B292" s="81" t="s">
        <v>77</v>
      </c>
      <c r="C292" s="81" t="s">
        <v>203</v>
      </c>
      <c r="D292" s="81" t="s">
        <v>641</v>
      </c>
      <c r="E292" s="81">
        <v>1</v>
      </c>
      <c r="F292" s="81">
        <v>2</v>
      </c>
      <c r="G292" s="81">
        <v>2</v>
      </c>
      <c r="H292" s="81">
        <v>6</v>
      </c>
      <c r="I292" s="81" t="s">
        <v>887</v>
      </c>
      <c r="J292" s="81" t="s">
        <v>341</v>
      </c>
      <c r="K292" s="81" t="s">
        <v>990</v>
      </c>
      <c r="L292" s="79"/>
      <c r="M292" s="79"/>
      <c r="N292" s="79"/>
    </row>
    <row r="293" ht="26" spans="1:14">
      <c r="A293" s="81" t="s">
        <v>670</v>
      </c>
      <c r="B293" s="81" t="s">
        <v>77</v>
      </c>
      <c r="C293" s="81" t="s">
        <v>203</v>
      </c>
      <c r="D293" s="81" t="s">
        <v>641</v>
      </c>
      <c r="E293" s="81">
        <v>1</v>
      </c>
      <c r="F293" s="81">
        <v>2</v>
      </c>
      <c r="G293" s="81">
        <v>2</v>
      </c>
      <c r="H293" s="81">
        <v>6</v>
      </c>
      <c r="I293" s="81" t="s">
        <v>887</v>
      </c>
      <c r="J293" s="81" t="s">
        <v>341</v>
      </c>
      <c r="K293" s="81" t="s">
        <v>990</v>
      </c>
      <c r="L293" s="79"/>
      <c r="M293" s="79"/>
      <c r="N293" s="79"/>
    </row>
    <row r="294" ht="26" spans="1:14">
      <c r="A294" s="81" t="s">
        <v>671</v>
      </c>
      <c r="B294" s="81" t="s">
        <v>77</v>
      </c>
      <c r="C294" s="81" t="s">
        <v>203</v>
      </c>
      <c r="D294" s="81" t="s">
        <v>641</v>
      </c>
      <c r="E294" s="81">
        <v>1</v>
      </c>
      <c r="F294" s="81">
        <v>2</v>
      </c>
      <c r="G294" s="81">
        <v>2</v>
      </c>
      <c r="H294" s="81">
        <v>6</v>
      </c>
      <c r="I294" s="81" t="s">
        <v>887</v>
      </c>
      <c r="J294" s="81" t="s">
        <v>341</v>
      </c>
      <c r="K294" s="81" t="s">
        <v>990</v>
      </c>
      <c r="L294" s="79"/>
      <c r="M294" s="79"/>
      <c r="N294" s="79"/>
    </row>
    <row r="295" ht="26" spans="1:14">
      <c r="A295" s="81" t="s">
        <v>672</v>
      </c>
      <c r="B295" s="81" t="s">
        <v>77</v>
      </c>
      <c r="C295" s="81" t="s">
        <v>203</v>
      </c>
      <c r="D295" s="81" t="s">
        <v>641</v>
      </c>
      <c r="E295" s="81">
        <v>1</v>
      </c>
      <c r="F295" s="81">
        <v>2</v>
      </c>
      <c r="G295" s="81">
        <v>2</v>
      </c>
      <c r="H295" s="81">
        <v>6</v>
      </c>
      <c r="I295" s="81" t="s">
        <v>887</v>
      </c>
      <c r="J295" s="81" t="s">
        <v>341</v>
      </c>
      <c r="K295" s="81" t="s">
        <v>990</v>
      </c>
      <c r="L295" s="79"/>
      <c r="M295" s="79"/>
      <c r="N295" s="79"/>
    </row>
    <row r="296" ht="26" spans="1:14">
      <c r="A296" s="81" t="s">
        <v>673</v>
      </c>
      <c r="B296" s="81" t="s">
        <v>77</v>
      </c>
      <c r="C296" s="81" t="s">
        <v>203</v>
      </c>
      <c r="D296" s="81" t="s">
        <v>641</v>
      </c>
      <c r="E296" s="81">
        <v>1</v>
      </c>
      <c r="F296" s="81">
        <v>2</v>
      </c>
      <c r="G296" s="81">
        <v>2</v>
      </c>
      <c r="H296" s="81">
        <v>6</v>
      </c>
      <c r="I296" s="81" t="s">
        <v>887</v>
      </c>
      <c r="J296" s="81" t="s">
        <v>341</v>
      </c>
      <c r="K296" s="81" t="s">
        <v>990</v>
      </c>
      <c r="L296" s="79"/>
      <c r="M296" s="79"/>
      <c r="N296" s="79"/>
    </row>
    <row r="297" ht="26" spans="1:14">
      <c r="A297" s="81" t="s">
        <v>674</v>
      </c>
      <c r="B297" s="81" t="s">
        <v>77</v>
      </c>
      <c r="C297" s="81" t="s">
        <v>203</v>
      </c>
      <c r="D297" s="81" t="s">
        <v>641</v>
      </c>
      <c r="E297" s="81">
        <v>1</v>
      </c>
      <c r="F297" s="81">
        <v>2</v>
      </c>
      <c r="G297" s="81">
        <v>2</v>
      </c>
      <c r="H297" s="81">
        <v>6</v>
      </c>
      <c r="I297" s="81" t="s">
        <v>887</v>
      </c>
      <c r="J297" s="81" t="s">
        <v>341</v>
      </c>
      <c r="K297" s="81" t="s">
        <v>990</v>
      </c>
      <c r="L297" s="79"/>
      <c r="M297" s="79"/>
      <c r="N297" s="79"/>
    </row>
    <row r="298" ht="26" spans="1:14">
      <c r="A298" s="81" t="s">
        <v>675</v>
      </c>
      <c r="B298" s="81" t="s">
        <v>77</v>
      </c>
      <c r="C298" s="81" t="s">
        <v>203</v>
      </c>
      <c r="D298" s="81" t="s">
        <v>641</v>
      </c>
      <c r="E298" s="81">
        <v>1</v>
      </c>
      <c r="F298" s="81">
        <v>2</v>
      </c>
      <c r="G298" s="81">
        <v>2</v>
      </c>
      <c r="H298" s="81">
        <v>6</v>
      </c>
      <c r="I298" s="81" t="s">
        <v>887</v>
      </c>
      <c r="J298" s="81" t="s">
        <v>341</v>
      </c>
      <c r="K298" s="81" t="s">
        <v>990</v>
      </c>
      <c r="L298" s="79"/>
      <c r="M298" s="79"/>
      <c r="N298" s="79"/>
    </row>
    <row r="299" ht="26" spans="1:14">
      <c r="A299" s="81" t="s">
        <v>676</v>
      </c>
      <c r="B299" s="81" t="s">
        <v>77</v>
      </c>
      <c r="C299" s="81" t="s">
        <v>203</v>
      </c>
      <c r="D299" s="81" t="s">
        <v>641</v>
      </c>
      <c r="E299" s="81">
        <v>1</v>
      </c>
      <c r="F299" s="81">
        <v>2</v>
      </c>
      <c r="G299" s="81">
        <v>2</v>
      </c>
      <c r="H299" s="81">
        <v>6</v>
      </c>
      <c r="I299" s="81" t="s">
        <v>887</v>
      </c>
      <c r="J299" s="81" t="s">
        <v>341</v>
      </c>
      <c r="K299" s="81" t="s">
        <v>990</v>
      </c>
      <c r="L299" s="79"/>
      <c r="M299" s="79"/>
      <c r="N299" s="79"/>
    </row>
    <row r="300" ht="26" spans="1:14">
      <c r="A300" s="81" t="s">
        <v>677</v>
      </c>
      <c r="B300" s="81" t="s">
        <v>77</v>
      </c>
      <c r="C300" s="81" t="s">
        <v>203</v>
      </c>
      <c r="D300" s="81" t="s">
        <v>641</v>
      </c>
      <c r="E300" s="81">
        <v>1</v>
      </c>
      <c r="F300" s="81">
        <v>2</v>
      </c>
      <c r="G300" s="81">
        <v>2</v>
      </c>
      <c r="H300" s="81">
        <v>6</v>
      </c>
      <c r="I300" s="81" t="s">
        <v>887</v>
      </c>
      <c r="J300" s="81" t="s">
        <v>341</v>
      </c>
      <c r="K300" s="81" t="s">
        <v>990</v>
      </c>
      <c r="L300" s="79"/>
      <c r="M300" s="79"/>
      <c r="N300" s="79"/>
    </row>
    <row r="301" ht="26" spans="1:14">
      <c r="A301" s="81" t="s">
        <v>678</v>
      </c>
      <c r="B301" s="81" t="s">
        <v>77</v>
      </c>
      <c r="C301" s="81" t="s">
        <v>203</v>
      </c>
      <c r="D301" s="81" t="s">
        <v>641</v>
      </c>
      <c r="E301" s="81">
        <v>1</v>
      </c>
      <c r="F301" s="81">
        <v>2</v>
      </c>
      <c r="G301" s="81">
        <v>2</v>
      </c>
      <c r="H301" s="81">
        <v>6</v>
      </c>
      <c r="I301" s="81" t="s">
        <v>887</v>
      </c>
      <c r="J301" s="81" t="s">
        <v>341</v>
      </c>
      <c r="K301" s="81" t="s">
        <v>990</v>
      </c>
      <c r="L301" s="79"/>
      <c r="M301" s="79"/>
      <c r="N301" s="79"/>
    </row>
    <row r="302" ht="26" spans="1:14">
      <c r="A302" s="81" t="s">
        <v>679</v>
      </c>
      <c r="B302" s="81" t="s">
        <v>77</v>
      </c>
      <c r="C302" s="81" t="s">
        <v>203</v>
      </c>
      <c r="D302" s="81" t="s">
        <v>641</v>
      </c>
      <c r="E302" s="81">
        <v>1</v>
      </c>
      <c r="F302" s="81">
        <v>2</v>
      </c>
      <c r="G302" s="81">
        <v>2</v>
      </c>
      <c r="H302" s="81">
        <v>6</v>
      </c>
      <c r="I302" s="81" t="s">
        <v>887</v>
      </c>
      <c r="J302" s="81" t="s">
        <v>341</v>
      </c>
      <c r="K302" s="81" t="s">
        <v>990</v>
      </c>
      <c r="L302" s="79"/>
      <c r="M302" s="79"/>
      <c r="N302" s="79"/>
    </row>
    <row r="303" ht="26" spans="1:14">
      <c r="A303" s="81" t="s">
        <v>680</v>
      </c>
      <c r="B303" s="81" t="s">
        <v>77</v>
      </c>
      <c r="C303" s="81" t="s">
        <v>203</v>
      </c>
      <c r="D303" s="81" t="s">
        <v>641</v>
      </c>
      <c r="E303" s="81">
        <v>1</v>
      </c>
      <c r="F303" s="81">
        <v>2</v>
      </c>
      <c r="G303" s="81">
        <v>2</v>
      </c>
      <c r="H303" s="81">
        <v>6</v>
      </c>
      <c r="I303" s="81" t="s">
        <v>887</v>
      </c>
      <c r="J303" s="81" t="s">
        <v>341</v>
      </c>
      <c r="K303" s="81" t="s">
        <v>990</v>
      </c>
      <c r="L303" s="79"/>
      <c r="M303" s="79"/>
      <c r="N303" s="79"/>
    </row>
    <row r="304" ht="26" spans="1:14">
      <c r="A304" s="81" t="s">
        <v>681</v>
      </c>
      <c r="B304" s="81" t="s">
        <v>77</v>
      </c>
      <c r="C304" s="81" t="s">
        <v>203</v>
      </c>
      <c r="D304" s="81" t="s">
        <v>641</v>
      </c>
      <c r="E304" s="81">
        <v>1</v>
      </c>
      <c r="F304" s="81">
        <v>2</v>
      </c>
      <c r="G304" s="81">
        <v>2</v>
      </c>
      <c r="H304" s="81">
        <v>6</v>
      </c>
      <c r="I304" s="81" t="s">
        <v>887</v>
      </c>
      <c r="J304" s="81" t="s">
        <v>341</v>
      </c>
      <c r="K304" s="81" t="s">
        <v>990</v>
      </c>
      <c r="L304" s="79"/>
      <c r="M304" s="79"/>
      <c r="N304" s="79"/>
    </row>
    <row r="305" ht="26" spans="1:14">
      <c r="A305" s="81" t="s">
        <v>682</v>
      </c>
      <c r="B305" s="81" t="s">
        <v>77</v>
      </c>
      <c r="C305" s="81" t="s">
        <v>203</v>
      </c>
      <c r="D305" s="81" t="s">
        <v>641</v>
      </c>
      <c r="E305" s="81">
        <v>1</v>
      </c>
      <c r="F305" s="81">
        <v>2</v>
      </c>
      <c r="G305" s="81">
        <v>2</v>
      </c>
      <c r="H305" s="81">
        <v>6</v>
      </c>
      <c r="I305" s="81" t="s">
        <v>887</v>
      </c>
      <c r="J305" s="81" t="s">
        <v>341</v>
      </c>
      <c r="K305" s="81" t="s">
        <v>990</v>
      </c>
      <c r="L305" s="79"/>
      <c r="M305" s="79"/>
      <c r="N305" s="79"/>
    </row>
    <row r="306" ht="26" spans="1:14">
      <c r="A306" s="81" t="s">
        <v>683</v>
      </c>
      <c r="B306" s="81" t="s">
        <v>77</v>
      </c>
      <c r="C306" s="81" t="s">
        <v>203</v>
      </c>
      <c r="D306" s="81" t="s">
        <v>641</v>
      </c>
      <c r="E306" s="81">
        <v>1</v>
      </c>
      <c r="F306" s="81">
        <v>2</v>
      </c>
      <c r="G306" s="81">
        <v>2</v>
      </c>
      <c r="H306" s="81">
        <v>6</v>
      </c>
      <c r="I306" s="81" t="s">
        <v>887</v>
      </c>
      <c r="J306" s="81" t="s">
        <v>341</v>
      </c>
      <c r="K306" s="81" t="s">
        <v>990</v>
      </c>
      <c r="L306" s="79"/>
      <c r="M306" s="79"/>
      <c r="N306" s="79"/>
    </row>
    <row r="307" ht="26" spans="1:14">
      <c r="A307" s="81" t="s">
        <v>684</v>
      </c>
      <c r="B307" s="81" t="s">
        <v>77</v>
      </c>
      <c r="C307" s="81" t="s">
        <v>203</v>
      </c>
      <c r="D307" s="81" t="s">
        <v>641</v>
      </c>
      <c r="E307" s="81">
        <v>1</v>
      </c>
      <c r="F307" s="81">
        <v>2</v>
      </c>
      <c r="G307" s="81">
        <v>2</v>
      </c>
      <c r="H307" s="81">
        <v>6</v>
      </c>
      <c r="I307" s="81" t="s">
        <v>887</v>
      </c>
      <c r="J307" s="81" t="s">
        <v>341</v>
      </c>
      <c r="K307" s="81" t="s">
        <v>990</v>
      </c>
      <c r="L307" s="79"/>
      <c r="M307" s="79"/>
      <c r="N307" s="79"/>
    </row>
    <row r="308" ht="26" spans="1:14">
      <c r="A308" s="81" t="s">
        <v>685</v>
      </c>
      <c r="B308" s="81" t="s">
        <v>77</v>
      </c>
      <c r="C308" s="81" t="s">
        <v>203</v>
      </c>
      <c r="D308" s="81" t="s">
        <v>641</v>
      </c>
      <c r="E308" s="81">
        <v>1</v>
      </c>
      <c r="F308" s="81">
        <v>2</v>
      </c>
      <c r="G308" s="81">
        <v>2</v>
      </c>
      <c r="H308" s="81">
        <v>6</v>
      </c>
      <c r="I308" s="81" t="s">
        <v>887</v>
      </c>
      <c r="J308" s="81" t="s">
        <v>341</v>
      </c>
      <c r="K308" s="81" t="s">
        <v>990</v>
      </c>
      <c r="L308" s="79"/>
      <c r="M308" s="79"/>
      <c r="N308" s="79"/>
    </row>
    <row r="309" ht="26" spans="1:14">
      <c r="A309" s="81" t="s">
        <v>686</v>
      </c>
      <c r="B309" s="81" t="s">
        <v>77</v>
      </c>
      <c r="C309" s="81" t="s">
        <v>203</v>
      </c>
      <c r="D309" s="81" t="s">
        <v>641</v>
      </c>
      <c r="E309" s="81">
        <v>1</v>
      </c>
      <c r="F309" s="81">
        <v>2</v>
      </c>
      <c r="G309" s="81">
        <v>2</v>
      </c>
      <c r="H309" s="81">
        <v>6</v>
      </c>
      <c r="I309" s="81" t="s">
        <v>887</v>
      </c>
      <c r="J309" s="81" t="s">
        <v>341</v>
      </c>
      <c r="K309" s="81" t="s">
        <v>990</v>
      </c>
      <c r="L309" s="79"/>
      <c r="M309" s="79"/>
      <c r="N309" s="79"/>
    </row>
    <row r="310" ht="26" spans="1:14">
      <c r="A310" s="81" t="s">
        <v>687</v>
      </c>
      <c r="B310" s="81" t="s">
        <v>77</v>
      </c>
      <c r="C310" s="81" t="s">
        <v>203</v>
      </c>
      <c r="D310" s="81" t="s">
        <v>641</v>
      </c>
      <c r="E310" s="81">
        <v>1</v>
      </c>
      <c r="F310" s="81">
        <v>2</v>
      </c>
      <c r="G310" s="81">
        <v>2</v>
      </c>
      <c r="H310" s="81">
        <v>6</v>
      </c>
      <c r="I310" s="81" t="s">
        <v>887</v>
      </c>
      <c r="J310" s="81" t="s">
        <v>341</v>
      </c>
      <c r="K310" s="81" t="s">
        <v>990</v>
      </c>
      <c r="L310" s="79"/>
      <c r="M310" s="79"/>
      <c r="N310" s="79"/>
    </row>
    <row r="311" ht="26" spans="1:14">
      <c r="A311" s="81" t="s">
        <v>688</v>
      </c>
      <c r="B311" s="81" t="s">
        <v>77</v>
      </c>
      <c r="C311" s="81" t="s">
        <v>203</v>
      </c>
      <c r="D311" s="81" t="s">
        <v>641</v>
      </c>
      <c r="E311" s="81">
        <v>1</v>
      </c>
      <c r="F311" s="81">
        <v>2</v>
      </c>
      <c r="G311" s="81">
        <v>2</v>
      </c>
      <c r="H311" s="81">
        <v>6</v>
      </c>
      <c r="I311" s="81" t="s">
        <v>887</v>
      </c>
      <c r="J311" s="81" t="s">
        <v>341</v>
      </c>
      <c r="K311" s="81" t="s">
        <v>990</v>
      </c>
      <c r="L311" s="79"/>
      <c r="M311" s="79"/>
      <c r="N311" s="79"/>
    </row>
    <row r="312" ht="26" spans="1:14">
      <c r="A312" s="81" t="s">
        <v>689</v>
      </c>
      <c r="B312" s="81" t="s">
        <v>77</v>
      </c>
      <c r="C312" s="81" t="s">
        <v>203</v>
      </c>
      <c r="D312" s="81" t="s">
        <v>641</v>
      </c>
      <c r="E312" s="81">
        <v>1</v>
      </c>
      <c r="F312" s="81">
        <v>2</v>
      </c>
      <c r="G312" s="81">
        <v>2</v>
      </c>
      <c r="H312" s="81">
        <v>6</v>
      </c>
      <c r="I312" s="81" t="s">
        <v>887</v>
      </c>
      <c r="J312" s="81" t="s">
        <v>341</v>
      </c>
      <c r="K312" s="81" t="s">
        <v>990</v>
      </c>
      <c r="L312" s="79"/>
      <c r="M312" s="79"/>
      <c r="N312" s="79"/>
    </row>
    <row r="313" ht="26" spans="1:14">
      <c r="A313" s="81" t="s">
        <v>690</v>
      </c>
      <c r="B313" s="81" t="s">
        <v>77</v>
      </c>
      <c r="C313" s="81" t="s">
        <v>203</v>
      </c>
      <c r="D313" s="81" t="s">
        <v>641</v>
      </c>
      <c r="E313" s="81">
        <v>1</v>
      </c>
      <c r="F313" s="81">
        <v>2</v>
      </c>
      <c r="G313" s="81">
        <v>2</v>
      </c>
      <c r="H313" s="81">
        <v>6</v>
      </c>
      <c r="I313" s="81" t="s">
        <v>887</v>
      </c>
      <c r="J313" s="81" t="s">
        <v>341</v>
      </c>
      <c r="K313" s="81" t="s">
        <v>990</v>
      </c>
      <c r="L313" s="79"/>
      <c r="M313" s="79"/>
      <c r="N313" s="79"/>
    </row>
    <row r="314" ht="26" spans="1:14">
      <c r="A314" s="81" t="s">
        <v>691</v>
      </c>
      <c r="B314" s="81" t="s">
        <v>77</v>
      </c>
      <c r="C314" s="81" t="s">
        <v>203</v>
      </c>
      <c r="D314" s="81" t="s">
        <v>692</v>
      </c>
      <c r="E314" s="81">
        <v>1</v>
      </c>
      <c r="F314" s="81">
        <v>2</v>
      </c>
      <c r="G314" s="81">
        <v>2</v>
      </c>
      <c r="H314" s="81">
        <v>6</v>
      </c>
      <c r="I314" s="81" t="s">
        <v>887</v>
      </c>
      <c r="J314" s="81" t="s">
        <v>341</v>
      </c>
      <c r="K314" s="81" t="s">
        <v>990</v>
      </c>
      <c r="L314" s="79"/>
      <c r="M314" s="79"/>
      <c r="N314" s="79"/>
    </row>
    <row r="315" ht="26" spans="1:14">
      <c r="A315" s="81" t="s">
        <v>696</v>
      </c>
      <c r="B315" s="81" t="s">
        <v>77</v>
      </c>
      <c r="C315" s="81" t="s">
        <v>203</v>
      </c>
      <c r="D315" s="81" t="s">
        <v>697</v>
      </c>
      <c r="E315" s="81">
        <v>1</v>
      </c>
      <c r="F315" s="81">
        <v>2</v>
      </c>
      <c r="G315" s="81">
        <v>2</v>
      </c>
      <c r="H315" s="81">
        <v>6</v>
      </c>
      <c r="I315" s="81" t="s">
        <v>887</v>
      </c>
      <c r="J315" s="81" t="s">
        <v>341</v>
      </c>
      <c r="K315" s="81" t="s">
        <v>990</v>
      </c>
      <c r="L315" s="79"/>
      <c r="M315" s="79"/>
      <c r="N315" s="79"/>
    </row>
    <row r="316" ht="26" spans="1:14">
      <c r="A316" s="81" t="s">
        <v>700</v>
      </c>
      <c r="B316" s="81" t="s">
        <v>77</v>
      </c>
      <c r="C316" s="81" t="s">
        <v>203</v>
      </c>
      <c r="D316" s="81" t="s">
        <v>697</v>
      </c>
      <c r="E316" s="81">
        <v>1</v>
      </c>
      <c r="F316" s="81">
        <v>2</v>
      </c>
      <c r="G316" s="81">
        <v>2</v>
      </c>
      <c r="H316" s="81">
        <v>6</v>
      </c>
      <c r="I316" s="81" t="s">
        <v>887</v>
      </c>
      <c r="J316" s="81" t="s">
        <v>341</v>
      </c>
      <c r="K316" s="81" t="s">
        <v>990</v>
      </c>
      <c r="L316" s="79"/>
      <c r="M316" s="79"/>
      <c r="N316" s="79"/>
    </row>
    <row r="317" ht="26" spans="1:14">
      <c r="A317" s="81" t="s">
        <v>701</v>
      </c>
      <c r="B317" s="81" t="s">
        <v>77</v>
      </c>
      <c r="C317" s="81" t="s">
        <v>203</v>
      </c>
      <c r="D317" s="81" t="s">
        <v>697</v>
      </c>
      <c r="E317" s="81">
        <v>1</v>
      </c>
      <c r="F317" s="81">
        <v>2</v>
      </c>
      <c r="G317" s="81">
        <v>2</v>
      </c>
      <c r="H317" s="81">
        <v>6</v>
      </c>
      <c r="I317" s="81" t="s">
        <v>887</v>
      </c>
      <c r="J317" s="81" t="s">
        <v>341</v>
      </c>
      <c r="K317" s="81" t="s">
        <v>990</v>
      </c>
      <c r="L317" s="79"/>
      <c r="M317" s="79"/>
      <c r="N317" s="79"/>
    </row>
    <row r="318" ht="26" spans="1:14">
      <c r="A318" s="81" t="s">
        <v>702</v>
      </c>
      <c r="B318" s="81" t="s">
        <v>77</v>
      </c>
      <c r="C318" s="81" t="s">
        <v>203</v>
      </c>
      <c r="D318" s="81" t="s">
        <v>697</v>
      </c>
      <c r="E318" s="81">
        <v>1</v>
      </c>
      <c r="F318" s="81">
        <v>2</v>
      </c>
      <c r="G318" s="81">
        <v>2</v>
      </c>
      <c r="H318" s="81">
        <v>6</v>
      </c>
      <c r="I318" s="81" t="s">
        <v>887</v>
      </c>
      <c r="J318" s="81" t="s">
        <v>341</v>
      </c>
      <c r="K318" s="81" t="s">
        <v>990</v>
      </c>
      <c r="L318" s="79"/>
      <c r="M318" s="79"/>
      <c r="N318" s="79"/>
    </row>
    <row r="319" ht="26" spans="1:14">
      <c r="A319" s="81" t="s">
        <v>703</v>
      </c>
      <c r="B319" s="81" t="s">
        <v>77</v>
      </c>
      <c r="C319" s="81" t="s">
        <v>203</v>
      </c>
      <c r="D319" s="81" t="s">
        <v>697</v>
      </c>
      <c r="E319" s="81">
        <v>1</v>
      </c>
      <c r="F319" s="81">
        <v>2</v>
      </c>
      <c r="G319" s="81">
        <v>2</v>
      </c>
      <c r="H319" s="81">
        <v>6</v>
      </c>
      <c r="I319" s="81" t="s">
        <v>887</v>
      </c>
      <c r="J319" s="81" t="s">
        <v>341</v>
      </c>
      <c r="K319" s="81" t="s">
        <v>990</v>
      </c>
      <c r="L319" s="79"/>
      <c r="M319" s="79"/>
      <c r="N319" s="79"/>
    </row>
    <row r="320" ht="26" spans="1:14">
      <c r="A320" s="81" t="s">
        <v>704</v>
      </c>
      <c r="B320" s="81" t="s">
        <v>77</v>
      </c>
      <c r="C320" s="81" t="s">
        <v>203</v>
      </c>
      <c r="D320" s="81" t="s">
        <v>697</v>
      </c>
      <c r="E320" s="81">
        <v>1</v>
      </c>
      <c r="F320" s="81">
        <v>2</v>
      </c>
      <c r="G320" s="81">
        <v>2</v>
      </c>
      <c r="H320" s="81">
        <v>6</v>
      </c>
      <c r="I320" s="81" t="s">
        <v>887</v>
      </c>
      <c r="J320" s="81" t="s">
        <v>341</v>
      </c>
      <c r="K320" s="81" t="s">
        <v>990</v>
      </c>
      <c r="L320" s="79"/>
      <c r="M320" s="79"/>
      <c r="N320" s="79"/>
    </row>
    <row r="321" ht="26" spans="1:14">
      <c r="A321" s="81" t="s">
        <v>705</v>
      </c>
      <c r="B321" s="81" t="s">
        <v>77</v>
      </c>
      <c r="C321" s="81" t="s">
        <v>203</v>
      </c>
      <c r="D321" s="81" t="s">
        <v>697</v>
      </c>
      <c r="E321" s="81">
        <v>1</v>
      </c>
      <c r="F321" s="81">
        <v>2</v>
      </c>
      <c r="G321" s="81">
        <v>2</v>
      </c>
      <c r="H321" s="81">
        <v>6</v>
      </c>
      <c r="I321" s="81" t="s">
        <v>887</v>
      </c>
      <c r="J321" s="81" t="s">
        <v>341</v>
      </c>
      <c r="K321" s="81" t="s">
        <v>990</v>
      </c>
      <c r="L321" s="79"/>
      <c r="M321" s="79"/>
      <c r="N321" s="79"/>
    </row>
    <row r="322" ht="26" spans="1:14">
      <c r="A322" s="81" t="s">
        <v>706</v>
      </c>
      <c r="B322" s="81" t="s">
        <v>77</v>
      </c>
      <c r="C322" s="81" t="s">
        <v>203</v>
      </c>
      <c r="D322" s="81" t="s">
        <v>697</v>
      </c>
      <c r="E322" s="81">
        <v>1</v>
      </c>
      <c r="F322" s="81">
        <v>2</v>
      </c>
      <c r="G322" s="81">
        <v>2</v>
      </c>
      <c r="H322" s="81">
        <v>6</v>
      </c>
      <c r="I322" s="81" t="s">
        <v>887</v>
      </c>
      <c r="J322" s="81" t="s">
        <v>341</v>
      </c>
      <c r="K322" s="81" t="s">
        <v>990</v>
      </c>
      <c r="L322" s="79"/>
      <c r="M322" s="79"/>
      <c r="N322" s="79"/>
    </row>
    <row r="323" ht="26" spans="1:14">
      <c r="A323" s="81" t="s">
        <v>708</v>
      </c>
      <c r="B323" s="81" t="s">
        <v>77</v>
      </c>
      <c r="C323" s="81" t="s">
        <v>203</v>
      </c>
      <c r="D323" s="81" t="s">
        <v>697</v>
      </c>
      <c r="E323" s="81">
        <v>1</v>
      </c>
      <c r="F323" s="81">
        <v>2</v>
      </c>
      <c r="G323" s="81">
        <v>2</v>
      </c>
      <c r="H323" s="81">
        <v>6</v>
      </c>
      <c r="I323" s="81" t="s">
        <v>887</v>
      </c>
      <c r="J323" s="81" t="s">
        <v>341</v>
      </c>
      <c r="K323" s="81" t="s">
        <v>990</v>
      </c>
      <c r="L323" s="79"/>
      <c r="M323" s="79"/>
      <c r="N323" s="79"/>
    </row>
    <row r="324" ht="26" spans="1:14">
      <c r="A324" s="81" t="s">
        <v>709</v>
      </c>
      <c r="B324" s="81" t="s">
        <v>77</v>
      </c>
      <c r="C324" s="81" t="s">
        <v>203</v>
      </c>
      <c r="D324" s="81" t="s">
        <v>697</v>
      </c>
      <c r="E324" s="81">
        <v>1</v>
      </c>
      <c r="F324" s="81">
        <v>2</v>
      </c>
      <c r="G324" s="81">
        <v>2</v>
      </c>
      <c r="H324" s="81">
        <v>6</v>
      </c>
      <c r="I324" s="81" t="s">
        <v>887</v>
      </c>
      <c r="J324" s="81" t="s">
        <v>341</v>
      </c>
      <c r="K324" s="81" t="s">
        <v>990</v>
      </c>
      <c r="L324" s="79"/>
      <c r="M324" s="79"/>
      <c r="N324" s="79"/>
    </row>
    <row r="325" ht="26" spans="1:14">
      <c r="A325" s="81" t="s">
        <v>710</v>
      </c>
      <c r="B325" s="81" t="s">
        <v>77</v>
      </c>
      <c r="C325" s="81" t="s">
        <v>203</v>
      </c>
      <c r="D325" s="81" t="s">
        <v>711</v>
      </c>
      <c r="E325" s="81">
        <v>1</v>
      </c>
      <c r="F325" s="81">
        <v>2</v>
      </c>
      <c r="G325" s="81">
        <v>2</v>
      </c>
      <c r="H325" s="81">
        <v>6</v>
      </c>
      <c r="I325" s="81" t="s">
        <v>887</v>
      </c>
      <c r="J325" s="81" t="s">
        <v>341</v>
      </c>
      <c r="K325" s="81" t="s">
        <v>990</v>
      </c>
      <c r="L325" s="79"/>
      <c r="M325" s="79"/>
      <c r="N325" s="79"/>
    </row>
    <row r="326" ht="26" spans="1:14">
      <c r="A326" s="81" t="s">
        <v>714</v>
      </c>
      <c r="B326" s="81" t="s">
        <v>77</v>
      </c>
      <c r="C326" s="81" t="s">
        <v>203</v>
      </c>
      <c r="D326" s="81" t="s">
        <v>711</v>
      </c>
      <c r="E326" s="81">
        <v>1</v>
      </c>
      <c r="F326" s="81">
        <v>2</v>
      </c>
      <c r="G326" s="81">
        <v>2</v>
      </c>
      <c r="H326" s="81">
        <v>6</v>
      </c>
      <c r="I326" s="81" t="s">
        <v>887</v>
      </c>
      <c r="J326" s="81" t="s">
        <v>341</v>
      </c>
      <c r="K326" s="81" t="s">
        <v>990</v>
      </c>
      <c r="L326" s="79"/>
      <c r="M326" s="79"/>
      <c r="N326" s="79"/>
    </row>
    <row r="327" ht="26" spans="1:14">
      <c r="A327" s="81" t="s">
        <v>715</v>
      </c>
      <c r="B327" s="81" t="s">
        <v>77</v>
      </c>
      <c r="C327" s="81" t="s">
        <v>203</v>
      </c>
      <c r="D327" s="81" t="s">
        <v>711</v>
      </c>
      <c r="E327" s="81">
        <v>1</v>
      </c>
      <c r="F327" s="81">
        <v>2</v>
      </c>
      <c r="G327" s="81">
        <v>2</v>
      </c>
      <c r="H327" s="81">
        <v>6</v>
      </c>
      <c r="I327" s="81" t="s">
        <v>887</v>
      </c>
      <c r="J327" s="81" t="s">
        <v>341</v>
      </c>
      <c r="K327" s="81" t="s">
        <v>990</v>
      </c>
      <c r="L327" s="79"/>
      <c r="M327" s="79"/>
      <c r="N327" s="79"/>
    </row>
    <row r="328" ht="26" spans="1:14">
      <c r="A328" s="81" t="s">
        <v>716</v>
      </c>
      <c r="B328" s="81" t="s">
        <v>77</v>
      </c>
      <c r="C328" s="81" t="s">
        <v>203</v>
      </c>
      <c r="D328" s="81" t="s">
        <v>711</v>
      </c>
      <c r="E328" s="81">
        <v>1</v>
      </c>
      <c r="F328" s="81">
        <v>2</v>
      </c>
      <c r="G328" s="81">
        <v>2</v>
      </c>
      <c r="H328" s="81">
        <v>6</v>
      </c>
      <c r="I328" s="81" t="s">
        <v>887</v>
      </c>
      <c r="J328" s="81" t="s">
        <v>341</v>
      </c>
      <c r="K328" s="81" t="s">
        <v>990</v>
      </c>
      <c r="L328" s="79"/>
      <c r="M328" s="79"/>
      <c r="N328" s="79"/>
    </row>
    <row r="329" ht="26" spans="1:14">
      <c r="A329" s="81" t="s">
        <v>717</v>
      </c>
      <c r="B329" s="81" t="s">
        <v>77</v>
      </c>
      <c r="C329" s="81" t="s">
        <v>203</v>
      </c>
      <c r="D329" s="81" t="s">
        <v>711</v>
      </c>
      <c r="E329" s="81">
        <v>1</v>
      </c>
      <c r="F329" s="81">
        <v>2</v>
      </c>
      <c r="G329" s="81">
        <v>2</v>
      </c>
      <c r="H329" s="81">
        <v>6</v>
      </c>
      <c r="I329" s="81" t="s">
        <v>887</v>
      </c>
      <c r="J329" s="81" t="s">
        <v>341</v>
      </c>
      <c r="K329" s="81" t="s">
        <v>990</v>
      </c>
      <c r="L329" s="79"/>
      <c r="M329" s="79"/>
      <c r="N329" s="79"/>
    </row>
    <row r="330" ht="26" spans="1:14">
      <c r="A330" s="81" t="s">
        <v>718</v>
      </c>
      <c r="B330" s="81" t="s">
        <v>77</v>
      </c>
      <c r="C330" s="81" t="s">
        <v>203</v>
      </c>
      <c r="D330" s="81" t="s">
        <v>711</v>
      </c>
      <c r="E330" s="81">
        <v>1</v>
      </c>
      <c r="F330" s="81">
        <v>2</v>
      </c>
      <c r="G330" s="81">
        <v>2</v>
      </c>
      <c r="H330" s="81">
        <v>6</v>
      </c>
      <c r="I330" s="81" t="s">
        <v>887</v>
      </c>
      <c r="J330" s="81" t="s">
        <v>341</v>
      </c>
      <c r="K330" s="81" t="s">
        <v>990</v>
      </c>
      <c r="L330" s="79"/>
      <c r="M330" s="79"/>
      <c r="N330" s="79"/>
    </row>
    <row r="331" ht="26" spans="1:14">
      <c r="A331" s="81" t="s">
        <v>719</v>
      </c>
      <c r="B331" s="81" t="s">
        <v>77</v>
      </c>
      <c r="C331" s="81" t="s">
        <v>203</v>
      </c>
      <c r="D331" s="81" t="s">
        <v>711</v>
      </c>
      <c r="E331" s="81">
        <v>1</v>
      </c>
      <c r="F331" s="81">
        <v>2</v>
      </c>
      <c r="G331" s="81">
        <v>2</v>
      </c>
      <c r="H331" s="81">
        <v>6</v>
      </c>
      <c r="I331" s="81" t="s">
        <v>887</v>
      </c>
      <c r="J331" s="81" t="s">
        <v>341</v>
      </c>
      <c r="K331" s="81" t="s">
        <v>990</v>
      </c>
      <c r="L331" s="79"/>
      <c r="M331" s="79"/>
      <c r="N331" s="79"/>
    </row>
    <row r="332" ht="26" spans="1:14">
      <c r="A332" s="81" t="s">
        <v>720</v>
      </c>
      <c r="B332" s="81" t="s">
        <v>77</v>
      </c>
      <c r="C332" s="81" t="s">
        <v>203</v>
      </c>
      <c r="D332" s="81" t="s">
        <v>711</v>
      </c>
      <c r="E332" s="81">
        <v>1</v>
      </c>
      <c r="F332" s="81">
        <v>2</v>
      </c>
      <c r="G332" s="81">
        <v>2</v>
      </c>
      <c r="H332" s="81">
        <v>6</v>
      </c>
      <c r="I332" s="81" t="s">
        <v>887</v>
      </c>
      <c r="J332" s="81" t="s">
        <v>341</v>
      </c>
      <c r="K332" s="81" t="s">
        <v>990</v>
      </c>
      <c r="L332" s="79"/>
      <c r="M332" s="79"/>
      <c r="N332" s="79"/>
    </row>
    <row r="333" ht="26" spans="1:14">
      <c r="A333" s="81" t="s">
        <v>721</v>
      </c>
      <c r="B333" s="81" t="s">
        <v>77</v>
      </c>
      <c r="C333" s="81" t="s">
        <v>203</v>
      </c>
      <c r="D333" s="81" t="s">
        <v>711</v>
      </c>
      <c r="E333" s="81">
        <v>1</v>
      </c>
      <c r="F333" s="81">
        <v>2</v>
      </c>
      <c r="G333" s="81">
        <v>2</v>
      </c>
      <c r="H333" s="81">
        <v>6</v>
      </c>
      <c r="I333" s="81" t="s">
        <v>887</v>
      </c>
      <c r="J333" s="81" t="s">
        <v>341</v>
      </c>
      <c r="K333" s="81" t="s">
        <v>990</v>
      </c>
      <c r="L333" s="79"/>
      <c r="M333" s="79"/>
      <c r="N333" s="79"/>
    </row>
    <row r="334" ht="26" spans="1:14">
      <c r="A334" s="81" t="s">
        <v>722</v>
      </c>
      <c r="B334" s="81" t="s">
        <v>77</v>
      </c>
      <c r="C334" s="81" t="s">
        <v>203</v>
      </c>
      <c r="D334" s="81" t="s">
        <v>711</v>
      </c>
      <c r="E334" s="81">
        <v>1</v>
      </c>
      <c r="F334" s="81">
        <v>2</v>
      </c>
      <c r="G334" s="81">
        <v>2</v>
      </c>
      <c r="H334" s="81">
        <v>6</v>
      </c>
      <c r="I334" s="81" t="s">
        <v>887</v>
      </c>
      <c r="J334" s="81" t="s">
        <v>341</v>
      </c>
      <c r="K334" s="81" t="s">
        <v>990</v>
      </c>
      <c r="L334" s="79"/>
      <c r="M334" s="79"/>
      <c r="N334" s="79"/>
    </row>
    <row r="335" ht="26" spans="1:14">
      <c r="A335" s="81" t="s">
        <v>723</v>
      </c>
      <c r="B335" s="81" t="s">
        <v>77</v>
      </c>
      <c r="C335" s="81" t="s">
        <v>399</v>
      </c>
      <c r="D335" s="81" t="s">
        <v>724</v>
      </c>
      <c r="E335" s="81">
        <v>1</v>
      </c>
      <c r="F335" s="81">
        <v>2</v>
      </c>
      <c r="G335" s="81">
        <v>2</v>
      </c>
      <c r="H335" s="81">
        <v>6</v>
      </c>
      <c r="I335" s="81" t="s">
        <v>887</v>
      </c>
      <c r="J335" s="81" t="s">
        <v>341</v>
      </c>
      <c r="K335" s="81" t="s">
        <v>990</v>
      </c>
      <c r="L335" s="79"/>
      <c r="M335" s="79"/>
      <c r="N335" s="79"/>
    </row>
    <row r="336" ht="26" spans="1:14">
      <c r="A336" s="81" t="s">
        <v>727</v>
      </c>
      <c r="B336" s="81" t="s">
        <v>77</v>
      </c>
      <c r="C336" s="81" t="s">
        <v>399</v>
      </c>
      <c r="D336" s="81" t="s">
        <v>724</v>
      </c>
      <c r="E336" s="81">
        <v>1</v>
      </c>
      <c r="F336" s="81">
        <v>2</v>
      </c>
      <c r="G336" s="81">
        <v>2</v>
      </c>
      <c r="H336" s="81">
        <v>6</v>
      </c>
      <c r="I336" s="81" t="s">
        <v>887</v>
      </c>
      <c r="J336" s="81" t="s">
        <v>341</v>
      </c>
      <c r="K336" s="81" t="s">
        <v>990</v>
      </c>
      <c r="L336" s="79"/>
      <c r="M336" s="79"/>
      <c r="N336" s="79"/>
    </row>
    <row r="337" ht="26" spans="1:14">
      <c r="A337" s="81" t="s">
        <v>728</v>
      </c>
      <c r="B337" s="81" t="s">
        <v>77</v>
      </c>
      <c r="C337" s="81" t="s">
        <v>399</v>
      </c>
      <c r="D337" s="81" t="s">
        <v>724</v>
      </c>
      <c r="E337" s="81">
        <v>1</v>
      </c>
      <c r="F337" s="81">
        <v>2</v>
      </c>
      <c r="G337" s="81">
        <v>2</v>
      </c>
      <c r="H337" s="81">
        <v>6</v>
      </c>
      <c r="I337" s="81" t="s">
        <v>887</v>
      </c>
      <c r="J337" s="81" t="s">
        <v>341</v>
      </c>
      <c r="K337" s="81" t="s">
        <v>990</v>
      </c>
      <c r="L337" s="79"/>
      <c r="M337" s="79"/>
      <c r="N337" s="79"/>
    </row>
    <row r="338" ht="26" spans="1:14">
      <c r="A338" s="81" t="s">
        <v>729</v>
      </c>
      <c r="B338" s="81" t="s">
        <v>77</v>
      </c>
      <c r="C338" s="81" t="s">
        <v>399</v>
      </c>
      <c r="D338" s="81" t="s">
        <v>730</v>
      </c>
      <c r="E338" s="81">
        <v>1</v>
      </c>
      <c r="F338" s="81">
        <v>2</v>
      </c>
      <c r="G338" s="81">
        <v>2</v>
      </c>
      <c r="H338" s="81">
        <v>6</v>
      </c>
      <c r="I338" s="81" t="s">
        <v>887</v>
      </c>
      <c r="J338" s="81" t="s">
        <v>341</v>
      </c>
      <c r="K338" s="81" t="s">
        <v>990</v>
      </c>
      <c r="L338" s="79"/>
      <c r="M338" s="79"/>
      <c r="N338" s="79"/>
    </row>
    <row r="339" ht="26" spans="1:14">
      <c r="A339" s="81" t="s">
        <v>732</v>
      </c>
      <c r="B339" s="81" t="s">
        <v>77</v>
      </c>
      <c r="C339" s="81" t="s">
        <v>399</v>
      </c>
      <c r="D339" s="81" t="s">
        <v>730</v>
      </c>
      <c r="E339" s="81">
        <v>1</v>
      </c>
      <c r="F339" s="81">
        <v>2</v>
      </c>
      <c r="G339" s="81">
        <v>2</v>
      </c>
      <c r="H339" s="81">
        <v>6</v>
      </c>
      <c r="I339" s="81" t="s">
        <v>887</v>
      </c>
      <c r="J339" s="81" t="s">
        <v>341</v>
      </c>
      <c r="K339" s="81" t="s">
        <v>990</v>
      </c>
      <c r="L339" s="79"/>
      <c r="M339" s="79"/>
      <c r="N339" s="79"/>
    </row>
    <row r="340" ht="26" spans="1:14">
      <c r="A340" s="81" t="s">
        <v>733</v>
      </c>
      <c r="B340" s="81" t="s">
        <v>77</v>
      </c>
      <c r="C340" s="81" t="s">
        <v>399</v>
      </c>
      <c r="D340" s="81" t="s">
        <v>730</v>
      </c>
      <c r="E340" s="81">
        <v>1</v>
      </c>
      <c r="F340" s="81">
        <v>2</v>
      </c>
      <c r="G340" s="81">
        <v>2</v>
      </c>
      <c r="H340" s="81">
        <v>6</v>
      </c>
      <c r="I340" s="81" t="s">
        <v>887</v>
      </c>
      <c r="J340" s="81" t="s">
        <v>341</v>
      </c>
      <c r="K340" s="81" t="s">
        <v>990</v>
      </c>
      <c r="L340" s="79"/>
      <c r="M340" s="79"/>
      <c r="N340" s="79"/>
    </row>
    <row r="341" ht="26" spans="1:14">
      <c r="A341" s="81" t="s">
        <v>734</v>
      </c>
      <c r="B341" s="81" t="s">
        <v>77</v>
      </c>
      <c r="C341" s="81" t="s">
        <v>399</v>
      </c>
      <c r="D341" s="81" t="s">
        <v>730</v>
      </c>
      <c r="E341" s="81">
        <v>1</v>
      </c>
      <c r="F341" s="81">
        <v>2</v>
      </c>
      <c r="G341" s="81">
        <v>2</v>
      </c>
      <c r="H341" s="81">
        <v>6</v>
      </c>
      <c r="I341" s="81" t="s">
        <v>887</v>
      </c>
      <c r="J341" s="81" t="s">
        <v>341</v>
      </c>
      <c r="K341" s="81" t="s">
        <v>990</v>
      </c>
      <c r="L341" s="79"/>
      <c r="M341" s="79"/>
      <c r="N341" s="79"/>
    </row>
    <row r="342" ht="26" spans="1:14">
      <c r="A342" s="81" t="s">
        <v>735</v>
      </c>
      <c r="B342" s="81" t="s">
        <v>77</v>
      </c>
      <c r="C342" s="81" t="s">
        <v>203</v>
      </c>
      <c r="D342" s="81" t="s">
        <v>629</v>
      </c>
      <c r="E342" s="81">
        <v>1</v>
      </c>
      <c r="F342" s="81">
        <v>2</v>
      </c>
      <c r="G342" s="81">
        <v>2</v>
      </c>
      <c r="H342" s="81">
        <v>6</v>
      </c>
      <c r="I342" s="81" t="s">
        <v>887</v>
      </c>
      <c r="J342" s="81" t="s">
        <v>341</v>
      </c>
      <c r="K342" s="81" t="s">
        <v>990</v>
      </c>
      <c r="L342" s="79"/>
      <c r="M342" s="79"/>
      <c r="N342" s="79"/>
    </row>
    <row r="343" ht="26" spans="1:14">
      <c r="A343" s="81" t="s">
        <v>737</v>
      </c>
      <c r="B343" s="81" t="s">
        <v>77</v>
      </c>
      <c r="C343" s="81" t="s">
        <v>203</v>
      </c>
      <c r="D343" s="81" t="s">
        <v>629</v>
      </c>
      <c r="E343" s="81">
        <v>1</v>
      </c>
      <c r="F343" s="81">
        <v>2</v>
      </c>
      <c r="G343" s="81">
        <v>2</v>
      </c>
      <c r="H343" s="81">
        <v>6</v>
      </c>
      <c r="I343" s="81" t="s">
        <v>887</v>
      </c>
      <c r="J343" s="81" t="s">
        <v>341</v>
      </c>
      <c r="K343" s="81" t="s">
        <v>990</v>
      </c>
      <c r="L343" s="79"/>
      <c r="M343" s="79"/>
      <c r="N343" s="79"/>
    </row>
    <row r="344" ht="26" spans="1:14">
      <c r="A344" s="81" t="s">
        <v>738</v>
      </c>
      <c r="B344" s="81" t="s">
        <v>77</v>
      </c>
      <c r="C344" s="81" t="s">
        <v>203</v>
      </c>
      <c r="D344" s="81" t="s">
        <v>629</v>
      </c>
      <c r="E344" s="81">
        <v>1</v>
      </c>
      <c r="F344" s="81">
        <v>2</v>
      </c>
      <c r="G344" s="81">
        <v>2</v>
      </c>
      <c r="H344" s="81">
        <v>6</v>
      </c>
      <c r="I344" s="81" t="s">
        <v>887</v>
      </c>
      <c r="J344" s="81" t="s">
        <v>341</v>
      </c>
      <c r="K344" s="81" t="s">
        <v>990</v>
      </c>
      <c r="L344" s="79"/>
      <c r="M344" s="79"/>
      <c r="N344" s="79"/>
    </row>
    <row r="345" ht="26" spans="1:14">
      <c r="A345" s="81" t="s">
        <v>739</v>
      </c>
      <c r="B345" s="81" t="s">
        <v>77</v>
      </c>
      <c r="C345" s="81" t="s">
        <v>203</v>
      </c>
      <c r="D345" s="81" t="s">
        <v>641</v>
      </c>
      <c r="E345" s="81">
        <v>1</v>
      </c>
      <c r="F345" s="81">
        <v>2</v>
      </c>
      <c r="G345" s="81">
        <v>2</v>
      </c>
      <c r="H345" s="81">
        <v>6</v>
      </c>
      <c r="I345" s="81" t="s">
        <v>887</v>
      </c>
      <c r="J345" s="81" t="s">
        <v>341</v>
      </c>
      <c r="K345" s="81" t="s">
        <v>990</v>
      </c>
      <c r="L345" s="79"/>
      <c r="M345" s="79"/>
      <c r="N345" s="79"/>
    </row>
    <row r="346" ht="26" spans="1:14">
      <c r="A346" s="81" t="s">
        <v>740</v>
      </c>
      <c r="B346" s="81" t="s">
        <v>77</v>
      </c>
      <c r="C346" s="81" t="s">
        <v>203</v>
      </c>
      <c r="D346" s="81" t="s">
        <v>392</v>
      </c>
      <c r="E346" s="81">
        <v>1</v>
      </c>
      <c r="F346" s="81">
        <v>2</v>
      </c>
      <c r="G346" s="81">
        <v>2</v>
      </c>
      <c r="H346" s="81">
        <v>6</v>
      </c>
      <c r="I346" s="81" t="s">
        <v>887</v>
      </c>
      <c r="J346" s="81" t="s">
        <v>341</v>
      </c>
      <c r="K346" s="81" t="s">
        <v>990</v>
      </c>
      <c r="L346" s="79"/>
      <c r="M346" s="79"/>
      <c r="N346" s="79"/>
    </row>
    <row r="347" ht="26" spans="1:14">
      <c r="A347" s="81" t="s">
        <v>741</v>
      </c>
      <c r="B347" s="81" t="s">
        <v>77</v>
      </c>
      <c r="C347" s="81" t="s">
        <v>203</v>
      </c>
      <c r="D347" s="81" t="s">
        <v>629</v>
      </c>
      <c r="E347" s="81">
        <v>1</v>
      </c>
      <c r="F347" s="81">
        <v>2</v>
      </c>
      <c r="G347" s="81">
        <v>2</v>
      </c>
      <c r="H347" s="81">
        <v>6</v>
      </c>
      <c r="I347" s="81" t="s">
        <v>887</v>
      </c>
      <c r="J347" s="81" t="s">
        <v>341</v>
      </c>
      <c r="K347" s="81" t="s">
        <v>990</v>
      </c>
      <c r="L347" s="79"/>
      <c r="M347" s="79"/>
      <c r="N347" s="79"/>
    </row>
    <row r="348" ht="26" spans="1:14">
      <c r="A348" s="81" t="s">
        <v>742</v>
      </c>
      <c r="B348" s="81" t="s">
        <v>77</v>
      </c>
      <c r="C348" s="81" t="s">
        <v>203</v>
      </c>
      <c r="D348" s="81" t="s">
        <v>449</v>
      </c>
      <c r="E348" s="81">
        <v>2</v>
      </c>
      <c r="F348" s="81">
        <v>2</v>
      </c>
      <c r="G348" s="81">
        <v>2</v>
      </c>
      <c r="H348" s="81">
        <v>7</v>
      </c>
      <c r="I348" s="81" t="s">
        <v>892</v>
      </c>
      <c r="J348" s="81" t="s">
        <v>243</v>
      </c>
      <c r="K348" s="81" t="s">
        <v>990</v>
      </c>
      <c r="L348" s="79"/>
      <c r="M348" s="79"/>
      <c r="N348" s="79"/>
    </row>
    <row r="349" ht="26" spans="1:14">
      <c r="A349" s="81" t="s">
        <v>743</v>
      </c>
      <c r="B349" s="81" t="s">
        <v>205</v>
      </c>
      <c r="C349" s="81" t="s">
        <v>85</v>
      </c>
      <c r="D349" s="81" t="s">
        <v>352</v>
      </c>
      <c r="E349" s="81">
        <v>4</v>
      </c>
      <c r="F349" s="81">
        <v>3</v>
      </c>
      <c r="G349" s="81">
        <v>3</v>
      </c>
      <c r="H349" s="81">
        <v>9</v>
      </c>
      <c r="I349" s="81" t="s">
        <v>884</v>
      </c>
      <c r="J349" s="81" t="s">
        <v>243</v>
      </c>
      <c r="K349" s="81" t="s">
        <v>990</v>
      </c>
      <c r="L349" s="79"/>
      <c r="M349" s="79"/>
      <c r="N349" s="79"/>
    </row>
    <row r="350" ht="26" spans="1:14">
      <c r="A350" s="81" t="s">
        <v>747</v>
      </c>
      <c r="B350" s="81" t="s">
        <v>205</v>
      </c>
      <c r="C350" s="81" t="s">
        <v>85</v>
      </c>
      <c r="D350" s="81" t="s">
        <v>352</v>
      </c>
      <c r="E350" s="81">
        <v>1</v>
      </c>
      <c r="F350" s="81">
        <v>2</v>
      </c>
      <c r="G350" s="81">
        <v>3</v>
      </c>
      <c r="H350" s="81">
        <v>7</v>
      </c>
      <c r="I350" s="81" t="s">
        <v>887</v>
      </c>
      <c r="J350" s="81" t="s">
        <v>545</v>
      </c>
      <c r="K350" s="81" t="s">
        <v>990</v>
      </c>
      <c r="L350" s="79"/>
      <c r="M350" s="79"/>
      <c r="N350" s="79"/>
    </row>
    <row r="351" ht="26" spans="1:14">
      <c r="A351" s="81" t="s">
        <v>749</v>
      </c>
      <c r="B351" s="81" t="s">
        <v>205</v>
      </c>
      <c r="C351" s="81" t="s">
        <v>85</v>
      </c>
      <c r="D351" s="81" t="s">
        <v>352</v>
      </c>
      <c r="E351" s="81">
        <v>1</v>
      </c>
      <c r="F351" s="81">
        <v>2</v>
      </c>
      <c r="G351" s="81">
        <v>3</v>
      </c>
      <c r="H351" s="81">
        <v>7</v>
      </c>
      <c r="I351" s="81" t="s">
        <v>887</v>
      </c>
      <c r="J351" s="81" t="s">
        <v>545</v>
      </c>
      <c r="K351" s="81" t="s">
        <v>990</v>
      </c>
      <c r="L351" s="79"/>
      <c r="M351" s="79"/>
      <c r="N351" s="79"/>
    </row>
    <row r="352" ht="26" spans="1:14">
      <c r="A352" s="81" t="s">
        <v>750</v>
      </c>
      <c r="B352" s="81" t="s">
        <v>205</v>
      </c>
      <c r="C352" s="81" t="s">
        <v>85</v>
      </c>
      <c r="D352" s="81" t="s">
        <v>352</v>
      </c>
      <c r="E352" s="81">
        <v>1</v>
      </c>
      <c r="F352" s="81">
        <v>2</v>
      </c>
      <c r="G352" s="81">
        <v>3</v>
      </c>
      <c r="H352" s="81">
        <v>7</v>
      </c>
      <c r="I352" s="81" t="s">
        <v>887</v>
      </c>
      <c r="J352" s="81" t="s">
        <v>545</v>
      </c>
      <c r="K352" s="81" t="s">
        <v>990</v>
      </c>
      <c r="L352" s="79"/>
      <c r="M352" s="79"/>
      <c r="N352" s="79"/>
    </row>
    <row r="353" ht="26" spans="1:14">
      <c r="A353" s="81" t="s">
        <v>751</v>
      </c>
      <c r="B353" s="81" t="s">
        <v>205</v>
      </c>
      <c r="C353" s="81" t="s">
        <v>85</v>
      </c>
      <c r="D353" s="81" t="s">
        <v>352</v>
      </c>
      <c r="E353" s="81">
        <v>4</v>
      </c>
      <c r="F353" s="81">
        <v>3</v>
      </c>
      <c r="G353" s="81">
        <v>3</v>
      </c>
      <c r="H353" s="81">
        <v>9</v>
      </c>
      <c r="I353" s="81" t="s">
        <v>884</v>
      </c>
      <c r="J353" s="81" t="s">
        <v>243</v>
      </c>
      <c r="K353" s="81" t="s">
        <v>990</v>
      </c>
      <c r="L353" s="79"/>
      <c r="M353" s="79"/>
      <c r="N353" s="79"/>
    </row>
    <row r="354" ht="26" spans="1:14">
      <c r="A354" s="81" t="s">
        <v>753</v>
      </c>
      <c r="B354" s="81" t="s">
        <v>205</v>
      </c>
      <c r="C354" s="81" t="s">
        <v>85</v>
      </c>
      <c r="D354" s="81" t="s">
        <v>754</v>
      </c>
      <c r="E354" s="81">
        <v>5</v>
      </c>
      <c r="F354" s="81">
        <v>3</v>
      </c>
      <c r="G354" s="81">
        <v>3</v>
      </c>
      <c r="H354" s="81">
        <v>10</v>
      </c>
      <c r="I354" s="81" t="s">
        <v>884</v>
      </c>
      <c r="J354" s="81" t="s">
        <v>243</v>
      </c>
      <c r="K354" s="81" t="s">
        <v>990</v>
      </c>
      <c r="L354" s="79"/>
      <c r="M354" s="79"/>
      <c r="N354" s="79"/>
    </row>
    <row r="355" ht="26" spans="1:14">
      <c r="A355" s="81" t="s">
        <v>757</v>
      </c>
      <c r="B355" s="81" t="s">
        <v>205</v>
      </c>
      <c r="C355" s="81" t="s">
        <v>201</v>
      </c>
      <c r="D355" s="81" t="s">
        <v>758</v>
      </c>
      <c r="E355" s="81">
        <v>4</v>
      </c>
      <c r="F355" s="81">
        <v>3</v>
      </c>
      <c r="G355" s="81">
        <v>3</v>
      </c>
      <c r="H355" s="81">
        <v>9</v>
      </c>
      <c r="I355" s="81" t="s">
        <v>884</v>
      </c>
      <c r="J355" s="81" t="s">
        <v>545</v>
      </c>
      <c r="K355" s="81" t="s">
        <v>990</v>
      </c>
      <c r="L355" s="79"/>
      <c r="M355" s="79"/>
      <c r="N355" s="79"/>
    </row>
    <row r="356" ht="26" spans="1:14">
      <c r="A356" s="81" t="s">
        <v>759</v>
      </c>
      <c r="B356" s="81" t="s">
        <v>205</v>
      </c>
      <c r="C356" s="81" t="s">
        <v>201</v>
      </c>
      <c r="D356" s="81" t="s">
        <v>758</v>
      </c>
      <c r="E356" s="81">
        <v>4</v>
      </c>
      <c r="F356" s="81">
        <v>3</v>
      </c>
      <c r="G356" s="81">
        <v>3</v>
      </c>
      <c r="H356" s="81">
        <v>9</v>
      </c>
      <c r="I356" s="81" t="s">
        <v>884</v>
      </c>
      <c r="J356" s="81" t="s">
        <v>243</v>
      </c>
      <c r="K356" s="81" t="s">
        <v>990</v>
      </c>
      <c r="L356" s="79"/>
      <c r="M356" s="79"/>
      <c r="N356" s="79"/>
    </row>
    <row r="357" ht="26" spans="1:14">
      <c r="A357" s="81" t="s">
        <v>761</v>
      </c>
      <c r="B357" s="81" t="s">
        <v>205</v>
      </c>
      <c r="C357" s="81" t="s">
        <v>201</v>
      </c>
      <c r="D357" s="81" t="s">
        <v>762</v>
      </c>
      <c r="E357" s="81">
        <v>4</v>
      </c>
      <c r="F357" s="81">
        <v>3</v>
      </c>
      <c r="G357" s="81">
        <v>3</v>
      </c>
      <c r="H357" s="81">
        <v>9</v>
      </c>
      <c r="I357" s="81" t="s">
        <v>884</v>
      </c>
      <c r="J357" s="81" t="s">
        <v>545</v>
      </c>
      <c r="K357" s="81" t="s">
        <v>990</v>
      </c>
      <c r="L357" s="79"/>
      <c r="M357" s="79"/>
      <c r="N357" s="79"/>
    </row>
    <row r="358" ht="26" spans="1:14">
      <c r="A358" s="81" t="s">
        <v>763</v>
      </c>
      <c r="B358" s="81" t="s">
        <v>205</v>
      </c>
      <c r="C358" s="81" t="s">
        <v>201</v>
      </c>
      <c r="D358" s="81" t="s">
        <v>762</v>
      </c>
      <c r="E358" s="81">
        <v>4</v>
      </c>
      <c r="F358" s="81">
        <v>3</v>
      </c>
      <c r="G358" s="81">
        <v>3</v>
      </c>
      <c r="H358" s="81">
        <v>9</v>
      </c>
      <c r="I358" s="81" t="s">
        <v>884</v>
      </c>
      <c r="J358" s="81" t="s">
        <v>243</v>
      </c>
      <c r="K358" s="81" t="s">
        <v>990</v>
      </c>
      <c r="L358" s="79"/>
      <c r="M358" s="79"/>
      <c r="N358" s="79"/>
    </row>
    <row r="359" ht="26" spans="1:14">
      <c r="A359" s="81" t="s">
        <v>765</v>
      </c>
      <c r="B359" s="81" t="s">
        <v>205</v>
      </c>
      <c r="C359" s="81" t="s">
        <v>201</v>
      </c>
      <c r="D359" s="81" t="s">
        <v>762</v>
      </c>
      <c r="E359" s="81">
        <v>4</v>
      </c>
      <c r="F359" s="81">
        <v>3</v>
      </c>
      <c r="G359" s="81">
        <v>3</v>
      </c>
      <c r="H359" s="81">
        <v>9</v>
      </c>
      <c r="I359" s="81" t="s">
        <v>884</v>
      </c>
      <c r="J359" s="81" t="s">
        <v>243</v>
      </c>
      <c r="K359" s="81" t="s">
        <v>990</v>
      </c>
      <c r="L359" s="79"/>
      <c r="M359" s="79"/>
      <c r="N359" s="79"/>
    </row>
    <row r="360" ht="26" spans="1:14">
      <c r="A360" s="81" t="s">
        <v>768</v>
      </c>
      <c r="B360" s="81" t="s">
        <v>205</v>
      </c>
      <c r="C360" s="81" t="s">
        <v>201</v>
      </c>
      <c r="D360" s="81" t="s">
        <v>762</v>
      </c>
      <c r="E360" s="81">
        <v>4</v>
      </c>
      <c r="F360" s="81">
        <v>3</v>
      </c>
      <c r="G360" s="81">
        <v>3</v>
      </c>
      <c r="H360" s="81">
        <v>9</v>
      </c>
      <c r="I360" s="81" t="s">
        <v>884</v>
      </c>
      <c r="J360" s="81" t="s">
        <v>243</v>
      </c>
      <c r="K360" s="81" t="s">
        <v>990</v>
      </c>
      <c r="L360" s="79"/>
      <c r="M360" s="79"/>
      <c r="N360" s="79"/>
    </row>
    <row r="361" ht="26" spans="1:14">
      <c r="A361" s="81" t="s">
        <v>770</v>
      </c>
      <c r="B361" s="81" t="s">
        <v>205</v>
      </c>
      <c r="C361" s="81" t="s">
        <v>201</v>
      </c>
      <c r="D361" s="81" t="s">
        <v>762</v>
      </c>
      <c r="E361" s="81">
        <v>4</v>
      </c>
      <c r="F361" s="81">
        <v>3</v>
      </c>
      <c r="G361" s="81">
        <v>3</v>
      </c>
      <c r="H361" s="81">
        <v>9</v>
      </c>
      <c r="I361" s="81" t="s">
        <v>884</v>
      </c>
      <c r="J361" s="81" t="s">
        <v>545</v>
      </c>
      <c r="K361" s="81" t="s">
        <v>990</v>
      </c>
      <c r="L361" s="79"/>
      <c r="M361" s="79"/>
      <c r="N361" s="79"/>
    </row>
    <row r="362" ht="26" spans="1:14">
      <c r="A362" s="81" t="s">
        <v>772</v>
      </c>
      <c r="B362" s="81" t="s">
        <v>205</v>
      </c>
      <c r="C362" s="81" t="s">
        <v>201</v>
      </c>
      <c r="D362" s="81" t="s">
        <v>762</v>
      </c>
      <c r="E362" s="81">
        <v>4</v>
      </c>
      <c r="F362" s="81">
        <v>3</v>
      </c>
      <c r="G362" s="81">
        <v>3</v>
      </c>
      <c r="H362" s="81">
        <v>9</v>
      </c>
      <c r="I362" s="81" t="s">
        <v>884</v>
      </c>
      <c r="J362" s="81" t="s">
        <v>545</v>
      </c>
      <c r="K362" s="81" t="s">
        <v>990</v>
      </c>
      <c r="L362" s="79"/>
      <c r="M362" s="79"/>
      <c r="N362" s="79"/>
    </row>
    <row r="363" ht="26" spans="1:14">
      <c r="A363" s="81" t="s">
        <v>774</v>
      </c>
      <c r="B363" s="81" t="s">
        <v>205</v>
      </c>
      <c r="C363" s="81" t="s">
        <v>201</v>
      </c>
      <c r="D363" s="81" t="s">
        <v>762</v>
      </c>
      <c r="E363" s="81">
        <v>4</v>
      </c>
      <c r="F363" s="81">
        <v>3</v>
      </c>
      <c r="G363" s="81">
        <v>3</v>
      </c>
      <c r="H363" s="81">
        <v>9</v>
      </c>
      <c r="I363" s="81" t="s">
        <v>884</v>
      </c>
      <c r="J363" s="81" t="s">
        <v>545</v>
      </c>
      <c r="K363" s="81" t="s">
        <v>990</v>
      </c>
      <c r="L363" s="79"/>
      <c r="M363" s="79"/>
      <c r="N363" s="79"/>
    </row>
    <row r="364" ht="26" spans="1:14">
      <c r="A364" s="81" t="s">
        <v>777</v>
      </c>
      <c r="B364" s="81" t="s">
        <v>205</v>
      </c>
      <c r="C364" s="81" t="s">
        <v>201</v>
      </c>
      <c r="D364" s="81" t="s">
        <v>762</v>
      </c>
      <c r="E364" s="81">
        <v>4</v>
      </c>
      <c r="F364" s="81">
        <v>3</v>
      </c>
      <c r="G364" s="81">
        <v>3</v>
      </c>
      <c r="H364" s="81">
        <v>9</v>
      </c>
      <c r="I364" s="81" t="s">
        <v>884</v>
      </c>
      <c r="J364" s="81" t="s">
        <v>545</v>
      </c>
      <c r="K364" s="81" t="s">
        <v>990</v>
      </c>
      <c r="L364" s="79"/>
      <c r="M364" s="79"/>
      <c r="N364" s="79"/>
    </row>
    <row r="365" ht="26" spans="1:14">
      <c r="A365" s="81" t="s">
        <v>779</v>
      </c>
      <c r="B365" s="81" t="s">
        <v>205</v>
      </c>
      <c r="C365" s="81" t="s">
        <v>205</v>
      </c>
      <c r="D365" s="81" t="s">
        <v>730</v>
      </c>
      <c r="E365" s="81">
        <v>1</v>
      </c>
      <c r="F365" s="81">
        <v>2</v>
      </c>
      <c r="G365" s="81">
        <v>3</v>
      </c>
      <c r="H365" s="81">
        <v>7</v>
      </c>
      <c r="I365" s="81" t="s">
        <v>887</v>
      </c>
      <c r="J365" s="81" t="s">
        <v>545</v>
      </c>
      <c r="K365" s="81" t="s">
        <v>990</v>
      </c>
      <c r="L365" s="79"/>
      <c r="M365" s="79"/>
      <c r="N365" s="79"/>
    </row>
    <row r="366" ht="26" spans="1:14">
      <c r="A366" s="81" t="s">
        <v>781</v>
      </c>
      <c r="B366" s="81" t="s">
        <v>205</v>
      </c>
      <c r="C366" s="81" t="s">
        <v>205</v>
      </c>
      <c r="D366" s="81" t="s">
        <v>730</v>
      </c>
      <c r="E366" s="81">
        <v>1</v>
      </c>
      <c r="F366" s="81">
        <v>2</v>
      </c>
      <c r="G366" s="81">
        <v>3</v>
      </c>
      <c r="H366" s="81">
        <v>7</v>
      </c>
      <c r="I366" s="81" t="s">
        <v>887</v>
      </c>
      <c r="J366" s="81" t="s">
        <v>545</v>
      </c>
      <c r="K366" s="81" t="s">
        <v>990</v>
      </c>
      <c r="L366" s="79"/>
      <c r="M366" s="79"/>
      <c r="N366" s="79"/>
    </row>
    <row r="367" ht="26" spans="1:14">
      <c r="A367" s="81" t="s">
        <v>783</v>
      </c>
      <c r="B367" s="81" t="s">
        <v>205</v>
      </c>
      <c r="C367" s="81" t="s">
        <v>201</v>
      </c>
      <c r="D367" s="81" t="s">
        <v>435</v>
      </c>
      <c r="E367" s="81">
        <v>4</v>
      </c>
      <c r="F367" s="81">
        <v>3</v>
      </c>
      <c r="G367" s="81">
        <v>3</v>
      </c>
      <c r="H367" s="81">
        <v>9</v>
      </c>
      <c r="I367" s="81" t="s">
        <v>884</v>
      </c>
      <c r="J367" s="81" t="s">
        <v>545</v>
      </c>
      <c r="K367" s="81" t="s">
        <v>990</v>
      </c>
      <c r="L367" s="79"/>
      <c r="M367" s="79"/>
      <c r="N367" s="79"/>
    </row>
    <row r="368" ht="26" spans="1:14">
      <c r="A368" s="81" t="s">
        <v>784</v>
      </c>
      <c r="B368" s="81" t="s">
        <v>205</v>
      </c>
      <c r="C368" s="81" t="s">
        <v>201</v>
      </c>
      <c r="D368" s="81" t="s">
        <v>435</v>
      </c>
      <c r="E368" s="81">
        <v>4</v>
      </c>
      <c r="F368" s="81">
        <v>3</v>
      </c>
      <c r="G368" s="81">
        <v>3</v>
      </c>
      <c r="H368" s="81">
        <v>9</v>
      </c>
      <c r="I368" s="81" t="s">
        <v>884</v>
      </c>
      <c r="J368" s="81" t="s">
        <v>545</v>
      </c>
      <c r="K368" s="81" t="s">
        <v>990</v>
      </c>
      <c r="L368" s="79"/>
      <c r="M368" s="79"/>
      <c r="N368" s="79"/>
    </row>
    <row r="369" ht="26" spans="1:14">
      <c r="A369" s="81" t="s">
        <v>785</v>
      </c>
      <c r="B369" s="81" t="s">
        <v>205</v>
      </c>
      <c r="C369" s="81" t="s">
        <v>201</v>
      </c>
      <c r="D369" s="81" t="s">
        <v>435</v>
      </c>
      <c r="E369" s="81">
        <v>4</v>
      </c>
      <c r="F369" s="81">
        <v>3</v>
      </c>
      <c r="G369" s="81">
        <v>3</v>
      </c>
      <c r="H369" s="81">
        <v>9</v>
      </c>
      <c r="I369" s="81" t="s">
        <v>884</v>
      </c>
      <c r="J369" s="81" t="s">
        <v>545</v>
      </c>
      <c r="K369" s="81" t="s">
        <v>990</v>
      </c>
      <c r="L369" s="79"/>
      <c r="M369" s="79"/>
      <c r="N369" s="79"/>
    </row>
    <row r="370" ht="26" spans="1:14">
      <c r="A370" s="81" t="s">
        <v>788</v>
      </c>
      <c r="B370" s="81" t="s">
        <v>205</v>
      </c>
      <c r="C370" s="81" t="s">
        <v>201</v>
      </c>
      <c r="D370" s="81" t="s">
        <v>435</v>
      </c>
      <c r="E370" s="81">
        <v>5</v>
      </c>
      <c r="F370" s="81">
        <v>3</v>
      </c>
      <c r="G370" s="81">
        <v>3</v>
      </c>
      <c r="H370" s="81">
        <v>10</v>
      </c>
      <c r="I370" s="81" t="s">
        <v>884</v>
      </c>
      <c r="J370" s="81" t="s">
        <v>243</v>
      </c>
      <c r="K370" s="81" t="s">
        <v>990</v>
      </c>
      <c r="L370" s="79"/>
      <c r="M370" s="79"/>
      <c r="N370" s="79"/>
    </row>
    <row r="371" ht="26" spans="1:14">
      <c r="A371" s="81" t="s">
        <v>790</v>
      </c>
      <c r="B371" s="81" t="s">
        <v>205</v>
      </c>
      <c r="C371" s="81" t="s">
        <v>201</v>
      </c>
      <c r="D371" s="81" t="s">
        <v>435</v>
      </c>
      <c r="E371" s="81">
        <v>4</v>
      </c>
      <c r="F371" s="81">
        <v>3</v>
      </c>
      <c r="G371" s="81">
        <v>3</v>
      </c>
      <c r="H371" s="81">
        <v>9</v>
      </c>
      <c r="I371" s="81" t="s">
        <v>884</v>
      </c>
      <c r="J371" s="81" t="s">
        <v>545</v>
      </c>
      <c r="K371" s="81" t="s">
        <v>990</v>
      </c>
      <c r="L371" s="79"/>
      <c r="M371" s="79"/>
      <c r="N371" s="79"/>
    </row>
    <row r="372" ht="26" spans="1:14">
      <c r="A372" s="81" t="s">
        <v>791</v>
      </c>
      <c r="B372" s="81" t="s">
        <v>205</v>
      </c>
      <c r="C372" s="81" t="s">
        <v>201</v>
      </c>
      <c r="D372" s="81" t="s">
        <v>435</v>
      </c>
      <c r="E372" s="81">
        <v>4</v>
      </c>
      <c r="F372" s="81">
        <v>3</v>
      </c>
      <c r="G372" s="81">
        <v>3</v>
      </c>
      <c r="H372" s="81">
        <v>9</v>
      </c>
      <c r="I372" s="81" t="s">
        <v>884</v>
      </c>
      <c r="J372" s="81" t="s">
        <v>545</v>
      </c>
      <c r="K372" s="81" t="s">
        <v>990</v>
      </c>
      <c r="L372" s="79"/>
      <c r="M372" s="79"/>
      <c r="N372" s="79"/>
    </row>
    <row r="373" ht="26" spans="1:14">
      <c r="A373" s="81" t="s">
        <v>794</v>
      </c>
      <c r="B373" s="81" t="s">
        <v>205</v>
      </c>
      <c r="C373" s="81" t="s">
        <v>201</v>
      </c>
      <c r="D373" s="81" t="s">
        <v>435</v>
      </c>
      <c r="E373" s="81">
        <v>4</v>
      </c>
      <c r="F373" s="81">
        <v>3</v>
      </c>
      <c r="G373" s="81">
        <v>3</v>
      </c>
      <c r="H373" s="81">
        <v>9</v>
      </c>
      <c r="I373" s="81" t="s">
        <v>884</v>
      </c>
      <c r="J373" s="81" t="s">
        <v>545</v>
      </c>
      <c r="K373" s="81" t="s">
        <v>990</v>
      </c>
      <c r="L373" s="79"/>
      <c r="M373" s="79"/>
      <c r="N373" s="79"/>
    </row>
    <row r="374" ht="26" spans="1:14">
      <c r="A374" s="81" t="s">
        <v>795</v>
      </c>
      <c r="B374" s="81" t="s">
        <v>205</v>
      </c>
      <c r="C374" s="81" t="s">
        <v>201</v>
      </c>
      <c r="D374" s="81" t="s">
        <v>435</v>
      </c>
      <c r="E374" s="81">
        <v>4</v>
      </c>
      <c r="F374" s="81">
        <v>3</v>
      </c>
      <c r="G374" s="81">
        <v>3</v>
      </c>
      <c r="H374" s="81">
        <v>9</v>
      </c>
      <c r="I374" s="81" t="s">
        <v>884</v>
      </c>
      <c r="J374" s="81" t="s">
        <v>243</v>
      </c>
      <c r="K374" s="81" t="s">
        <v>990</v>
      </c>
      <c r="L374" s="79"/>
      <c r="M374" s="79"/>
      <c r="N374" s="79"/>
    </row>
    <row r="375" ht="26" spans="1:14">
      <c r="A375" s="81" t="s">
        <v>797</v>
      </c>
      <c r="B375" s="81" t="s">
        <v>205</v>
      </c>
      <c r="C375" s="81" t="s">
        <v>201</v>
      </c>
      <c r="D375" s="81" t="s">
        <v>435</v>
      </c>
      <c r="E375" s="81">
        <v>4</v>
      </c>
      <c r="F375" s="81">
        <v>3</v>
      </c>
      <c r="G375" s="81">
        <v>3</v>
      </c>
      <c r="H375" s="81">
        <v>9</v>
      </c>
      <c r="I375" s="81" t="s">
        <v>884</v>
      </c>
      <c r="J375" s="81" t="s">
        <v>545</v>
      </c>
      <c r="K375" s="81" t="s">
        <v>990</v>
      </c>
      <c r="L375" s="79"/>
      <c r="M375" s="79"/>
      <c r="N375" s="79"/>
    </row>
    <row r="376" ht="26" spans="1:14">
      <c r="A376" s="81" t="s">
        <v>799</v>
      </c>
      <c r="B376" s="81" t="s">
        <v>205</v>
      </c>
      <c r="C376" s="81" t="s">
        <v>201</v>
      </c>
      <c r="D376" s="81" t="s">
        <v>435</v>
      </c>
      <c r="E376" s="81">
        <v>5</v>
      </c>
      <c r="F376" s="81">
        <v>3</v>
      </c>
      <c r="G376" s="81">
        <v>3</v>
      </c>
      <c r="H376" s="81">
        <v>10</v>
      </c>
      <c r="I376" s="81" t="s">
        <v>884</v>
      </c>
      <c r="J376" s="81" t="s">
        <v>243</v>
      </c>
      <c r="K376" s="81" t="s">
        <v>990</v>
      </c>
      <c r="L376" s="79"/>
      <c r="M376" s="79"/>
      <c r="N376" s="79"/>
    </row>
    <row r="377" ht="26" spans="1:14">
      <c r="A377" s="81" t="s">
        <v>801</v>
      </c>
      <c r="B377" s="81" t="s">
        <v>205</v>
      </c>
      <c r="C377" s="81" t="s">
        <v>203</v>
      </c>
      <c r="D377" s="81" t="s">
        <v>802</v>
      </c>
      <c r="E377" s="81">
        <v>1</v>
      </c>
      <c r="F377" s="81">
        <v>2</v>
      </c>
      <c r="G377" s="81">
        <v>3</v>
      </c>
      <c r="H377" s="81">
        <v>7</v>
      </c>
      <c r="I377" s="81" t="s">
        <v>887</v>
      </c>
      <c r="J377" s="81" t="s">
        <v>545</v>
      </c>
      <c r="K377" s="81" t="s">
        <v>990</v>
      </c>
      <c r="L377" s="79"/>
      <c r="M377" s="79"/>
      <c r="N377" s="79"/>
    </row>
    <row r="378" ht="26" spans="1:14">
      <c r="A378" s="81" t="s">
        <v>803</v>
      </c>
      <c r="B378" s="81" t="s">
        <v>205</v>
      </c>
      <c r="C378" s="81" t="s">
        <v>203</v>
      </c>
      <c r="D378" s="81" t="s">
        <v>802</v>
      </c>
      <c r="E378" s="81">
        <v>4</v>
      </c>
      <c r="F378" s="81">
        <v>3</v>
      </c>
      <c r="G378" s="81">
        <v>3</v>
      </c>
      <c r="H378" s="81">
        <v>9</v>
      </c>
      <c r="I378" s="81" t="s">
        <v>884</v>
      </c>
      <c r="J378" s="81" t="s">
        <v>545</v>
      </c>
      <c r="K378" s="81" t="s">
        <v>990</v>
      </c>
      <c r="L378" s="79"/>
      <c r="M378" s="79"/>
      <c r="N378" s="79"/>
    </row>
    <row r="379" ht="26" spans="1:14">
      <c r="A379" s="81" t="s">
        <v>806</v>
      </c>
      <c r="B379" s="81" t="s">
        <v>205</v>
      </c>
      <c r="C379" s="81" t="s">
        <v>203</v>
      </c>
      <c r="D379" s="81" t="s">
        <v>560</v>
      </c>
      <c r="E379" s="81">
        <v>2</v>
      </c>
      <c r="F379" s="81">
        <v>2</v>
      </c>
      <c r="G379" s="81">
        <v>3</v>
      </c>
      <c r="H379" s="81">
        <v>8</v>
      </c>
      <c r="I379" s="81" t="s">
        <v>892</v>
      </c>
      <c r="J379" s="81" t="s">
        <v>545</v>
      </c>
      <c r="K379" s="81" t="s">
        <v>990</v>
      </c>
      <c r="L379" s="79"/>
      <c r="M379" s="79"/>
      <c r="N379" s="79"/>
    </row>
    <row r="380" ht="26" spans="1:14">
      <c r="A380" s="81" t="s">
        <v>807</v>
      </c>
      <c r="B380" s="81" t="s">
        <v>205</v>
      </c>
      <c r="C380" s="81" t="s">
        <v>203</v>
      </c>
      <c r="D380" s="81" t="s">
        <v>560</v>
      </c>
      <c r="E380" s="81">
        <v>2</v>
      </c>
      <c r="F380" s="81">
        <v>2</v>
      </c>
      <c r="G380" s="81">
        <v>3</v>
      </c>
      <c r="H380" s="81">
        <v>8</v>
      </c>
      <c r="I380" s="81" t="s">
        <v>892</v>
      </c>
      <c r="J380" s="81" t="s">
        <v>545</v>
      </c>
      <c r="K380" s="81" t="s">
        <v>990</v>
      </c>
      <c r="L380" s="79"/>
      <c r="M380" s="79"/>
      <c r="N380" s="79"/>
    </row>
    <row r="381" ht="26" spans="1:14">
      <c r="A381" s="81" t="s">
        <v>809</v>
      </c>
      <c r="B381" s="81" t="s">
        <v>205</v>
      </c>
      <c r="C381" s="81" t="s">
        <v>203</v>
      </c>
      <c r="D381" s="81" t="s">
        <v>483</v>
      </c>
      <c r="E381" s="81">
        <v>4</v>
      </c>
      <c r="F381" s="81">
        <v>3</v>
      </c>
      <c r="G381" s="81">
        <v>3</v>
      </c>
      <c r="H381" s="81">
        <v>9</v>
      </c>
      <c r="I381" s="81" t="s">
        <v>884</v>
      </c>
      <c r="J381" s="81" t="s">
        <v>545</v>
      </c>
      <c r="K381" s="81" t="s">
        <v>990</v>
      </c>
      <c r="L381" s="79"/>
      <c r="M381" s="79"/>
      <c r="N381" s="79"/>
    </row>
    <row r="382" ht="26" spans="1:14">
      <c r="A382" s="81" t="s">
        <v>811</v>
      </c>
      <c r="B382" s="81" t="s">
        <v>205</v>
      </c>
      <c r="C382" s="81" t="s">
        <v>203</v>
      </c>
      <c r="D382" s="81" t="s">
        <v>483</v>
      </c>
      <c r="E382" s="81">
        <v>4</v>
      </c>
      <c r="F382" s="81">
        <v>3</v>
      </c>
      <c r="G382" s="81">
        <v>3</v>
      </c>
      <c r="H382" s="81">
        <v>9</v>
      </c>
      <c r="I382" s="81" t="s">
        <v>884</v>
      </c>
      <c r="J382" s="81" t="s">
        <v>243</v>
      </c>
      <c r="K382" s="81" t="s">
        <v>990</v>
      </c>
      <c r="L382" s="79"/>
      <c r="M382" s="79"/>
      <c r="N382" s="79"/>
    </row>
    <row r="383" ht="26" spans="1:14">
      <c r="A383" s="81" t="s">
        <v>814</v>
      </c>
      <c r="B383" s="81" t="s">
        <v>205</v>
      </c>
      <c r="C383" s="81" t="s">
        <v>203</v>
      </c>
      <c r="D383" s="81" t="s">
        <v>802</v>
      </c>
      <c r="E383" s="81">
        <v>1</v>
      </c>
      <c r="F383" s="81">
        <v>2</v>
      </c>
      <c r="G383" s="81">
        <v>3</v>
      </c>
      <c r="H383" s="81">
        <v>7</v>
      </c>
      <c r="I383" s="81" t="s">
        <v>887</v>
      </c>
      <c r="J383" s="81" t="s">
        <v>545</v>
      </c>
      <c r="K383" s="81" t="s">
        <v>990</v>
      </c>
      <c r="L383" s="79"/>
      <c r="M383" s="79"/>
      <c r="N383" s="79"/>
    </row>
    <row r="384" ht="26" spans="1:14">
      <c r="A384" s="81" t="s">
        <v>815</v>
      </c>
      <c r="B384" s="81" t="s">
        <v>205</v>
      </c>
      <c r="C384" s="81" t="s">
        <v>201</v>
      </c>
      <c r="D384" s="81" t="s">
        <v>802</v>
      </c>
      <c r="E384" s="81">
        <v>4</v>
      </c>
      <c r="F384" s="81">
        <v>3</v>
      </c>
      <c r="G384" s="81">
        <v>3</v>
      </c>
      <c r="H384" s="81">
        <v>9</v>
      </c>
      <c r="I384" s="81" t="s">
        <v>884</v>
      </c>
      <c r="J384" s="81" t="s">
        <v>545</v>
      </c>
      <c r="K384" s="81" t="s">
        <v>990</v>
      </c>
      <c r="L384" s="79"/>
      <c r="M384" s="79"/>
      <c r="N384" s="79"/>
    </row>
    <row r="385" ht="26" spans="1:14">
      <c r="A385" s="81" t="s">
        <v>817</v>
      </c>
      <c r="B385" s="81" t="s">
        <v>205</v>
      </c>
      <c r="C385" s="81" t="s">
        <v>203</v>
      </c>
      <c r="D385" s="81" t="s">
        <v>483</v>
      </c>
      <c r="E385" s="81">
        <v>4</v>
      </c>
      <c r="F385" s="81">
        <v>3</v>
      </c>
      <c r="G385" s="81">
        <v>3</v>
      </c>
      <c r="H385" s="81">
        <v>9</v>
      </c>
      <c r="I385" s="81" t="s">
        <v>884</v>
      </c>
      <c r="J385" s="81" t="s">
        <v>545</v>
      </c>
      <c r="K385" s="81" t="s">
        <v>990</v>
      </c>
      <c r="L385" s="79"/>
      <c r="M385" s="79"/>
      <c r="N385" s="79"/>
    </row>
    <row r="386" ht="26" spans="1:14">
      <c r="A386" s="81" t="s">
        <v>819</v>
      </c>
      <c r="B386" s="81" t="s">
        <v>205</v>
      </c>
      <c r="C386" s="81" t="s">
        <v>203</v>
      </c>
      <c r="D386" s="81" t="s">
        <v>629</v>
      </c>
      <c r="E386" s="81">
        <v>1</v>
      </c>
      <c r="F386" s="81">
        <v>2</v>
      </c>
      <c r="G386" s="81">
        <v>3</v>
      </c>
      <c r="H386" s="81">
        <v>7</v>
      </c>
      <c r="I386" s="81" t="s">
        <v>887</v>
      </c>
      <c r="J386" s="81" t="s">
        <v>545</v>
      </c>
      <c r="K386" s="81" t="s">
        <v>990</v>
      </c>
      <c r="L386" s="79"/>
      <c r="M386" s="79"/>
      <c r="N386" s="79"/>
    </row>
    <row r="387" ht="26" spans="1:14">
      <c r="A387" s="81" t="s">
        <v>820</v>
      </c>
      <c r="B387" s="81" t="s">
        <v>205</v>
      </c>
      <c r="C387" s="81" t="s">
        <v>203</v>
      </c>
      <c r="D387" s="81" t="s">
        <v>629</v>
      </c>
      <c r="E387" s="81">
        <v>1</v>
      </c>
      <c r="F387" s="81">
        <v>2</v>
      </c>
      <c r="G387" s="81">
        <v>3</v>
      </c>
      <c r="H387" s="81">
        <v>7</v>
      </c>
      <c r="I387" s="81" t="s">
        <v>887</v>
      </c>
      <c r="J387" s="81" t="s">
        <v>545</v>
      </c>
      <c r="K387" s="81" t="s">
        <v>990</v>
      </c>
      <c r="L387" s="79"/>
      <c r="M387" s="79"/>
      <c r="N387" s="79"/>
    </row>
    <row r="388" ht="26" spans="1:14">
      <c r="A388" s="81" t="s">
        <v>822</v>
      </c>
      <c r="B388" s="81" t="s">
        <v>205</v>
      </c>
      <c r="C388" s="81" t="s">
        <v>203</v>
      </c>
      <c r="D388" s="81" t="s">
        <v>629</v>
      </c>
      <c r="E388" s="81">
        <v>4</v>
      </c>
      <c r="F388" s="81">
        <v>3</v>
      </c>
      <c r="G388" s="81">
        <v>3</v>
      </c>
      <c r="H388" s="81">
        <v>9</v>
      </c>
      <c r="I388" s="81" t="s">
        <v>884</v>
      </c>
      <c r="J388" s="81" t="s">
        <v>243</v>
      </c>
      <c r="K388" s="81" t="s">
        <v>990</v>
      </c>
      <c r="L388" s="79"/>
      <c r="M388" s="79"/>
      <c r="N388" s="79"/>
    </row>
    <row r="389" ht="26" spans="1:14">
      <c r="A389" s="81" t="s">
        <v>824</v>
      </c>
      <c r="B389" s="81" t="s">
        <v>205</v>
      </c>
      <c r="C389" s="81" t="s">
        <v>203</v>
      </c>
      <c r="D389" s="81" t="s">
        <v>641</v>
      </c>
      <c r="E389" s="81">
        <v>4</v>
      </c>
      <c r="F389" s="81">
        <v>3</v>
      </c>
      <c r="G389" s="81">
        <v>3</v>
      </c>
      <c r="H389" s="81">
        <v>9</v>
      </c>
      <c r="I389" s="81" t="s">
        <v>884</v>
      </c>
      <c r="J389" s="81" t="s">
        <v>243</v>
      </c>
      <c r="K389" s="81" t="s">
        <v>990</v>
      </c>
      <c r="L389" s="79"/>
      <c r="M389" s="79"/>
      <c r="N389" s="79"/>
    </row>
    <row r="390" ht="26" spans="1:14">
      <c r="A390" s="81" t="s">
        <v>826</v>
      </c>
      <c r="B390" s="81" t="s">
        <v>205</v>
      </c>
      <c r="C390" s="81" t="s">
        <v>203</v>
      </c>
      <c r="D390" s="81" t="s">
        <v>629</v>
      </c>
      <c r="E390" s="81">
        <v>1</v>
      </c>
      <c r="F390" s="81">
        <v>2</v>
      </c>
      <c r="G390" s="81">
        <v>3</v>
      </c>
      <c r="H390" s="81">
        <v>7</v>
      </c>
      <c r="I390" s="81" t="s">
        <v>887</v>
      </c>
      <c r="J390" s="81" t="s">
        <v>545</v>
      </c>
      <c r="K390" s="81" t="s">
        <v>990</v>
      </c>
      <c r="L390" s="79"/>
      <c r="M390" s="79"/>
      <c r="N390" s="79"/>
    </row>
    <row r="391" ht="26" spans="1:14">
      <c r="A391" s="81" t="s">
        <v>827</v>
      </c>
      <c r="B391" s="81" t="s">
        <v>205</v>
      </c>
      <c r="C391" s="81" t="s">
        <v>203</v>
      </c>
      <c r="D391" s="81" t="s">
        <v>629</v>
      </c>
      <c r="E391" s="81">
        <v>1</v>
      </c>
      <c r="F391" s="81">
        <v>2</v>
      </c>
      <c r="G391" s="81">
        <v>3</v>
      </c>
      <c r="H391" s="81">
        <v>7</v>
      </c>
      <c r="I391" s="81" t="s">
        <v>887</v>
      </c>
      <c r="J391" s="81" t="s">
        <v>545</v>
      </c>
      <c r="K391" s="81" t="s">
        <v>990</v>
      </c>
      <c r="L391" s="79"/>
      <c r="M391" s="79"/>
      <c r="N391" s="79"/>
    </row>
    <row r="392" ht="26" spans="1:14">
      <c r="A392" s="81" t="s">
        <v>829</v>
      </c>
      <c r="B392" s="81" t="s">
        <v>205</v>
      </c>
      <c r="C392" s="81" t="s">
        <v>203</v>
      </c>
      <c r="D392" s="81" t="s">
        <v>629</v>
      </c>
      <c r="E392" s="81">
        <v>1</v>
      </c>
      <c r="F392" s="81">
        <v>2</v>
      </c>
      <c r="G392" s="81">
        <v>3</v>
      </c>
      <c r="H392" s="81">
        <v>7</v>
      </c>
      <c r="I392" s="81" t="s">
        <v>887</v>
      </c>
      <c r="J392" s="81" t="s">
        <v>545</v>
      </c>
      <c r="K392" s="81" t="s">
        <v>990</v>
      </c>
      <c r="L392" s="79"/>
      <c r="M392" s="79"/>
      <c r="N392" s="79"/>
    </row>
    <row r="393" ht="26" spans="1:14">
      <c r="A393" s="81" t="s">
        <v>831</v>
      </c>
      <c r="B393" s="81" t="s">
        <v>205</v>
      </c>
      <c r="C393" s="81" t="s">
        <v>203</v>
      </c>
      <c r="D393" s="81" t="s">
        <v>629</v>
      </c>
      <c r="E393" s="81">
        <v>4</v>
      </c>
      <c r="F393" s="81">
        <v>3</v>
      </c>
      <c r="G393" s="81">
        <v>3</v>
      </c>
      <c r="H393" s="81">
        <v>9</v>
      </c>
      <c r="I393" s="81" t="s">
        <v>884</v>
      </c>
      <c r="J393" s="81" t="s">
        <v>243</v>
      </c>
      <c r="K393" s="81" t="s">
        <v>990</v>
      </c>
      <c r="L393" s="79"/>
      <c r="M393" s="79"/>
      <c r="N393" s="79"/>
    </row>
    <row r="394" ht="26" spans="1:14">
      <c r="A394" s="81" t="s">
        <v>833</v>
      </c>
      <c r="B394" s="81" t="s">
        <v>205</v>
      </c>
      <c r="C394" s="81" t="s">
        <v>203</v>
      </c>
      <c r="D394" s="81" t="s">
        <v>724</v>
      </c>
      <c r="E394" s="81">
        <v>1</v>
      </c>
      <c r="F394" s="81">
        <v>2</v>
      </c>
      <c r="G394" s="81">
        <v>3</v>
      </c>
      <c r="H394" s="81">
        <v>7</v>
      </c>
      <c r="I394" s="81" t="s">
        <v>887</v>
      </c>
      <c r="J394" s="81" t="s">
        <v>545</v>
      </c>
      <c r="K394" s="81" t="s">
        <v>990</v>
      </c>
      <c r="L394" s="79"/>
      <c r="M394" s="79"/>
      <c r="N394" s="79"/>
    </row>
    <row r="395" ht="26" spans="1:14">
      <c r="A395" s="81" t="s">
        <v>835</v>
      </c>
      <c r="B395" s="81" t="s">
        <v>205</v>
      </c>
      <c r="C395" s="81" t="s">
        <v>203</v>
      </c>
      <c r="D395" s="81" t="s">
        <v>724</v>
      </c>
      <c r="E395" s="81">
        <v>1</v>
      </c>
      <c r="F395" s="81">
        <v>2</v>
      </c>
      <c r="G395" s="81">
        <v>3</v>
      </c>
      <c r="H395" s="81">
        <v>7</v>
      </c>
      <c r="I395" s="81" t="s">
        <v>887</v>
      </c>
      <c r="J395" s="81" t="s">
        <v>545</v>
      </c>
      <c r="K395" s="81" t="s">
        <v>990</v>
      </c>
      <c r="L395" s="79"/>
      <c r="M395" s="79"/>
      <c r="N395" s="79"/>
    </row>
    <row r="396" ht="26" spans="1:14">
      <c r="A396" s="81" t="s">
        <v>837</v>
      </c>
      <c r="B396" s="81" t="s">
        <v>205</v>
      </c>
      <c r="C396" s="81" t="s">
        <v>203</v>
      </c>
      <c r="D396" s="81" t="s">
        <v>692</v>
      </c>
      <c r="E396" s="81">
        <v>1</v>
      </c>
      <c r="F396" s="81">
        <v>2</v>
      </c>
      <c r="G396" s="81">
        <v>3</v>
      </c>
      <c r="H396" s="81">
        <v>7</v>
      </c>
      <c r="I396" s="81" t="s">
        <v>887</v>
      </c>
      <c r="J396" s="81" t="s">
        <v>545</v>
      </c>
      <c r="K396" s="81" t="s">
        <v>990</v>
      </c>
      <c r="L396" s="79"/>
      <c r="M396" s="79"/>
      <c r="N396" s="79"/>
    </row>
    <row r="397" ht="26" spans="1:14">
      <c r="A397" s="81" t="s">
        <v>839</v>
      </c>
      <c r="B397" s="81" t="s">
        <v>205</v>
      </c>
      <c r="C397" s="81" t="s">
        <v>203</v>
      </c>
      <c r="D397" s="81" t="s">
        <v>692</v>
      </c>
      <c r="E397" s="81">
        <v>1</v>
      </c>
      <c r="F397" s="81">
        <v>2</v>
      </c>
      <c r="G397" s="81">
        <v>3</v>
      </c>
      <c r="H397" s="81">
        <v>7</v>
      </c>
      <c r="I397" s="81" t="s">
        <v>887</v>
      </c>
      <c r="J397" s="81" t="s">
        <v>545</v>
      </c>
      <c r="K397" s="81" t="s">
        <v>990</v>
      </c>
      <c r="L397" s="79"/>
      <c r="M397" s="79"/>
      <c r="N397" s="79"/>
    </row>
    <row r="398" ht="26" spans="1:14">
      <c r="A398" s="81" t="s">
        <v>842</v>
      </c>
      <c r="B398" s="81" t="s">
        <v>205</v>
      </c>
      <c r="C398" s="81" t="s">
        <v>203</v>
      </c>
      <c r="D398" s="81" t="s">
        <v>697</v>
      </c>
      <c r="E398" s="81">
        <v>1</v>
      </c>
      <c r="F398" s="81">
        <v>2</v>
      </c>
      <c r="G398" s="81">
        <v>3</v>
      </c>
      <c r="H398" s="81">
        <v>7</v>
      </c>
      <c r="I398" s="81" t="s">
        <v>887</v>
      </c>
      <c r="J398" s="81" t="s">
        <v>545</v>
      </c>
      <c r="K398" s="81" t="s">
        <v>990</v>
      </c>
      <c r="L398" s="79"/>
      <c r="M398" s="79"/>
      <c r="N398" s="79"/>
    </row>
    <row r="399" ht="26" spans="1:14">
      <c r="A399" s="81" t="s">
        <v>844</v>
      </c>
      <c r="B399" s="81" t="s">
        <v>205</v>
      </c>
      <c r="C399" s="81" t="s">
        <v>203</v>
      </c>
      <c r="D399" s="81" t="s">
        <v>697</v>
      </c>
      <c r="E399" s="81">
        <v>1</v>
      </c>
      <c r="F399" s="81">
        <v>2</v>
      </c>
      <c r="G399" s="81">
        <v>3</v>
      </c>
      <c r="H399" s="81">
        <v>7</v>
      </c>
      <c r="I399" s="81" t="s">
        <v>887</v>
      </c>
      <c r="J399" s="81" t="s">
        <v>545</v>
      </c>
      <c r="K399" s="81" t="s">
        <v>990</v>
      </c>
      <c r="L399" s="79"/>
      <c r="M399" s="79"/>
      <c r="N399" s="79"/>
    </row>
    <row r="400" ht="26" spans="1:14">
      <c r="A400" s="81" t="s">
        <v>845</v>
      </c>
      <c r="B400" s="81" t="s">
        <v>205</v>
      </c>
      <c r="C400" s="81" t="s">
        <v>203</v>
      </c>
      <c r="D400" s="81" t="s">
        <v>697</v>
      </c>
      <c r="E400" s="81">
        <v>1</v>
      </c>
      <c r="F400" s="81">
        <v>2</v>
      </c>
      <c r="G400" s="81">
        <v>3</v>
      </c>
      <c r="H400" s="81">
        <v>7</v>
      </c>
      <c r="I400" s="81" t="s">
        <v>887</v>
      </c>
      <c r="J400" s="81" t="s">
        <v>545</v>
      </c>
      <c r="K400" s="81" t="s">
        <v>990</v>
      </c>
      <c r="L400" s="79"/>
      <c r="M400" s="79"/>
      <c r="N400" s="79"/>
    </row>
    <row r="401" ht="26" spans="1:14">
      <c r="A401" s="81" t="s">
        <v>847</v>
      </c>
      <c r="B401" s="81" t="s">
        <v>205</v>
      </c>
      <c r="C401" s="81" t="s">
        <v>203</v>
      </c>
      <c r="D401" s="81" t="s">
        <v>697</v>
      </c>
      <c r="E401" s="81">
        <v>1</v>
      </c>
      <c r="F401" s="81">
        <v>2</v>
      </c>
      <c r="G401" s="81">
        <v>3</v>
      </c>
      <c r="H401" s="81">
        <v>7</v>
      </c>
      <c r="I401" s="81" t="s">
        <v>887</v>
      </c>
      <c r="J401" s="81" t="s">
        <v>545</v>
      </c>
      <c r="K401" s="81" t="s">
        <v>990</v>
      </c>
      <c r="L401" s="79"/>
      <c r="M401" s="79"/>
      <c r="N401" s="79"/>
    </row>
    <row r="402" ht="26" spans="1:14">
      <c r="A402" s="81" t="s">
        <v>849</v>
      </c>
      <c r="B402" s="81" t="s">
        <v>205</v>
      </c>
      <c r="C402" s="81" t="s">
        <v>203</v>
      </c>
      <c r="D402" s="81" t="s">
        <v>392</v>
      </c>
      <c r="E402" s="81">
        <v>1</v>
      </c>
      <c r="F402" s="81">
        <v>2</v>
      </c>
      <c r="G402" s="81">
        <v>3</v>
      </c>
      <c r="H402" s="81">
        <v>7</v>
      </c>
      <c r="I402" s="81" t="s">
        <v>887</v>
      </c>
      <c r="J402" s="81" t="s">
        <v>545</v>
      </c>
      <c r="K402" s="81" t="s">
        <v>990</v>
      </c>
      <c r="L402" s="79"/>
      <c r="M402" s="79"/>
      <c r="N402" s="79"/>
    </row>
    <row r="403" ht="26" spans="1:14">
      <c r="A403" s="81" t="s">
        <v>851</v>
      </c>
      <c r="B403" s="81" t="s">
        <v>205</v>
      </c>
      <c r="C403" s="81" t="s">
        <v>203</v>
      </c>
      <c r="D403" s="81" t="s">
        <v>392</v>
      </c>
      <c r="E403" s="81">
        <v>1</v>
      </c>
      <c r="F403" s="81">
        <v>2</v>
      </c>
      <c r="G403" s="81">
        <v>3</v>
      </c>
      <c r="H403" s="81">
        <v>7</v>
      </c>
      <c r="I403" s="81" t="s">
        <v>887</v>
      </c>
      <c r="J403" s="81" t="s">
        <v>545</v>
      </c>
      <c r="K403" s="81" t="s">
        <v>990</v>
      </c>
      <c r="L403" s="79"/>
      <c r="M403" s="79"/>
      <c r="N403" s="79"/>
    </row>
    <row r="404" ht="26" spans="1:14">
      <c r="A404" s="81" t="s">
        <v>852</v>
      </c>
      <c r="B404" s="81" t="s">
        <v>205</v>
      </c>
      <c r="C404" s="81" t="s">
        <v>203</v>
      </c>
      <c r="D404" s="81" t="s">
        <v>392</v>
      </c>
      <c r="E404" s="81">
        <v>1</v>
      </c>
      <c r="F404" s="81">
        <v>2</v>
      </c>
      <c r="G404" s="81">
        <v>3</v>
      </c>
      <c r="H404" s="81">
        <v>7</v>
      </c>
      <c r="I404" s="81" t="s">
        <v>887</v>
      </c>
      <c r="J404" s="81" t="s">
        <v>545</v>
      </c>
      <c r="K404" s="81" t="s">
        <v>990</v>
      </c>
      <c r="L404" s="79"/>
      <c r="M404" s="79"/>
      <c r="N404" s="79"/>
    </row>
    <row r="405" ht="26" spans="1:14">
      <c r="A405" s="81" t="s">
        <v>854</v>
      </c>
      <c r="B405" s="81" t="s">
        <v>205</v>
      </c>
      <c r="C405" s="81" t="s">
        <v>203</v>
      </c>
      <c r="D405" s="81" t="s">
        <v>711</v>
      </c>
      <c r="E405" s="81">
        <v>1</v>
      </c>
      <c r="F405" s="81">
        <v>2</v>
      </c>
      <c r="G405" s="81">
        <v>3</v>
      </c>
      <c r="H405" s="81">
        <v>7</v>
      </c>
      <c r="I405" s="81" t="s">
        <v>887</v>
      </c>
      <c r="J405" s="81" t="s">
        <v>545</v>
      </c>
      <c r="K405" s="81" t="s">
        <v>990</v>
      </c>
      <c r="L405" s="79"/>
      <c r="M405" s="79"/>
      <c r="N405" s="79"/>
    </row>
    <row r="406" ht="26" spans="1:14">
      <c r="A406" s="81" t="s">
        <v>855</v>
      </c>
      <c r="B406" s="81" t="s">
        <v>205</v>
      </c>
      <c r="C406" s="81" t="s">
        <v>203</v>
      </c>
      <c r="D406" s="81" t="s">
        <v>711</v>
      </c>
      <c r="E406" s="81">
        <v>1</v>
      </c>
      <c r="F406" s="81">
        <v>2</v>
      </c>
      <c r="G406" s="81">
        <v>3</v>
      </c>
      <c r="H406" s="81">
        <v>7</v>
      </c>
      <c r="I406" s="81" t="s">
        <v>887</v>
      </c>
      <c r="J406" s="81" t="s">
        <v>545</v>
      </c>
      <c r="K406" s="81" t="s">
        <v>990</v>
      </c>
      <c r="L406" s="79"/>
      <c r="M406" s="79"/>
      <c r="N406" s="79"/>
    </row>
    <row r="407" ht="26" spans="1:14">
      <c r="A407" s="81" t="s">
        <v>857</v>
      </c>
      <c r="B407" s="81" t="s">
        <v>205</v>
      </c>
      <c r="C407" s="81" t="s">
        <v>203</v>
      </c>
      <c r="D407" s="81" t="s">
        <v>858</v>
      </c>
      <c r="E407" s="81">
        <v>1</v>
      </c>
      <c r="F407" s="81">
        <v>2</v>
      </c>
      <c r="G407" s="81">
        <v>3</v>
      </c>
      <c r="H407" s="81">
        <v>7</v>
      </c>
      <c r="I407" s="81" t="s">
        <v>887</v>
      </c>
      <c r="J407" s="81" t="s">
        <v>545</v>
      </c>
      <c r="K407" s="81" t="s">
        <v>990</v>
      </c>
      <c r="L407" s="79"/>
      <c r="M407" s="79"/>
      <c r="N407" s="79"/>
    </row>
    <row r="408" ht="26" spans="1:14">
      <c r="A408" s="81" t="s">
        <v>860</v>
      </c>
      <c r="B408" s="81" t="s">
        <v>205</v>
      </c>
      <c r="C408" s="81" t="s">
        <v>203</v>
      </c>
      <c r="D408" s="81" t="s">
        <v>858</v>
      </c>
      <c r="E408" s="81">
        <v>1</v>
      </c>
      <c r="F408" s="81">
        <v>2</v>
      </c>
      <c r="G408" s="81">
        <v>3</v>
      </c>
      <c r="H408" s="81">
        <v>7</v>
      </c>
      <c r="I408" s="81" t="s">
        <v>887</v>
      </c>
      <c r="J408" s="81" t="s">
        <v>545</v>
      </c>
      <c r="K408" s="81" t="s">
        <v>990</v>
      </c>
      <c r="L408" s="79"/>
      <c r="M408" s="79"/>
      <c r="N408" s="79"/>
    </row>
    <row r="409" ht="26" spans="1:14">
      <c r="A409" s="81" t="s">
        <v>862</v>
      </c>
      <c r="B409" s="81" t="s">
        <v>205</v>
      </c>
      <c r="C409" s="81" t="s">
        <v>203</v>
      </c>
      <c r="D409" s="81" t="s">
        <v>858</v>
      </c>
      <c r="E409" s="81">
        <v>1</v>
      </c>
      <c r="F409" s="81">
        <v>2</v>
      </c>
      <c r="G409" s="81">
        <v>3</v>
      </c>
      <c r="H409" s="81">
        <v>7</v>
      </c>
      <c r="I409" s="81" t="s">
        <v>887</v>
      </c>
      <c r="J409" s="81" t="s">
        <v>545</v>
      </c>
      <c r="K409" s="81" t="s">
        <v>990</v>
      </c>
      <c r="L409" s="79"/>
      <c r="M409" s="79"/>
      <c r="N409" s="79"/>
    </row>
    <row r="410" ht="26" spans="1:14">
      <c r="A410" s="81" t="s">
        <v>864</v>
      </c>
      <c r="B410" s="81" t="s">
        <v>205</v>
      </c>
      <c r="C410" s="81" t="s">
        <v>203</v>
      </c>
      <c r="D410" s="81" t="s">
        <v>858</v>
      </c>
      <c r="E410" s="81">
        <v>1</v>
      </c>
      <c r="F410" s="81">
        <v>2</v>
      </c>
      <c r="G410" s="81">
        <v>3</v>
      </c>
      <c r="H410" s="81">
        <v>7</v>
      </c>
      <c r="I410" s="81" t="s">
        <v>887</v>
      </c>
      <c r="J410" s="81" t="s">
        <v>545</v>
      </c>
      <c r="K410" s="81" t="s">
        <v>990</v>
      </c>
      <c r="L410" s="79"/>
      <c r="M410" s="79"/>
      <c r="N410" s="79"/>
    </row>
    <row r="411" ht="26" spans="1:14">
      <c r="A411" s="81" t="s">
        <v>866</v>
      </c>
      <c r="B411" s="81" t="s">
        <v>205</v>
      </c>
      <c r="C411" s="81" t="s">
        <v>203</v>
      </c>
      <c r="D411" s="81" t="s">
        <v>858</v>
      </c>
      <c r="E411" s="81">
        <v>1</v>
      </c>
      <c r="F411" s="81">
        <v>2</v>
      </c>
      <c r="G411" s="81">
        <v>3</v>
      </c>
      <c r="H411" s="81">
        <v>7</v>
      </c>
      <c r="I411" s="81" t="s">
        <v>887</v>
      </c>
      <c r="J411" s="81" t="s">
        <v>545</v>
      </c>
      <c r="K411" s="81" t="s">
        <v>990</v>
      </c>
      <c r="L411" s="79"/>
      <c r="M411" s="79"/>
      <c r="N411" s="79"/>
    </row>
    <row r="412" ht="26" spans="1:14">
      <c r="A412" s="81" t="s">
        <v>868</v>
      </c>
      <c r="B412" s="81" t="s">
        <v>205</v>
      </c>
      <c r="C412" s="81" t="s">
        <v>203</v>
      </c>
      <c r="D412" s="81" t="s">
        <v>858</v>
      </c>
      <c r="E412" s="81">
        <v>1</v>
      </c>
      <c r="F412" s="81">
        <v>2</v>
      </c>
      <c r="G412" s="81">
        <v>3</v>
      </c>
      <c r="H412" s="81">
        <v>7</v>
      </c>
      <c r="I412" s="81" t="s">
        <v>887</v>
      </c>
      <c r="J412" s="81" t="s">
        <v>545</v>
      </c>
      <c r="K412" s="81" t="s">
        <v>990</v>
      </c>
      <c r="L412" s="79"/>
      <c r="M412" s="79"/>
      <c r="N412" s="79"/>
    </row>
    <row r="413" ht="26" spans="1:14">
      <c r="A413" s="81" t="s">
        <v>870</v>
      </c>
      <c r="B413" s="81" t="s">
        <v>205</v>
      </c>
      <c r="C413" s="81" t="s">
        <v>205</v>
      </c>
      <c r="D413" s="81" t="s">
        <v>552</v>
      </c>
      <c r="E413" s="81">
        <v>1</v>
      </c>
      <c r="F413" s="81">
        <v>2</v>
      </c>
      <c r="G413" s="81">
        <v>3</v>
      </c>
      <c r="H413" s="81">
        <v>7</v>
      </c>
      <c r="I413" s="81" t="s">
        <v>887</v>
      </c>
      <c r="J413" s="81" t="s">
        <v>545</v>
      </c>
      <c r="K413" s="81" t="s">
        <v>990</v>
      </c>
      <c r="L413" s="79"/>
      <c r="M413" s="79"/>
      <c r="N413" s="79"/>
    </row>
    <row r="414" ht="26" spans="1:14">
      <c r="A414" s="81" t="s">
        <v>872</v>
      </c>
      <c r="B414" s="81" t="s">
        <v>205</v>
      </c>
      <c r="C414" s="81" t="s">
        <v>205</v>
      </c>
      <c r="D414" s="81" t="s">
        <v>552</v>
      </c>
      <c r="E414" s="81">
        <v>1</v>
      </c>
      <c r="F414" s="81">
        <v>2</v>
      </c>
      <c r="G414" s="81">
        <v>3</v>
      </c>
      <c r="H414" s="81">
        <v>7</v>
      </c>
      <c r="I414" s="81" t="s">
        <v>887</v>
      </c>
      <c r="J414" s="81" t="s">
        <v>545</v>
      </c>
      <c r="K414" s="81" t="s">
        <v>990</v>
      </c>
      <c r="L414" s="79"/>
      <c r="M414" s="79"/>
      <c r="N414" s="79"/>
    </row>
    <row r="415" ht="26" spans="1:14">
      <c r="A415" s="81" t="s">
        <v>874</v>
      </c>
      <c r="B415" s="81" t="s">
        <v>205</v>
      </c>
      <c r="C415" s="81" t="s">
        <v>205</v>
      </c>
      <c r="D415" s="81" t="s">
        <v>552</v>
      </c>
      <c r="E415" s="81">
        <v>1</v>
      </c>
      <c r="F415" s="81">
        <v>2</v>
      </c>
      <c r="G415" s="81">
        <v>3</v>
      </c>
      <c r="H415" s="81">
        <v>7</v>
      </c>
      <c r="I415" s="81" t="s">
        <v>887</v>
      </c>
      <c r="J415" s="81" t="s">
        <v>545</v>
      </c>
      <c r="K415" s="81" t="s">
        <v>990</v>
      </c>
      <c r="L415" s="79"/>
      <c r="M415" s="79"/>
      <c r="N415" s="79"/>
    </row>
    <row r="416" ht="26" spans="1:14">
      <c r="A416" s="81" t="s">
        <v>876</v>
      </c>
      <c r="B416" s="81" t="s">
        <v>205</v>
      </c>
      <c r="C416" s="81" t="s">
        <v>205</v>
      </c>
      <c r="D416" s="81" t="s">
        <v>552</v>
      </c>
      <c r="E416" s="81">
        <v>1</v>
      </c>
      <c r="F416" s="81">
        <v>2</v>
      </c>
      <c r="G416" s="81">
        <v>3</v>
      </c>
      <c r="H416" s="81">
        <v>7</v>
      </c>
      <c r="I416" s="81" t="s">
        <v>887</v>
      </c>
      <c r="J416" s="81" t="s">
        <v>545</v>
      </c>
      <c r="K416" s="81" t="s">
        <v>990</v>
      </c>
      <c r="L416" s="79"/>
      <c r="M416" s="79"/>
      <c r="N416" s="79"/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showGridLines="0" workbookViewId="0">
      <selection activeCell="A1" sqref="A1:N1"/>
    </sheetView>
  </sheetViews>
  <sheetFormatPr defaultColWidth="9" defaultRowHeight="14.5"/>
  <cols>
    <col min="1" max="1" width="44" customWidth="1"/>
    <col min="2" max="2" width="13" customWidth="1"/>
    <col min="3" max="3" width="16" customWidth="1"/>
    <col min="4" max="4" width="13" customWidth="1"/>
    <col min="5" max="5" width="14" customWidth="1"/>
    <col min="6" max="6" width="18" customWidth="1"/>
    <col min="7" max="7" width="13" customWidth="1"/>
    <col min="8" max="8" width="17" customWidth="1"/>
    <col min="9" max="9" width="44" customWidth="1"/>
    <col min="10" max="11" width="10" customWidth="1"/>
    <col min="12" max="12" width="16" customWidth="1"/>
    <col min="13" max="13" width="42" customWidth="1"/>
    <col min="14" max="14" width="27" customWidth="1"/>
  </cols>
  <sheetData>
    <row r="1" ht="21" spans="1:14">
      <c r="A1" s="78" t="s">
        <v>991</v>
      </c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>
      <c r="A3" s="80" t="s">
        <v>74</v>
      </c>
      <c r="B3" s="80" t="s">
        <v>992</v>
      </c>
      <c r="C3" s="80" t="s">
        <v>993</v>
      </c>
      <c r="D3" s="80" t="s">
        <v>84</v>
      </c>
      <c r="E3" s="80" t="s">
        <v>92</v>
      </c>
      <c r="F3" s="80" t="s">
        <v>209</v>
      </c>
      <c r="G3" s="80" t="s">
        <v>232</v>
      </c>
      <c r="H3" s="80" t="s">
        <v>228</v>
      </c>
      <c r="I3" s="80" t="s">
        <v>994</v>
      </c>
      <c r="J3" s="80" t="s">
        <v>995</v>
      </c>
      <c r="K3" s="80" t="s">
        <v>996</v>
      </c>
      <c r="L3" s="80" t="s">
        <v>997</v>
      </c>
      <c r="M3" s="80" t="s">
        <v>998</v>
      </c>
      <c r="N3" s="80" t="s">
        <v>999</v>
      </c>
    </row>
    <row r="4" spans="1:14">
      <c r="A4" s="81" t="s">
        <v>883</v>
      </c>
      <c r="B4" s="81">
        <v>17</v>
      </c>
      <c r="C4" s="81" t="s">
        <v>77</v>
      </c>
      <c r="D4" s="81" t="s">
        <v>85</v>
      </c>
      <c r="E4" s="81" t="s">
        <v>93</v>
      </c>
      <c r="F4" s="81" t="s">
        <v>101</v>
      </c>
      <c r="G4" s="81" t="s">
        <v>109</v>
      </c>
      <c r="H4" s="81" t="s">
        <v>117</v>
      </c>
      <c r="I4" s="81" t="s">
        <v>1000</v>
      </c>
      <c r="J4" s="81">
        <v>4</v>
      </c>
      <c r="K4" s="81">
        <v>5</v>
      </c>
      <c r="L4" s="81" t="s">
        <v>199</v>
      </c>
      <c r="M4" s="81" t="s">
        <v>1001</v>
      </c>
      <c r="N4" s="81">
        <v>0.5</v>
      </c>
    </row>
    <row r="5" spans="1:14">
      <c r="A5" s="81" t="s">
        <v>953</v>
      </c>
      <c r="B5" s="81">
        <v>3</v>
      </c>
      <c r="C5" s="81" t="s">
        <v>205</v>
      </c>
      <c r="D5" s="81" t="s">
        <v>201</v>
      </c>
      <c r="E5" s="81" t="s">
        <v>435</v>
      </c>
      <c r="F5" s="81" t="s">
        <v>138</v>
      </c>
      <c r="G5" s="81" t="s">
        <v>138</v>
      </c>
      <c r="H5" s="81" t="s">
        <v>366</v>
      </c>
      <c r="I5" s="81" t="s">
        <v>1002</v>
      </c>
      <c r="J5" s="81">
        <v>3</v>
      </c>
      <c r="K5" s="81">
        <v>5</v>
      </c>
      <c r="L5" s="81" t="s">
        <v>199</v>
      </c>
      <c r="M5" s="81" t="s">
        <v>1003</v>
      </c>
      <c r="N5" s="81">
        <v>0.5</v>
      </c>
    </row>
    <row r="6" ht="26" spans="1:14">
      <c r="A6" s="81" t="s">
        <v>913</v>
      </c>
      <c r="B6" s="81">
        <v>2</v>
      </c>
      <c r="C6" s="81" t="s">
        <v>77</v>
      </c>
      <c r="D6" s="81" t="s">
        <v>85</v>
      </c>
      <c r="E6" s="81" t="s">
        <v>93</v>
      </c>
      <c r="F6" s="81" t="s">
        <v>339</v>
      </c>
      <c r="G6" s="81" t="s">
        <v>340</v>
      </c>
      <c r="H6" s="81" t="s">
        <v>117</v>
      </c>
      <c r="I6" s="81" t="s">
        <v>1004</v>
      </c>
      <c r="J6" s="81">
        <v>4</v>
      </c>
      <c r="K6" s="81">
        <v>4</v>
      </c>
      <c r="L6" s="81" t="s">
        <v>199</v>
      </c>
      <c r="M6" s="81" t="s">
        <v>1001</v>
      </c>
      <c r="N6" s="81">
        <v>0.5</v>
      </c>
    </row>
    <row r="7" ht="26" spans="1:14">
      <c r="A7" s="81" t="s">
        <v>901</v>
      </c>
      <c r="B7" s="81">
        <v>1</v>
      </c>
      <c r="C7" s="81" t="s">
        <v>77</v>
      </c>
      <c r="D7" s="81" t="s">
        <v>201</v>
      </c>
      <c r="E7" s="81" t="s">
        <v>421</v>
      </c>
      <c r="F7" s="81" t="s">
        <v>415</v>
      </c>
      <c r="G7" s="81" t="s">
        <v>340</v>
      </c>
      <c r="H7" s="81" t="s">
        <v>117</v>
      </c>
      <c r="I7" s="81" t="s">
        <v>1004</v>
      </c>
      <c r="J7" s="81">
        <v>4</v>
      </c>
      <c r="K7" s="81">
        <v>4</v>
      </c>
      <c r="L7" s="81" t="s">
        <v>199</v>
      </c>
      <c r="M7" s="81" t="s">
        <v>1001</v>
      </c>
      <c r="N7" s="81">
        <v>0.5</v>
      </c>
    </row>
    <row r="8" spans="1:14">
      <c r="A8" s="81" t="s">
        <v>944</v>
      </c>
      <c r="B8" s="81">
        <v>1</v>
      </c>
      <c r="C8" s="81" t="s">
        <v>205</v>
      </c>
      <c r="D8" s="81" t="s">
        <v>85</v>
      </c>
      <c r="E8" s="81" t="s">
        <v>754</v>
      </c>
      <c r="F8" s="81" t="s">
        <v>138</v>
      </c>
      <c r="G8" s="81" t="s">
        <v>138</v>
      </c>
      <c r="H8" s="81" t="s">
        <v>366</v>
      </c>
      <c r="I8" s="81" t="s">
        <v>1002</v>
      </c>
      <c r="J8" s="81">
        <v>3</v>
      </c>
      <c r="K8" s="81">
        <v>5</v>
      </c>
      <c r="L8" s="81" t="s">
        <v>199</v>
      </c>
      <c r="M8" s="81" t="s">
        <v>1003</v>
      </c>
      <c r="N8" s="81">
        <v>0.5</v>
      </c>
    </row>
    <row r="9" spans="1:14">
      <c r="A9" s="81" t="s">
        <v>885</v>
      </c>
      <c r="B9" s="81">
        <v>48</v>
      </c>
      <c r="C9" s="81" t="s">
        <v>77</v>
      </c>
      <c r="D9" s="81" t="s">
        <v>85</v>
      </c>
      <c r="E9" s="81" t="s">
        <v>93</v>
      </c>
      <c r="F9" s="81" t="s">
        <v>101</v>
      </c>
      <c r="G9" s="81" t="s">
        <v>260</v>
      </c>
      <c r="H9" s="81" t="s">
        <v>117</v>
      </c>
      <c r="I9" s="81" t="s">
        <v>1005</v>
      </c>
      <c r="J9" s="81">
        <v>2</v>
      </c>
      <c r="K9" s="81">
        <v>5</v>
      </c>
      <c r="L9" s="81" t="s">
        <v>200</v>
      </c>
      <c r="M9" s="81" t="s">
        <v>1006</v>
      </c>
      <c r="N9" s="81">
        <v>0.5</v>
      </c>
    </row>
    <row r="10" spans="1:14">
      <c r="A10" s="81" t="s">
        <v>905</v>
      </c>
      <c r="B10" s="81">
        <v>29</v>
      </c>
      <c r="C10" s="81" t="s">
        <v>77</v>
      </c>
      <c r="D10" s="81" t="s">
        <v>203</v>
      </c>
      <c r="E10" s="81" t="s">
        <v>449</v>
      </c>
      <c r="F10" s="81" t="s">
        <v>368</v>
      </c>
      <c r="G10" s="81" t="s">
        <v>340</v>
      </c>
      <c r="H10" s="81" t="s">
        <v>138</v>
      </c>
      <c r="I10" s="81" t="s">
        <v>1007</v>
      </c>
      <c r="J10" s="81">
        <v>2</v>
      </c>
      <c r="K10" s="81">
        <v>3</v>
      </c>
      <c r="L10" s="81" t="s">
        <v>200</v>
      </c>
      <c r="M10" s="81" t="s">
        <v>1008</v>
      </c>
      <c r="N10" s="81">
        <v>0.5</v>
      </c>
    </row>
    <row r="11" ht="26" spans="1:14">
      <c r="A11" s="81" t="s">
        <v>903</v>
      </c>
      <c r="B11" s="81">
        <v>22</v>
      </c>
      <c r="C11" s="81" t="s">
        <v>77</v>
      </c>
      <c r="D11" s="81" t="s">
        <v>201</v>
      </c>
      <c r="E11" s="81" t="s">
        <v>435</v>
      </c>
      <c r="F11" s="81" t="s">
        <v>436</v>
      </c>
      <c r="G11" s="81" t="s">
        <v>260</v>
      </c>
      <c r="H11" s="81" t="s">
        <v>366</v>
      </c>
      <c r="I11" s="81" t="s">
        <v>1009</v>
      </c>
      <c r="J11" s="81">
        <v>2</v>
      </c>
      <c r="K11" s="81">
        <v>4</v>
      </c>
      <c r="L11" s="81" t="s">
        <v>200</v>
      </c>
      <c r="M11" s="81" t="s">
        <v>1006</v>
      </c>
      <c r="N11" s="81">
        <v>0.5</v>
      </c>
    </row>
    <row r="12" spans="1:14">
      <c r="A12" s="81" t="s">
        <v>891</v>
      </c>
      <c r="B12" s="81">
        <v>21</v>
      </c>
      <c r="C12" s="81" t="s">
        <v>77</v>
      </c>
      <c r="D12" s="81" t="s">
        <v>203</v>
      </c>
      <c r="E12" s="81" t="s">
        <v>362</v>
      </c>
      <c r="F12" s="81" t="s">
        <v>368</v>
      </c>
      <c r="G12" s="81" t="s">
        <v>340</v>
      </c>
      <c r="H12" s="81" t="s">
        <v>366</v>
      </c>
      <c r="I12" s="81" t="s">
        <v>1007</v>
      </c>
      <c r="J12" s="81">
        <v>2</v>
      </c>
      <c r="K12" s="81">
        <v>3</v>
      </c>
      <c r="L12" s="81" t="s">
        <v>200</v>
      </c>
      <c r="M12" s="81" t="s">
        <v>1008</v>
      </c>
      <c r="N12" s="81">
        <v>0.5</v>
      </c>
    </row>
    <row r="13" ht="26" spans="1:14">
      <c r="A13" s="81" t="s">
        <v>894</v>
      </c>
      <c r="B13" s="81">
        <v>20</v>
      </c>
      <c r="C13" s="81" t="s">
        <v>77</v>
      </c>
      <c r="D13" s="81" t="s">
        <v>203</v>
      </c>
      <c r="E13" s="81" t="s">
        <v>392</v>
      </c>
      <c r="F13" s="81" t="s">
        <v>339</v>
      </c>
      <c r="G13" s="81" t="s">
        <v>340</v>
      </c>
      <c r="H13" s="81" t="s">
        <v>117</v>
      </c>
      <c r="I13" s="81" t="s">
        <v>1004</v>
      </c>
      <c r="J13" s="81">
        <v>4</v>
      </c>
      <c r="K13" s="81">
        <v>2</v>
      </c>
      <c r="L13" s="81" t="s">
        <v>200</v>
      </c>
      <c r="M13" s="81" t="s">
        <v>1001</v>
      </c>
      <c r="N13" s="81">
        <v>0.5</v>
      </c>
    </row>
    <row r="14" ht="26" spans="1:14">
      <c r="A14" s="81" t="s">
        <v>909</v>
      </c>
      <c r="B14" s="81">
        <v>8</v>
      </c>
      <c r="C14" s="81" t="s">
        <v>77</v>
      </c>
      <c r="D14" s="81" t="s">
        <v>201</v>
      </c>
      <c r="E14" s="81" t="s">
        <v>435</v>
      </c>
      <c r="F14" s="81" t="s">
        <v>368</v>
      </c>
      <c r="G14" s="81" t="s">
        <v>340</v>
      </c>
      <c r="H14" s="81" t="s">
        <v>366</v>
      </c>
      <c r="I14" s="81" t="s">
        <v>1007</v>
      </c>
      <c r="J14" s="81">
        <v>2</v>
      </c>
      <c r="K14" s="81">
        <v>4</v>
      </c>
      <c r="L14" s="81" t="s">
        <v>200</v>
      </c>
      <c r="M14" s="81" t="s">
        <v>1008</v>
      </c>
      <c r="N14" s="81">
        <v>0.5</v>
      </c>
    </row>
    <row r="15" ht="26" spans="1:14">
      <c r="A15" s="81" t="s">
        <v>926</v>
      </c>
      <c r="B15" s="81">
        <v>8</v>
      </c>
      <c r="C15" s="81" t="s">
        <v>77</v>
      </c>
      <c r="D15" s="81" t="s">
        <v>203</v>
      </c>
      <c r="E15" s="81" t="s">
        <v>449</v>
      </c>
      <c r="F15" s="81" t="s">
        <v>368</v>
      </c>
      <c r="G15" s="81" t="s">
        <v>340</v>
      </c>
      <c r="H15" s="81" t="s">
        <v>541</v>
      </c>
      <c r="I15" s="81" t="s">
        <v>1010</v>
      </c>
      <c r="J15" s="81">
        <v>2</v>
      </c>
      <c r="K15" s="81">
        <v>3</v>
      </c>
      <c r="L15" s="81" t="s">
        <v>200</v>
      </c>
      <c r="M15" s="81" t="s">
        <v>1008</v>
      </c>
      <c r="N15" s="81">
        <v>0.5</v>
      </c>
    </row>
    <row r="16" spans="1:14">
      <c r="A16" s="81" t="s">
        <v>934</v>
      </c>
      <c r="B16" s="81">
        <v>8</v>
      </c>
      <c r="C16" s="81" t="s">
        <v>77</v>
      </c>
      <c r="D16" s="81" t="s">
        <v>203</v>
      </c>
      <c r="E16" s="81" t="s">
        <v>697</v>
      </c>
      <c r="F16" s="81" t="s">
        <v>138</v>
      </c>
      <c r="G16" s="81"/>
      <c r="H16" s="81" t="s">
        <v>117</v>
      </c>
      <c r="I16" s="81" t="s">
        <v>1002</v>
      </c>
      <c r="J16" s="81">
        <v>3</v>
      </c>
      <c r="K16" s="81">
        <v>2</v>
      </c>
      <c r="L16" s="81" t="s">
        <v>200</v>
      </c>
      <c r="M16" s="81" t="s">
        <v>1006</v>
      </c>
      <c r="N16" s="81">
        <v>0.5</v>
      </c>
    </row>
    <row r="17" ht="26" spans="1:14">
      <c r="A17" s="81" t="s">
        <v>917</v>
      </c>
      <c r="B17" s="81">
        <v>7</v>
      </c>
      <c r="C17" s="81" t="s">
        <v>77</v>
      </c>
      <c r="D17" s="81" t="s">
        <v>203</v>
      </c>
      <c r="E17" s="81" t="s">
        <v>362</v>
      </c>
      <c r="F17" s="81" t="s">
        <v>339</v>
      </c>
      <c r="G17" s="81" t="s">
        <v>340</v>
      </c>
      <c r="H17" s="81" t="s">
        <v>138</v>
      </c>
      <c r="I17" s="81" t="s">
        <v>1004</v>
      </c>
      <c r="J17" s="81">
        <v>2</v>
      </c>
      <c r="K17" s="81">
        <v>3</v>
      </c>
      <c r="L17" s="81" t="s">
        <v>200</v>
      </c>
      <c r="M17" s="81" t="s">
        <v>1008</v>
      </c>
      <c r="N17" s="81">
        <v>0.5</v>
      </c>
    </row>
    <row r="18" spans="1:14">
      <c r="A18" s="81" t="s">
        <v>888</v>
      </c>
      <c r="B18" s="81">
        <v>6</v>
      </c>
      <c r="C18" s="81" t="s">
        <v>77</v>
      </c>
      <c r="D18" s="81" t="s">
        <v>85</v>
      </c>
      <c r="E18" s="81" t="s">
        <v>93</v>
      </c>
      <c r="F18" s="81" t="s">
        <v>101</v>
      </c>
      <c r="G18" s="81" t="s">
        <v>260</v>
      </c>
      <c r="H18" s="81" t="s">
        <v>117</v>
      </c>
      <c r="I18" s="81" t="s">
        <v>1005</v>
      </c>
      <c r="J18" s="81">
        <v>2</v>
      </c>
      <c r="K18" s="81">
        <v>5</v>
      </c>
      <c r="L18" s="81" t="s">
        <v>200</v>
      </c>
      <c r="M18" s="81" t="s">
        <v>1006</v>
      </c>
      <c r="N18" s="81">
        <v>0.5</v>
      </c>
    </row>
    <row r="19" spans="1:14">
      <c r="A19" s="81" t="s">
        <v>910</v>
      </c>
      <c r="B19" s="81">
        <v>6</v>
      </c>
      <c r="C19" s="81" t="s">
        <v>77</v>
      </c>
      <c r="D19" s="81" t="s">
        <v>203</v>
      </c>
      <c r="E19" s="81" t="s">
        <v>483</v>
      </c>
      <c r="F19" s="81" t="s">
        <v>368</v>
      </c>
      <c r="G19" s="81" t="s">
        <v>340</v>
      </c>
      <c r="H19" s="81" t="s">
        <v>138</v>
      </c>
      <c r="I19" s="81" t="s">
        <v>1007</v>
      </c>
      <c r="J19" s="81">
        <v>2</v>
      </c>
      <c r="K19" s="81">
        <v>3</v>
      </c>
      <c r="L19" s="81" t="s">
        <v>200</v>
      </c>
      <c r="M19" s="81" t="s">
        <v>1008</v>
      </c>
      <c r="N19" s="81">
        <v>0.5</v>
      </c>
    </row>
    <row r="20" spans="1:14">
      <c r="A20" s="81" t="s">
        <v>952</v>
      </c>
      <c r="B20" s="81">
        <v>6</v>
      </c>
      <c r="C20" s="81" t="s">
        <v>205</v>
      </c>
      <c r="D20" s="81" t="s">
        <v>201</v>
      </c>
      <c r="E20" s="81" t="s">
        <v>435</v>
      </c>
      <c r="F20" s="81" t="s">
        <v>138</v>
      </c>
      <c r="G20" s="81" t="s">
        <v>138</v>
      </c>
      <c r="H20" s="81" t="s">
        <v>138</v>
      </c>
      <c r="I20" s="81" t="s">
        <v>1002</v>
      </c>
      <c r="J20" s="81">
        <v>2</v>
      </c>
      <c r="K20" s="81">
        <v>4</v>
      </c>
      <c r="L20" s="81" t="s">
        <v>200</v>
      </c>
      <c r="M20" s="81" t="s">
        <v>1011</v>
      </c>
      <c r="N20" s="81">
        <v>0.5</v>
      </c>
    </row>
    <row r="21" ht="26" spans="1:14">
      <c r="A21" s="81" t="s">
        <v>893</v>
      </c>
      <c r="B21" s="81">
        <v>4</v>
      </c>
      <c r="C21" s="81" t="s">
        <v>77</v>
      </c>
      <c r="D21" s="81" t="s">
        <v>85</v>
      </c>
      <c r="E21" s="81" t="s">
        <v>352</v>
      </c>
      <c r="F21" s="81" t="s">
        <v>339</v>
      </c>
      <c r="G21" s="81" t="s">
        <v>340</v>
      </c>
      <c r="H21" s="81" t="s">
        <v>117</v>
      </c>
      <c r="I21" s="81" t="s">
        <v>1004</v>
      </c>
      <c r="J21" s="81">
        <v>4</v>
      </c>
      <c r="K21" s="81">
        <v>2</v>
      </c>
      <c r="L21" s="81" t="s">
        <v>200</v>
      </c>
      <c r="M21" s="81" t="s">
        <v>1001</v>
      </c>
      <c r="N21" s="81">
        <v>0.5</v>
      </c>
    </row>
    <row r="22" ht="26" spans="1:14">
      <c r="A22" s="81" t="s">
        <v>922</v>
      </c>
      <c r="B22" s="81">
        <v>4</v>
      </c>
      <c r="C22" s="81" t="s">
        <v>77</v>
      </c>
      <c r="D22" s="81" t="s">
        <v>203</v>
      </c>
      <c r="E22" s="81" t="s">
        <v>483</v>
      </c>
      <c r="F22" s="81" t="s">
        <v>368</v>
      </c>
      <c r="G22" s="81" t="s">
        <v>340</v>
      </c>
      <c r="H22" s="81" t="s">
        <v>366</v>
      </c>
      <c r="I22" s="81" t="s">
        <v>1007</v>
      </c>
      <c r="J22" s="81">
        <v>2</v>
      </c>
      <c r="K22" s="81">
        <v>3</v>
      </c>
      <c r="L22" s="81" t="s">
        <v>200</v>
      </c>
      <c r="M22" s="81" t="s">
        <v>1008</v>
      </c>
      <c r="N22" s="81">
        <v>0.5</v>
      </c>
    </row>
    <row r="23" spans="1:14">
      <c r="A23" s="81" t="s">
        <v>947</v>
      </c>
      <c r="B23" s="81">
        <v>4</v>
      </c>
      <c r="C23" s="81" t="s">
        <v>205</v>
      </c>
      <c r="D23" s="81" t="s">
        <v>201</v>
      </c>
      <c r="E23" s="81" t="s">
        <v>762</v>
      </c>
      <c r="F23" s="81" t="s">
        <v>138</v>
      </c>
      <c r="G23" s="81" t="s">
        <v>138</v>
      </c>
      <c r="H23" s="81" t="s">
        <v>138</v>
      </c>
      <c r="I23" s="81" t="s">
        <v>1002</v>
      </c>
      <c r="J23" s="81">
        <v>2</v>
      </c>
      <c r="K23" s="81">
        <v>4</v>
      </c>
      <c r="L23" s="81" t="s">
        <v>200</v>
      </c>
      <c r="M23" s="81" t="s">
        <v>1011</v>
      </c>
      <c r="N23" s="81">
        <v>0.5</v>
      </c>
    </row>
    <row r="24" ht="26" spans="1:14">
      <c r="A24" s="81" t="s">
        <v>886</v>
      </c>
      <c r="B24" s="81">
        <v>3</v>
      </c>
      <c r="C24" s="81" t="s">
        <v>77</v>
      </c>
      <c r="D24" s="81" t="s">
        <v>85</v>
      </c>
      <c r="E24" s="81" t="s">
        <v>335</v>
      </c>
      <c r="F24" s="81" t="s">
        <v>339</v>
      </c>
      <c r="G24" s="81" t="s">
        <v>340</v>
      </c>
      <c r="H24" s="81" t="s">
        <v>117</v>
      </c>
      <c r="I24" s="81" t="s">
        <v>1004</v>
      </c>
      <c r="J24" s="81">
        <v>4</v>
      </c>
      <c r="K24" s="81">
        <v>2</v>
      </c>
      <c r="L24" s="81" t="s">
        <v>200</v>
      </c>
      <c r="M24" s="81" t="s">
        <v>1001</v>
      </c>
      <c r="N24" s="81">
        <v>0.5</v>
      </c>
    </row>
    <row r="25" spans="1:14">
      <c r="A25" s="81" t="s">
        <v>902</v>
      </c>
      <c r="B25" s="81">
        <v>3</v>
      </c>
      <c r="C25" s="81" t="s">
        <v>77</v>
      </c>
      <c r="D25" s="81" t="s">
        <v>201</v>
      </c>
      <c r="E25" s="81" t="s">
        <v>400</v>
      </c>
      <c r="F25" s="81" t="s">
        <v>101</v>
      </c>
      <c r="G25" s="81" t="s">
        <v>260</v>
      </c>
      <c r="H25" s="81" t="s">
        <v>117</v>
      </c>
      <c r="I25" s="81" t="s">
        <v>1005</v>
      </c>
      <c r="J25" s="81">
        <v>2</v>
      </c>
      <c r="K25" s="81">
        <v>4</v>
      </c>
      <c r="L25" s="81" t="s">
        <v>200</v>
      </c>
      <c r="M25" s="81" t="s">
        <v>1006</v>
      </c>
      <c r="N25" s="81">
        <v>0.5</v>
      </c>
    </row>
    <row r="26" spans="1:14">
      <c r="A26" s="81" t="s">
        <v>923</v>
      </c>
      <c r="B26" s="81">
        <v>3</v>
      </c>
      <c r="C26" s="81" t="s">
        <v>77</v>
      </c>
      <c r="D26" s="81" t="s">
        <v>203</v>
      </c>
      <c r="E26" s="81" t="s">
        <v>560</v>
      </c>
      <c r="F26" s="81" t="s">
        <v>368</v>
      </c>
      <c r="G26" s="81" t="s">
        <v>340</v>
      </c>
      <c r="H26" s="81" t="s">
        <v>366</v>
      </c>
      <c r="I26" s="81" t="s">
        <v>1007</v>
      </c>
      <c r="J26" s="81">
        <v>2</v>
      </c>
      <c r="K26" s="81">
        <v>3</v>
      </c>
      <c r="L26" s="81" t="s">
        <v>200</v>
      </c>
      <c r="M26" s="81" t="s">
        <v>1008</v>
      </c>
      <c r="N26" s="81">
        <v>0.5</v>
      </c>
    </row>
    <row r="27" spans="1:14">
      <c r="A27" s="81" t="s">
        <v>925</v>
      </c>
      <c r="B27" s="81">
        <v>3</v>
      </c>
      <c r="C27" s="81" t="s">
        <v>77</v>
      </c>
      <c r="D27" s="81" t="s">
        <v>203</v>
      </c>
      <c r="E27" s="81" t="s">
        <v>449</v>
      </c>
      <c r="F27" s="81" t="s">
        <v>572</v>
      </c>
      <c r="G27" s="81" t="s">
        <v>340</v>
      </c>
      <c r="H27" s="81" t="s">
        <v>366</v>
      </c>
      <c r="I27" s="81" t="s">
        <v>1012</v>
      </c>
      <c r="J27" s="81">
        <v>2</v>
      </c>
      <c r="K27" s="81">
        <v>3</v>
      </c>
      <c r="L27" s="81" t="s">
        <v>200</v>
      </c>
      <c r="M27" s="81" t="s">
        <v>1008</v>
      </c>
      <c r="N27" s="81">
        <v>0.5</v>
      </c>
    </row>
    <row r="28" spans="1:14">
      <c r="A28" s="81" t="s">
        <v>948</v>
      </c>
      <c r="B28" s="81">
        <v>3</v>
      </c>
      <c r="C28" s="81" t="s">
        <v>205</v>
      </c>
      <c r="D28" s="81" t="s">
        <v>201</v>
      </c>
      <c r="E28" s="81" t="s">
        <v>762</v>
      </c>
      <c r="F28" s="81" t="s">
        <v>138</v>
      </c>
      <c r="G28" s="81" t="s">
        <v>138</v>
      </c>
      <c r="H28" s="81" t="s">
        <v>366</v>
      </c>
      <c r="I28" s="81" t="s">
        <v>1002</v>
      </c>
      <c r="J28" s="81">
        <v>3</v>
      </c>
      <c r="K28" s="81">
        <v>4</v>
      </c>
      <c r="L28" s="81" t="s">
        <v>200</v>
      </c>
      <c r="M28" s="81" t="s">
        <v>1003</v>
      </c>
      <c r="N28" s="81">
        <v>0.5</v>
      </c>
    </row>
    <row r="29" ht="26" spans="1:14">
      <c r="A29" s="81" t="s">
        <v>914</v>
      </c>
      <c r="B29" s="81">
        <v>2</v>
      </c>
      <c r="C29" s="81" t="s">
        <v>77</v>
      </c>
      <c r="D29" s="81" t="s">
        <v>203</v>
      </c>
      <c r="E29" s="81" t="s">
        <v>362</v>
      </c>
      <c r="F29" s="81" t="s">
        <v>513</v>
      </c>
      <c r="G29" s="81" t="s">
        <v>340</v>
      </c>
      <c r="H29" s="81" t="s">
        <v>366</v>
      </c>
      <c r="I29" s="81" t="s">
        <v>1004</v>
      </c>
      <c r="J29" s="81">
        <v>2</v>
      </c>
      <c r="K29" s="81">
        <v>3</v>
      </c>
      <c r="L29" s="81" t="s">
        <v>200</v>
      </c>
      <c r="M29" s="81" t="s">
        <v>1008</v>
      </c>
      <c r="N29" s="81">
        <v>0.5</v>
      </c>
    </row>
    <row r="30" ht="26" spans="1:14">
      <c r="A30" s="81" t="s">
        <v>921</v>
      </c>
      <c r="B30" s="81">
        <v>2</v>
      </c>
      <c r="C30" s="81" t="s">
        <v>77</v>
      </c>
      <c r="D30" s="81" t="s">
        <v>203</v>
      </c>
      <c r="E30" s="81" t="s">
        <v>362</v>
      </c>
      <c r="F30" s="81" t="s">
        <v>339</v>
      </c>
      <c r="G30" s="81" t="s">
        <v>340</v>
      </c>
      <c r="H30" s="81" t="s">
        <v>366</v>
      </c>
      <c r="I30" s="81" t="s">
        <v>1004</v>
      </c>
      <c r="J30" s="81">
        <v>2</v>
      </c>
      <c r="K30" s="81">
        <v>3</v>
      </c>
      <c r="L30" s="81" t="s">
        <v>200</v>
      </c>
      <c r="M30" s="81" t="s">
        <v>1008</v>
      </c>
      <c r="N30" s="81">
        <v>0.5</v>
      </c>
    </row>
    <row r="31" spans="1:14">
      <c r="A31" s="81" t="s">
        <v>924</v>
      </c>
      <c r="B31" s="81">
        <v>2</v>
      </c>
      <c r="C31" s="81" t="s">
        <v>77</v>
      </c>
      <c r="D31" s="81" t="s">
        <v>203</v>
      </c>
      <c r="E31" s="81" t="s">
        <v>449</v>
      </c>
      <c r="F31" s="81" t="s">
        <v>368</v>
      </c>
      <c r="G31" s="81" t="s">
        <v>340</v>
      </c>
      <c r="H31" s="81" t="s">
        <v>366</v>
      </c>
      <c r="I31" s="81" t="s">
        <v>1007</v>
      </c>
      <c r="J31" s="81">
        <v>2</v>
      </c>
      <c r="K31" s="81">
        <v>3</v>
      </c>
      <c r="L31" s="81" t="s">
        <v>200</v>
      </c>
      <c r="M31" s="81" t="s">
        <v>1008</v>
      </c>
      <c r="N31" s="81">
        <v>0.5</v>
      </c>
    </row>
    <row r="32" spans="1:14">
      <c r="A32" s="81" t="s">
        <v>933</v>
      </c>
      <c r="B32" s="81">
        <v>2</v>
      </c>
      <c r="C32" s="81" t="s">
        <v>77</v>
      </c>
      <c r="D32" s="81" t="s">
        <v>203</v>
      </c>
      <c r="E32" s="81" t="s">
        <v>697</v>
      </c>
      <c r="F32" s="81" t="s">
        <v>138</v>
      </c>
      <c r="G32" s="81"/>
      <c r="H32" s="81" t="s">
        <v>117</v>
      </c>
      <c r="I32" s="81" t="s">
        <v>1002</v>
      </c>
      <c r="J32" s="81">
        <v>3</v>
      </c>
      <c r="K32" s="81">
        <v>2</v>
      </c>
      <c r="L32" s="81" t="s">
        <v>200</v>
      </c>
      <c r="M32" s="81" t="s">
        <v>1006</v>
      </c>
      <c r="N32" s="81">
        <v>0.5</v>
      </c>
    </row>
    <row r="33" spans="1:14">
      <c r="A33" s="81" t="s">
        <v>942</v>
      </c>
      <c r="B33" s="81">
        <v>2</v>
      </c>
      <c r="C33" s="81" t="s">
        <v>205</v>
      </c>
      <c r="D33" s="81" t="s">
        <v>85</v>
      </c>
      <c r="E33" s="81" t="s">
        <v>352</v>
      </c>
      <c r="F33" s="81" t="s">
        <v>138</v>
      </c>
      <c r="G33" s="81" t="s">
        <v>138</v>
      </c>
      <c r="H33" s="81" t="s">
        <v>746</v>
      </c>
      <c r="I33" s="81" t="s">
        <v>1002</v>
      </c>
      <c r="J33" s="81">
        <v>3</v>
      </c>
      <c r="K33" s="81">
        <v>4</v>
      </c>
      <c r="L33" s="81" t="s">
        <v>200</v>
      </c>
      <c r="M33" s="81" t="s">
        <v>1003</v>
      </c>
      <c r="N33" s="81">
        <v>0.5</v>
      </c>
    </row>
    <row r="34" spans="1:14">
      <c r="A34" s="81" t="s">
        <v>965</v>
      </c>
      <c r="B34" s="81">
        <v>2</v>
      </c>
      <c r="C34" s="81" t="s">
        <v>205</v>
      </c>
      <c r="D34" s="81" t="s">
        <v>203</v>
      </c>
      <c r="E34" s="81" t="s">
        <v>629</v>
      </c>
      <c r="F34" s="81" t="s">
        <v>138</v>
      </c>
      <c r="G34" s="81" t="s">
        <v>138</v>
      </c>
      <c r="H34" s="81" t="s">
        <v>632</v>
      </c>
      <c r="I34" s="81" t="s">
        <v>1002</v>
      </c>
      <c r="J34" s="81">
        <v>3</v>
      </c>
      <c r="K34" s="81">
        <v>4</v>
      </c>
      <c r="L34" s="81" t="s">
        <v>200</v>
      </c>
      <c r="M34" s="81" t="s">
        <v>1003</v>
      </c>
      <c r="N34" s="81">
        <v>0.5</v>
      </c>
    </row>
    <row r="35" spans="1:14">
      <c r="A35" s="81" t="s">
        <v>895</v>
      </c>
      <c r="B35" s="81">
        <v>1</v>
      </c>
      <c r="C35" s="81" t="s">
        <v>77</v>
      </c>
      <c r="D35" s="81" t="s">
        <v>201</v>
      </c>
      <c r="E35" s="81" t="s">
        <v>400</v>
      </c>
      <c r="F35" s="81" t="s">
        <v>101</v>
      </c>
      <c r="G35" s="81" t="s">
        <v>260</v>
      </c>
      <c r="H35" s="81" t="s">
        <v>117</v>
      </c>
      <c r="I35" s="81" t="s">
        <v>1005</v>
      </c>
      <c r="J35" s="81">
        <v>2</v>
      </c>
      <c r="K35" s="81">
        <v>4</v>
      </c>
      <c r="L35" s="81" t="s">
        <v>200</v>
      </c>
      <c r="M35" s="81" t="s">
        <v>1006</v>
      </c>
      <c r="N35" s="81">
        <v>0.5</v>
      </c>
    </row>
    <row r="36" spans="1:14">
      <c r="A36" s="81" t="s">
        <v>896</v>
      </c>
      <c r="B36" s="81">
        <v>1</v>
      </c>
      <c r="C36" s="81" t="s">
        <v>77</v>
      </c>
      <c r="D36" s="81" t="s">
        <v>85</v>
      </c>
      <c r="E36" s="81" t="s">
        <v>93</v>
      </c>
      <c r="F36" s="81" t="s">
        <v>101</v>
      </c>
      <c r="G36" s="81" t="s">
        <v>260</v>
      </c>
      <c r="H36" s="81" t="s">
        <v>138</v>
      </c>
      <c r="I36" s="81" t="s">
        <v>1005</v>
      </c>
      <c r="J36" s="81">
        <v>2</v>
      </c>
      <c r="K36" s="81">
        <v>5</v>
      </c>
      <c r="L36" s="81" t="s">
        <v>200</v>
      </c>
      <c r="M36" s="81" t="s">
        <v>1006</v>
      </c>
      <c r="N36" s="81">
        <v>0.5</v>
      </c>
    </row>
    <row r="37" spans="1:14">
      <c r="A37" s="81" t="s">
        <v>898</v>
      </c>
      <c r="B37" s="81">
        <v>1</v>
      </c>
      <c r="C37" s="81" t="s">
        <v>77</v>
      </c>
      <c r="D37" s="81" t="s">
        <v>201</v>
      </c>
      <c r="E37" s="81" t="s">
        <v>421</v>
      </c>
      <c r="F37" s="81" t="s">
        <v>422</v>
      </c>
      <c r="G37" s="81" t="s">
        <v>260</v>
      </c>
      <c r="H37" s="81" t="s">
        <v>366</v>
      </c>
      <c r="I37" s="81" t="s">
        <v>1005</v>
      </c>
      <c r="J37" s="81">
        <v>2</v>
      </c>
      <c r="K37" s="81">
        <v>4</v>
      </c>
      <c r="L37" s="81" t="s">
        <v>200</v>
      </c>
      <c r="M37" s="81" t="s">
        <v>1006</v>
      </c>
      <c r="N37" s="81">
        <v>0.5</v>
      </c>
    </row>
    <row r="38" spans="1:14">
      <c r="A38" s="81" t="s">
        <v>899</v>
      </c>
      <c r="B38" s="81">
        <v>1</v>
      </c>
      <c r="C38" s="81" t="s">
        <v>77</v>
      </c>
      <c r="D38" s="81" t="s">
        <v>203</v>
      </c>
      <c r="E38" s="81" t="s">
        <v>362</v>
      </c>
      <c r="F38" s="81" t="s">
        <v>425</v>
      </c>
      <c r="G38" s="81" t="s">
        <v>340</v>
      </c>
      <c r="H38" s="81" t="s">
        <v>366</v>
      </c>
      <c r="I38" s="81" t="s">
        <v>1012</v>
      </c>
      <c r="J38" s="81">
        <v>2</v>
      </c>
      <c r="K38" s="81">
        <v>3</v>
      </c>
      <c r="L38" s="81" t="s">
        <v>200</v>
      </c>
      <c r="M38" s="81" t="s">
        <v>1008</v>
      </c>
      <c r="N38" s="81">
        <v>0.5</v>
      </c>
    </row>
    <row r="39" spans="1:14">
      <c r="A39" s="81" t="s">
        <v>900</v>
      </c>
      <c r="B39" s="81">
        <v>1</v>
      </c>
      <c r="C39" s="81" t="s">
        <v>77</v>
      </c>
      <c r="D39" s="81" t="s">
        <v>201</v>
      </c>
      <c r="E39" s="81" t="s">
        <v>421</v>
      </c>
      <c r="F39" s="81" t="s">
        <v>422</v>
      </c>
      <c r="G39" s="81" t="s">
        <v>340</v>
      </c>
      <c r="H39" s="81" t="s">
        <v>366</v>
      </c>
      <c r="I39" s="81" t="s">
        <v>1002</v>
      </c>
      <c r="J39" s="81">
        <v>2</v>
      </c>
      <c r="K39" s="81">
        <v>4</v>
      </c>
      <c r="L39" s="81" t="s">
        <v>200</v>
      </c>
      <c r="M39" s="81" t="s">
        <v>1006</v>
      </c>
      <c r="N39" s="81">
        <v>0.5</v>
      </c>
    </row>
    <row r="40" ht="26" spans="1:14">
      <c r="A40" s="81" t="s">
        <v>904</v>
      </c>
      <c r="B40" s="81">
        <v>1</v>
      </c>
      <c r="C40" s="81" t="s">
        <v>77</v>
      </c>
      <c r="D40" s="81" t="s">
        <v>201</v>
      </c>
      <c r="E40" s="81" t="s">
        <v>435</v>
      </c>
      <c r="F40" s="81" t="s">
        <v>436</v>
      </c>
      <c r="G40" s="81" t="s">
        <v>260</v>
      </c>
      <c r="H40" s="81" t="s">
        <v>366</v>
      </c>
      <c r="I40" s="81" t="s">
        <v>1009</v>
      </c>
      <c r="J40" s="81">
        <v>2</v>
      </c>
      <c r="K40" s="81">
        <v>4</v>
      </c>
      <c r="L40" s="81" t="s">
        <v>200</v>
      </c>
      <c r="M40" s="81" t="s">
        <v>1006</v>
      </c>
      <c r="N40" s="81">
        <v>0.5</v>
      </c>
    </row>
    <row r="41" spans="1:14">
      <c r="A41" s="81" t="s">
        <v>906</v>
      </c>
      <c r="B41" s="81">
        <v>1</v>
      </c>
      <c r="C41" s="81" t="s">
        <v>77</v>
      </c>
      <c r="D41" s="81" t="s">
        <v>201</v>
      </c>
      <c r="E41" s="81" t="s">
        <v>435</v>
      </c>
      <c r="F41" s="81" t="s">
        <v>368</v>
      </c>
      <c r="G41" s="81" t="s">
        <v>340</v>
      </c>
      <c r="H41" s="81" t="s">
        <v>138</v>
      </c>
      <c r="I41" s="81" t="s">
        <v>1007</v>
      </c>
      <c r="J41" s="81">
        <v>2</v>
      </c>
      <c r="K41" s="81">
        <v>4</v>
      </c>
      <c r="L41" s="81" t="s">
        <v>200</v>
      </c>
      <c r="M41" s="81" t="s">
        <v>1008</v>
      </c>
      <c r="N41" s="81">
        <v>0.5</v>
      </c>
    </row>
    <row r="42" spans="1:14">
      <c r="A42" s="81" t="s">
        <v>908</v>
      </c>
      <c r="B42" s="81">
        <v>1</v>
      </c>
      <c r="C42" s="81" t="s">
        <v>77</v>
      </c>
      <c r="D42" s="81" t="s">
        <v>201</v>
      </c>
      <c r="E42" s="81" t="s">
        <v>435</v>
      </c>
      <c r="F42" s="81" t="s">
        <v>101</v>
      </c>
      <c r="G42" s="81" t="s">
        <v>260</v>
      </c>
      <c r="H42" s="81" t="s">
        <v>366</v>
      </c>
      <c r="I42" s="81" t="s">
        <v>1005</v>
      </c>
      <c r="J42" s="81">
        <v>2</v>
      </c>
      <c r="K42" s="81">
        <v>4</v>
      </c>
      <c r="L42" s="81" t="s">
        <v>200</v>
      </c>
      <c r="M42" s="81" t="s">
        <v>1006</v>
      </c>
      <c r="N42" s="81">
        <v>0.5</v>
      </c>
    </row>
    <row r="43" ht="26" spans="1:14">
      <c r="A43" s="81" t="s">
        <v>912</v>
      </c>
      <c r="B43" s="81">
        <v>1</v>
      </c>
      <c r="C43" s="81" t="s">
        <v>77</v>
      </c>
      <c r="D43" s="81" t="s">
        <v>201</v>
      </c>
      <c r="E43" s="81" t="s">
        <v>488</v>
      </c>
      <c r="F43" s="81" t="s">
        <v>368</v>
      </c>
      <c r="G43" s="81" t="s">
        <v>340</v>
      </c>
      <c r="H43" s="81" t="s">
        <v>366</v>
      </c>
      <c r="I43" s="81" t="s">
        <v>1007</v>
      </c>
      <c r="J43" s="81">
        <v>2</v>
      </c>
      <c r="K43" s="81">
        <v>4</v>
      </c>
      <c r="L43" s="81" t="s">
        <v>200</v>
      </c>
      <c r="M43" s="81" t="s">
        <v>1008</v>
      </c>
      <c r="N43" s="81">
        <v>0.5</v>
      </c>
    </row>
    <row r="44" ht="26" spans="1:14">
      <c r="A44" s="81" t="s">
        <v>918</v>
      </c>
      <c r="B44" s="81">
        <v>1</v>
      </c>
      <c r="C44" s="81" t="s">
        <v>77</v>
      </c>
      <c r="D44" s="81" t="s">
        <v>203</v>
      </c>
      <c r="E44" s="81" t="s">
        <v>483</v>
      </c>
      <c r="F44" s="81" t="s">
        <v>339</v>
      </c>
      <c r="G44" s="81" t="s">
        <v>340</v>
      </c>
      <c r="H44" s="81" t="s">
        <v>541</v>
      </c>
      <c r="I44" s="81" t="s">
        <v>1004</v>
      </c>
      <c r="J44" s="81">
        <v>2</v>
      </c>
      <c r="K44" s="81">
        <v>3</v>
      </c>
      <c r="L44" s="81" t="s">
        <v>200</v>
      </c>
      <c r="M44" s="81" t="s">
        <v>1008</v>
      </c>
      <c r="N44" s="81">
        <v>0.5</v>
      </c>
    </row>
    <row r="45" ht="26" spans="1:14">
      <c r="A45" s="81" t="s">
        <v>919</v>
      </c>
      <c r="B45" s="81">
        <v>1</v>
      </c>
      <c r="C45" s="81" t="s">
        <v>77</v>
      </c>
      <c r="D45" s="81" t="s">
        <v>203</v>
      </c>
      <c r="E45" s="81" t="s">
        <v>483</v>
      </c>
      <c r="F45" s="81" t="s">
        <v>368</v>
      </c>
      <c r="G45" s="81" t="s">
        <v>340</v>
      </c>
      <c r="H45" s="81" t="s">
        <v>541</v>
      </c>
      <c r="I45" s="81" t="s">
        <v>1010</v>
      </c>
      <c r="J45" s="81">
        <v>2</v>
      </c>
      <c r="K45" s="81">
        <v>3</v>
      </c>
      <c r="L45" s="81" t="s">
        <v>200</v>
      </c>
      <c r="M45" s="81" t="s">
        <v>1008</v>
      </c>
      <c r="N45" s="81">
        <v>0.5</v>
      </c>
    </row>
    <row r="46" spans="1:14">
      <c r="A46" s="81" t="s">
        <v>920</v>
      </c>
      <c r="B46" s="81">
        <v>1</v>
      </c>
      <c r="C46" s="81" t="s">
        <v>77</v>
      </c>
      <c r="D46" s="81" t="s">
        <v>203</v>
      </c>
      <c r="E46" s="81" t="s">
        <v>552</v>
      </c>
      <c r="F46" s="81" t="s">
        <v>368</v>
      </c>
      <c r="G46" s="81" t="s">
        <v>340</v>
      </c>
      <c r="H46" s="81" t="s">
        <v>117</v>
      </c>
      <c r="I46" s="81" t="s">
        <v>1007</v>
      </c>
      <c r="J46" s="81">
        <v>3</v>
      </c>
      <c r="K46" s="81">
        <v>2</v>
      </c>
      <c r="L46" s="81" t="s">
        <v>200</v>
      </c>
      <c r="M46" s="81" t="s">
        <v>1008</v>
      </c>
      <c r="N46" s="81">
        <v>0.5</v>
      </c>
    </row>
    <row r="47" spans="1:14">
      <c r="A47" s="81" t="s">
        <v>932</v>
      </c>
      <c r="B47" s="81">
        <v>1</v>
      </c>
      <c r="C47" s="81" t="s">
        <v>77</v>
      </c>
      <c r="D47" s="81" t="s">
        <v>203</v>
      </c>
      <c r="E47" s="81" t="s">
        <v>692</v>
      </c>
      <c r="F47" s="81" t="s">
        <v>138</v>
      </c>
      <c r="G47" s="81"/>
      <c r="H47" s="81" t="s">
        <v>632</v>
      </c>
      <c r="I47" s="81" t="s">
        <v>1002</v>
      </c>
      <c r="J47" s="81">
        <v>3</v>
      </c>
      <c r="K47" s="81">
        <v>2</v>
      </c>
      <c r="L47" s="81" t="s">
        <v>200</v>
      </c>
      <c r="M47" s="81" t="s">
        <v>1006</v>
      </c>
      <c r="N47" s="81">
        <v>0.5</v>
      </c>
    </row>
    <row r="48" spans="1:14">
      <c r="A48" s="81" t="s">
        <v>945</v>
      </c>
      <c r="B48" s="81">
        <v>1</v>
      </c>
      <c r="C48" s="81" t="s">
        <v>205</v>
      </c>
      <c r="D48" s="81" t="s">
        <v>201</v>
      </c>
      <c r="E48" s="81" t="s">
        <v>758</v>
      </c>
      <c r="F48" s="81" t="s">
        <v>138</v>
      </c>
      <c r="G48" s="81" t="s">
        <v>138</v>
      </c>
      <c r="H48" s="81" t="s">
        <v>138</v>
      </c>
      <c r="I48" s="81" t="s">
        <v>1002</v>
      </c>
      <c r="J48" s="81">
        <v>2</v>
      </c>
      <c r="K48" s="81">
        <v>4</v>
      </c>
      <c r="L48" s="81" t="s">
        <v>200</v>
      </c>
      <c r="M48" s="81" t="s">
        <v>1011</v>
      </c>
      <c r="N48" s="81">
        <v>0.5</v>
      </c>
    </row>
    <row r="49" spans="1:14">
      <c r="A49" s="81" t="s">
        <v>946</v>
      </c>
      <c r="B49" s="81">
        <v>1</v>
      </c>
      <c r="C49" s="81" t="s">
        <v>205</v>
      </c>
      <c r="D49" s="81" t="s">
        <v>201</v>
      </c>
      <c r="E49" s="81" t="s">
        <v>758</v>
      </c>
      <c r="F49" s="81" t="s">
        <v>138</v>
      </c>
      <c r="G49" s="81" t="s">
        <v>138</v>
      </c>
      <c r="H49" s="81" t="s">
        <v>366</v>
      </c>
      <c r="I49" s="81" t="s">
        <v>1002</v>
      </c>
      <c r="J49" s="81">
        <v>3</v>
      </c>
      <c r="K49" s="81">
        <v>4</v>
      </c>
      <c r="L49" s="81" t="s">
        <v>200</v>
      </c>
      <c r="M49" s="81" t="s">
        <v>1003</v>
      </c>
      <c r="N49" s="81">
        <v>0.5</v>
      </c>
    </row>
    <row r="50" ht="26" spans="1:14">
      <c r="A50" s="81" t="s">
        <v>949</v>
      </c>
      <c r="B50" s="81">
        <v>1</v>
      </c>
      <c r="C50" s="81" t="s">
        <v>205</v>
      </c>
      <c r="D50" s="81" t="s">
        <v>201</v>
      </c>
      <c r="E50" s="81" t="s">
        <v>762</v>
      </c>
      <c r="F50" s="81" t="s">
        <v>138</v>
      </c>
      <c r="G50" s="81" t="s">
        <v>138</v>
      </c>
      <c r="H50" s="81" t="s">
        <v>138</v>
      </c>
      <c r="I50" s="81" t="s">
        <v>1013</v>
      </c>
      <c r="J50" s="81">
        <v>2</v>
      </c>
      <c r="K50" s="81">
        <v>4</v>
      </c>
      <c r="L50" s="81" t="s">
        <v>200</v>
      </c>
      <c r="M50" s="81" t="s">
        <v>1011</v>
      </c>
      <c r="N50" s="81">
        <v>0.5</v>
      </c>
    </row>
    <row r="51" spans="1:14">
      <c r="A51" s="81" t="s">
        <v>950</v>
      </c>
      <c r="B51" s="81">
        <v>1</v>
      </c>
      <c r="C51" s="81" t="s">
        <v>205</v>
      </c>
      <c r="D51" s="81" t="s">
        <v>205</v>
      </c>
      <c r="E51" s="81" t="s">
        <v>730</v>
      </c>
      <c r="F51" s="81" t="s">
        <v>138</v>
      </c>
      <c r="G51" s="81" t="s">
        <v>138</v>
      </c>
      <c r="H51" s="81" t="s">
        <v>138</v>
      </c>
      <c r="I51" s="81" t="s">
        <v>1002</v>
      </c>
      <c r="J51" s="81">
        <v>3</v>
      </c>
      <c r="K51" s="81">
        <v>2</v>
      </c>
      <c r="L51" s="81" t="s">
        <v>200</v>
      </c>
      <c r="M51" s="81" t="s">
        <v>1003</v>
      </c>
      <c r="N51" s="81">
        <v>0.5</v>
      </c>
    </row>
    <row r="52" ht="26" spans="1:14">
      <c r="A52" s="81" t="s">
        <v>954</v>
      </c>
      <c r="B52" s="81">
        <v>1</v>
      </c>
      <c r="C52" s="81" t="s">
        <v>205</v>
      </c>
      <c r="D52" s="81" t="s">
        <v>201</v>
      </c>
      <c r="E52" s="81" t="s">
        <v>435</v>
      </c>
      <c r="F52" s="81" t="s">
        <v>138</v>
      </c>
      <c r="G52" s="81" t="s">
        <v>138</v>
      </c>
      <c r="H52" s="81" t="s">
        <v>366</v>
      </c>
      <c r="I52" s="81" t="s">
        <v>1013</v>
      </c>
      <c r="J52" s="81">
        <v>2</v>
      </c>
      <c r="K52" s="81">
        <v>4</v>
      </c>
      <c r="L52" s="81" t="s">
        <v>200</v>
      </c>
      <c r="M52" s="81" t="s">
        <v>1011</v>
      </c>
      <c r="N52" s="81">
        <v>0.5</v>
      </c>
    </row>
    <row r="53" ht="26" spans="1:14">
      <c r="A53" s="81" t="s">
        <v>956</v>
      </c>
      <c r="B53" s="81">
        <v>1</v>
      </c>
      <c r="C53" s="81" t="s">
        <v>205</v>
      </c>
      <c r="D53" s="81" t="s">
        <v>203</v>
      </c>
      <c r="E53" s="81" t="s">
        <v>802</v>
      </c>
      <c r="F53" s="81" t="s">
        <v>138</v>
      </c>
      <c r="G53" s="81" t="s">
        <v>138</v>
      </c>
      <c r="H53" s="81" t="s">
        <v>805</v>
      </c>
      <c r="I53" s="81" t="s">
        <v>1013</v>
      </c>
      <c r="J53" s="81">
        <v>2</v>
      </c>
      <c r="K53" s="81">
        <v>4</v>
      </c>
      <c r="L53" s="81" t="s">
        <v>200</v>
      </c>
      <c r="M53" s="81" t="s">
        <v>1011</v>
      </c>
      <c r="N53" s="81">
        <v>0.5</v>
      </c>
    </row>
    <row r="54" spans="1:14">
      <c r="A54" s="81" t="s">
        <v>957</v>
      </c>
      <c r="B54" s="81">
        <v>1</v>
      </c>
      <c r="C54" s="81" t="s">
        <v>205</v>
      </c>
      <c r="D54" s="81" t="s">
        <v>203</v>
      </c>
      <c r="E54" s="81" t="s">
        <v>560</v>
      </c>
      <c r="F54" s="81" t="s">
        <v>138</v>
      </c>
      <c r="G54" s="81" t="s">
        <v>138</v>
      </c>
      <c r="H54" s="81" t="s">
        <v>138</v>
      </c>
      <c r="I54" s="81" t="s">
        <v>1002</v>
      </c>
      <c r="J54" s="81">
        <v>2</v>
      </c>
      <c r="K54" s="81">
        <v>3</v>
      </c>
      <c r="L54" s="81" t="s">
        <v>200</v>
      </c>
      <c r="M54" s="81" t="s">
        <v>1011</v>
      </c>
      <c r="N54" s="81">
        <v>0.5</v>
      </c>
    </row>
    <row r="55" ht="26" spans="1:14">
      <c r="A55" s="81" t="s">
        <v>958</v>
      </c>
      <c r="B55" s="81">
        <v>1</v>
      </c>
      <c r="C55" s="81" t="s">
        <v>205</v>
      </c>
      <c r="D55" s="81" t="s">
        <v>203</v>
      </c>
      <c r="E55" s="81" t="s">
        <v>560</v>
      </c>
      <c r="F55" s="81" t="s">
        <v>138</v>
      </c>
      <c r="G55" s="81" t="s">
        <v>138</v>
      </c>
      <c r="H55" s="81" t="s">
        <v>805</v>
      </c>
      <c r="I55" s="81" t="s">
        <v>1013</v>
      </c>
      <c r="J55" s="81">
        <v>2</v>
      </c>
      <c r="K55" s="81">
        <v>3</v>
      </c>
      <c r="L55" s="81" t="s">
        <v>200</v>
      </c>
      <c r="M55" s="81" t="s">
        <v>1011</v>
      </c>
      <c r="N55" s="81">
        <v>0.5</v>
      </c>
    </row>
    <row r="56" spans="1:14">
      <c r="A56" s="81" t="s">
        <v>959</v>
      </c>
      <c r="B56" s="81">
        <v>1</v>
      </c>
      <c r="C56" s="81" t="s">
        <v>205</v>
      </c>
      <c r="D56" s="81" t="s">
        <v>203</v>
      </c>
      <c r="E56" s="81" t="s">
        <v>483</v>
      </c>
      <c r="F56" s="81" t="s">
        <v>138</v>
      </c>
      <c r="G56" s="81" t="s">
        <v>138</v>
      </c>
      <c r="H56" s="81" t="s">
        <v>138</v>
      </c>
      <c r="I56" s="81" t="s">
        <v>1002</v>
      </c>
      <c r="J56" s="81">
        <v>2</v>
      </c>
      <c r="K56" s="81">
        <v>4</v>
      </c>
      <c r="L56" s="81" t="s">
        <v>200</v>
      </c>
      <c r="M56" s="81" t="s">
        <v>1011</v>
      </c>
      <c r="N56" s="81">
        <v>0.5</v>
      </c>
    </row>
    <row r="57" spans="1:14">
      <c r="A57" s="81" t="s">
        <v>960</v>
      </c>
      <c r="B57" s="81">
        <v>1</v>
      </c>
      <c r="C57" s="81" t="s">
        <v>205</v>
      </c>
      <c r="D57" s="81" t="s">
        <v>203</v>
      </c>
      <c r="E57" s="81" t="s">
        <v>483</v>
      </c>
      <c r="F57" s="81" t="s">
        <v>138</v>
      </c>
      <c r="G57" s="81" t="s">
        <v>138</v>
      </c>
      <c r="H57" s="81" t="s">
        <v>813</v>
      </c>
      <c r="I57" s="81" t="s">
        <v>1002</v>
      </c>
      <c r="J57" s="81">
        <v>3</v>
      </c>
      <c r="K57" s="81">
        <v>4</v>
      </c>
      <c r="L57" s="81" t="s">
        <v>200</v>
      </c>
      <c r="M57" s="81" t="s">
        <v>1003</v>
      </c>
      <c r="N57" s="81">
        <v>0.5</v>
      </c>
    </row>
    <row r="58" ht="26" spans="1:14">
      <c r="A58" s="81" t="s">
        <v>961</v>
      </c>
      <c r="B58" s="81">
        <v>1</v>
      </c>
      <c r="C58" s="81" t="s">
        <v>205</v>
      </c>
      <c r="D58" s="81" t="s">
        <v>201</v>
      </c>
      <c r="E58" s="81" t="s">
        <v>802</v>
      </c>
      <c r="F58" s="81" t="s">
        <v>138</v>
      </c>
      <c r="G58" s="81" t="s">
        <v>138</v>
      </c>
      <c r="H58" s="81" t="s">
        <v>805</v>
      </c>
      <c r="I58" s="81" t="s">
        <v>1013</v>
      </c>
      <c r="J58" s="81">
        <v>2</v>
      </c>
      <c r="K58" s="81">
        <v>4</v>
      </c>
      <c r="L58" s="81" t="s">
        <v>200</v>
      </c>
      <c r="M58" s="81" t="s">
        <v>1011</v>
      </c>
      <c r="N58" s="81">
        <v>0.5</v>
      </c>
    </row>
    <row r="59" ht="26" spans="1:14">
      <c r="A59" s="81" t="s">
        <v>962</v>
      </c>
      <c r="B59" s="81">
        <v>1</v>
      </c>
      <c r="C59" s="81" t="s">
        <v>205</v>
      </c>
      <c r="D59" s="81" t="s">
        <v>203</v>
      </c>
      <c r="E59" s="81" t="s">
        <v>483</v>
      </c>
      <c r="F59" s="81" t="s">
        <v>138</v>
      </c>
      <c r="G59" s="81" t="s">
        <v>138</v>
      </c>
      <c r="H59" s="81" t="s">
        <v>138</v>
      </c>
      <c r="I59" s="81" t="s">
        <v>1013</v>
      </c>
      <c r="J59" s="81">
        <v>2</v>
      </c>
      <c r="K59" s="81">
        <v>4</v>
      </c>
      <c r="L59" s="81" t="s">
        <v>200</v>
      </c>
      <c r="M59" s="81" t="s">
        <v>1011</v>
      </c>
      <c r="N59" s="81">
        <v>0.5</v>
      </c>
    </row>
    <row r="60" spans="1:14">
      <c r="A60" s="81" t="s">
        <v>966</v>
      </c>
      <c r="B60" s="81">
        <v>1</v>
      </c>
      <c r="C60" s="81" t="s">
        <v>205</v>
      </c>
      <c r="D60" s="81" t="s">
        <v>203</v>
      </c>
      <c r="E60" s="81" t="s">
        <v>641</v>
      </c>
      <c r="F60" s="81" t="s">
        <v>138</v>
      </c>
      <c r="G60" s="81" t="s">
        <v>138</v>
      </c>
      <c r="H60" s="81" t="s">
        <v>138</v>
      </c>
      <c r="I60" s="81" t="s">
        <v>1002</v>
      </c>
      <c r="J60" s="81">
        <v>3</v>
      </c>
      <c r="K60" s="81">
        <v>4</v>
      </c>
      <c r="L60" s="81" t="s">
        <v>200</v>
      </c>
      <c r="M60" s="81" t="s">
        <v>1003</v>
      </c>
      <c r="N60" s="81">
        <v>0.5</v>
      </c>
    </row>
    <row r="61" spans="1:14">
      <c r="A61" s="81" t="s">
        <v>967</v>
      </c>
      <c r="B61" s="81">
        <v>1</v>
      </c>
      <c r="C61" s="81" t="s">
        <v>205</v>
      </c>
      <c r="D61" s="81" t="s">
        <v>203</v>
      </c>
      <c r="E61" s="81" t="s">
        <v>724</v>
      </c>
      <c r="F61" s="81" t="s">
        <v>138</v>
      </c>
      <c r="G61" s="81" t="s">
        <v>138</v>
      </c>
      <c r="H61" s="81" t="s">
        <v>138</v>
      </c>
      <c r="I61" s="81" t="s">
        <v>1002</v>
      </c>
      <c r="J61" s="81">
        <v>3</v>
      </c>
      <c r="K61" s="81">
        <v>2</v>
      </c>
      <c r="L61" s="81" t="s">
        <v>200</v>
      </c>
      <c r="M61" s="81" t="s">
        <v>1003</v>
      </c>
      <c r="N61" s="81">
        <v>0.5</v>
      </c>
    </row>
    <row r="62" spans="1:14">
      <c r="A62" s="81" t="s">
        <v>970</v>
      </c>
      <c r="B62" s="81">
        <v>1</v>
      </c>
      <c r="C62" s="81" t="s">
        <v>205</v>
      </c>
      <c r="D62" s="81" t="s">
        <v>203</v>
      </c>
      <c r="E62" s="81" t="s">
        <v>697</v>
      </c>
      <c r="F62" s="81" t="s">
        <v>138</v>
      </c>
      <c r="G62" s="81" t="s">
        <v>138</v>
      </c>
      <c r="H62" s="81" t="s">
        <v>138</v>
      </c>
      <c r="I62" s="81" t="s">
        <v>1002</v>
      </c>
      <c r="J62" s="81">
        <v>3</v>
      </c>
      <c r="K62" s="81">
        <v>2</v>
      </c>
      <c r="L62" s="81" t="s">
        <v>200</v>
      </c>
      <c r="M62" s="81" t="s">
        <v>1003</v>
      </c>
      <c r="N62" s="81">
        <v>0.5</v>
      </c>
    </row>
    <row r="63" spans="1:14">
      <c r="A63" s="81" t="s">
        <v>973</v>
      </c>
      <c r="B63" s="81">
        <v>1</v>
      </c>
      <c r="C63" s="81" t="s">
        <v>205</v>
      </c>
      <c r="D63" s="81" t="s">
        <v>203</v>
      </c>
      <c r="E63" s="81" t="s">
        <v>392</v>
      </c>
      <c r="F63" s="81" t="s">
        <v>138</v>
      </c>
      <c r="G63" s="81" t="s">
        <v>138</v>
      </c>
      <c r="H63" s="81" t="s">
        <v>138</v>
      </c>
      <c r="I63" s="81" t="s">
        <v>1002</v>
      </c>
      <c r="J63" s="81">
        <v>3</v>
      </c>
      <c r="K63" s="81">
        <v>2</v>
      </c>
      <c r="L63" s="81" t="s">
        <v>200</v>
      </c>
      <c r="M63" s="81" t="s">
        <v>1003</v>
      </c>
      <c r="N63" s="81">
        <v>0.5</v>
      </c>
    </row>
    <row r="64" spans="1:14">
      <c r="A64" s="81" t="s">
        <v>978</v>
      </c>
      <c r="B64" s="81">
        <v>1</v>
      </c>
      <c r="C64" s="81" t="s">
        <v>205</v>
      </c>
      <c r="D64" s="81" t="s">
        <v>203</v>
      </c>
      <c r="E64" s="81" t="s">
        <v>858</v>
      </c>
      <c r="F64" s="81" t="s">
        <v>138</v>
      </c>
      <c r="G64" s="81" t="s">
        <v>138</v>
      </c>
      <c r="H64" s="81" t="s">
        <v>138</v>
      </c>
      <c r="I64" s="81" t="s">
        <v>1002</v>
      </c>
      <c r="J64" s="81">
        <v>3</v>
      </c>
      <c r="K64" s="81">
        <v>2</v>
      </c>
      <c r="L64" s="81" t="s">
        <v>200</v>
      </c>
      <c r="M64" s="81" t="s">
        <v>1003</v>
      </c>
      <c r="N64" s="81">
        <v>0.5</v>
      </c>
    </row>
    <row r="65" spans="1:14">
      <c r="A65" s="81" t="s">
        <v>981</v>
      </c>
      <c r="B65" s="81">
        <v>1</v>
      </c>
      <c r="C65" s="81" t="s">
        <v>205</v>
      </c>
      <c r="D65" s="81" t="s">
        <v>203</v>
      </c>
      <c r="E65" s="81" t="s">
        <v>858</v>
      </c>
      <c r="F65" s="81" t="s">
        <v>138</v>
      </c>
      <c r="G65" s="81" t="s">
        <v>138</v>
      </c>
      <c r="H65" s="81" t="s">
        <v>138</v>
      </c>
      <c r="I65" s="81" t="s">
        <v>1002</v>
      </c>
      <c r="J65" s="81">
        <v>3</v>
      </c>
      <c r="K65" s="81">
        <v>2</v>
      </c>
      <c r="L65" s="81" t="s">
        <v>200</v>
      </c>
      <c r="M65" s="81" t="s">
        <v>1003</v>
      </c>
      <c r="N65" s="81">
        <v>0.5</v>
      </c>
    </row>
    <row r="66" spans="1:14">
      <c r="A66" s="81" t="s">
        <v>983</v>
      </c>
      <c r="B66" s="81">
        <v>1</v>
      </c>
      <c r="C66" s="81" t="s">
        <v>205</v>
      </c>
      <c r="D66" s="81" t="s">
        <v>205</v>
      </c>
      <c r="E66" s="81" t="s">
        <v>552</v>
      </c>
      <c r="F66" s="81" t="s">
        <v>138</v>
      </c>
      <c r="G66" s="81" t="s">
        <v>138</v>
      </c>
      <c r="H66" s="81" t="s">
        <v>138</v>
      </c>
      <c r="I66" s="81" t="s">
        <v>1002</v>
      </c>
      <c r="J66" s="81">
        <v>3</v>
      </c>
      <c r="K66" s="81">
        <v>2</v>
      </c>
      <c r="L66" s="81" t="s">
        <v>200</v>
      </c>
      <c r="M66" s="81" t="s">
        <v>1003</v>
      </c>
      <c r="N66" s="81">
        <v>0.5</v>
      </c>
    </row>
    <row r="67" spans="1:14">
      <c r="A67" s="81" t="s">
        <v>890</v>
      </c>
      <c r="B67" s="81">
        <v>10</v>
      </c>
      <c r="C67" s="81" t="s">
        <v>77</v>
      </c>
      <c r="D67" s="81" t="s">
        <v>85</v>
      </c>
      <c r="E67" s="81" t="s">
        <v>352</v>
      </c>
      <c r="F67" s="81" t="s">
        <v>101</v>
      </c>
      <c r="G67" s="81" t="s">
        <v>260</v>
      </c>
      <c r="H67" s="81" t="s">
        <v>117</v>
      </c>
      <c r="I67" s="81" t="s">
        <v>1005</v>
      </c>
      <c r="J67" s="81">
        <v>2</v>
      </c>
      <c r="K67" s="81">
        <v>2</v>
      </c>
      <c r="L67" s="81" t="s">
        <v>202</v>
      </c>
      <c r="M67" s="81" t="s">
        <v>1006</v>
      </c>
      <c r="N67" s="81">
        <v>1</v>
      </c>
    </row>
    <row r="68" spans="1:14">
      <c r="A68" s="81" t="s">
        <v>936</v>
      </c>
      <c r="B68" s="81">
        <v>9</v>
      </c>
      <c r="C68" s="81" t="s">
        <v>77</v>
      </c>
      <c r="D68" s="81" t="s">
        <v>203</v>
      </c>
      <c r="E68" s="81" t="s">
        <v>711</v>
      </c>
      <c r="F68" s="81" t="s">
        <v>138</v>
      </c>
      <c r="G68" s="81"/>
      <c r="H68" s="81" t="s">
        <v>366</v>
      </c>
      <c r="I68" s="81" t="s">
        <v>1002</v>
      </c>
      <c r="J68" s="81">
        <v>2</v>
      </c>
      <c r="K68" s="81">
        <v>2</v>
      </c>
      <c r="L68" s="81" t="s">
        <v>202</v>
      </c>
      <c r="M68" s="81" t="s">
        <v>1006</v>
      </c>
      <c r="N68" s="81">
        <v>1</v>
      </c>
    </row>
    <row r="69" spans="1:14">
      <c r="A69" s="81" t="s">
        <v>889</v>
      </c>
      <c r="B69" s="81">
        <v>5</v>
      </c>
      <c r="C69" s="81" t="s">
        <v>77</v>
      </c>
      <c r="D69" s="81" t="s">
        <v>85</v>
      </c>
      <c r="E69" s="81" t="s">
        <v>352</v>
      </c>
      <c r="F69" s="81" t="s">
        <v>101</v>
      </c>
      <c r="G69" s="81" t="s">
        <v>260</v>
      </c>
      <c r="H69" s="81" t="s">
        <v>117</v>
      </c>
      <c r="I69" s="81" t="s">
        <v>1005</v>
      </c>
      <c r="J69" s="81">
        <v>2</v>
      </c>
      <c r="K69" s="81">
        <v>2</v>
      </c>
      <c r="L69" s="81" t="s">
        <v>202</v>
      </c>
      <c r="M69" s="81" t="s">
        <v>1006</v>
      </c>
      <c r="N69" s="81">
        <v>1</v>
      </c>
    </row>
    <row r="70" ht="26" spans="1:14">
      <c r="A70" s="81" t="s">
        <v>897</v>
      </c>
      <c r="B70" s="81">
        <v>3</v>
      </c>
      <c r="C70" s="81" t="s">
        <v>77</v>
      </c>
      <c r="D70" s="81" t="s">
        <v>85</v>
      </c>
      <c r="E70" s="81" t="s">
        <v>411</v>
      </c>
      <c r="F70" s="81" t="s">
        <v>415</v>
      </c>
      <c r="G70" s="81" t="s">
        <v>340</v>
      </c>
      <c r="H70" s="81" t="s">
        <v>366</v>
      </c>
      <c r="I70" s="81" t="s">
        <v>1004</v>
      </c>
      <c r="J70" s="81">
        <v>2</v>
      </c>
      <c r="K70" s="81">
        <v>2</v>
      </c>
      <c r="L70" s="81" t="s">
        <v>202</v>
      </c>
      <c r="M70" s="81" t="s">
        <v>1008</v>
      </c>
      <c r="N70" s="81">
        <v>1</v>
      </c>
    </row>
    <row r="71" spans="1:14">
      <c r="A71" s="81" t="s">
        <v>937</v>
      </c>
      <c r="B71" s="81">
        <v>3</v>
      </c>
      <c r="C71" s="81" t="s">
        <v>77</v>
      </c>
      <c r="D71" s="81" t="s">
        <v>399</v>
      </c>
      <c r="E71" s="81" t="s">
        <v>724</v>
      </c>
      <c r="F71" s="81" t="s">
        <v>138</v>
      </c>
      <c r="G71" s="81"/>
      <c r="H71" s="81" t="s">
        <v>117</v>
      </c>
      <c r="I71" s="81" t="s">
        <v>1002</v>
      </c>
      <c r="J71" s="81">
        <v>2</v>
      </c>
      <c r="K71" s="81">
        <v>2</v>
      </c>
      <c r="L71" s="81" t="s">
        <v>202</v>
      </c>
      <c r="M71" s="81" t="s">
        <v>1006</v>
      </c>
      <c r="N71" s="81">
        <v>1</v>
      </c>
    </row>
    <row r="72" spans="1:14">
      <c r="A72" s="81" t="s">
        <v>938</v>
      </c>
      <c r="B72" s="81">
        <v>3</v>
      </c>
      <c r="C72" s="81" t="s">
        <v>77</v>
      </c>
      <c r="D72" s="81" t="s">
        <v>399</v>
      </c>
      <c r="E72" s="81" t="s">
        <v>730</v>
      </c>
      <c r="F72" s="81" t="s">
        <v>138</v>
      </c>
      <c r="G72" s="81"/>
      <c r="H72" s="81" t="s">
        <v>117</v>
      </c>
      <c r="I72" s="81" t="s">
        <v>1002</v>
      </c>
      <c r="J72" s="81">
        <v>2</v>
      </c>
      <c r="K72" s="81">
        <v>2</v>
      </c>
      <c r="L72" s="81" t="s">
        <v>202</v>
      </c>
      <c r="M72" s="81" t="s">
        <v>1006</v>
      </c>
      <c r="N72" s="81">
        <v>1</v>
      </c>
    </row>
    <row r="73" spans="1:14">
      <c r="A73" s="81" t="s">
        <v>943</v>
      </c>
      <c r="B73" s="81">
        <v>3</v>
      </c>
      <c r="C73" s="81" t="s">
        <v>205</v>
      </c>
      <c r="D73" s="81" t="s">
        <v>85</v>
      </c>
      <c r="E73" s="81" t="s">
        <v>352</v>
      </c>
      <c r="F73" s="81" t="s">
        <v>138</v>
      </c>
      <c r="G73" s="81" t="s">
        <v>138</v>
      </c>
      <c r="H73" s="81" t="s">
        <v>138</v>
      </c>
      <c r="I73" s="81" t="s">
        <v>1002</v>
      </c>
      <c r="J73" s="81">
        <v>2</v>
      </c>
      <c r="K73" s="81">
        <v>2</v>
      </c>
      <c r="L73" s="81" t="s">
        <v>202</v>
      </c>
      <c r="M73" s="81" t="s">
        <v>1011</v>
      </c>
      <c r="N73" s="81">
        <v>1</v>
      </c>
    </row>
    <row r="74" ht="26" spans="1:14">
      <c r="A74" s="81" t="s">
        <v>964</v>
      </c>
      <c r="B74" s="81">
        <v>3</v>
      </c>
      <c r="C74" s="81" t="s">
        <v>205</v>
      </c>
      <c r="D74" s="81" t="s">
        <v>203</v>
      </c>
      <c r="E74" s="81" t="s">
        <v>629</v>
      </c>
      <c r="F74" s="81" t="s">
        <v>138</v>
      </c>
      <c r="G74" s="81" t="s">
        <v>138</v>
      </c>
      <c r="H74" s="81" t="s">
        <v>138</v>
      </c>
      <c r="I74" s="81" t="s">
        <v>1013</v>
      </c>
      <c r="J74" s="81">
        <v>2</v>
      </c>
      <c r="K74" s="81">
        <v>2</v>
      </c>
      <c r="L74" s="81" t="s">
        <v>202</v>
      </c>
      <c r="M74" s="81" t="s">
        <v>1011</v>
      </c>
      <c r="N74" s="81">
        <v>1</v>
      </c>
    </row>
    <row r="75" ht="26" spans="1:14">
      <c r="A75" s="81" t="s">
        <v>982</v>
      </c>
      <c r="B75" s="81">
        <v>3</v>
      </c>
      <c r="C75" s="81" t="s">
        <v>205</v>
      </c>
      <c r="D75" s="81" t="s">
        <v>205</v>
      </c>
      <c r="E75" s="81" t="s">
        <v>552</v>
      </c>
      <c r="F75" s="81" t="s">
        <v>138</v>
      </c>
      <c r="G75" s="81" t="s">
        <v>138</v>
      </c>
      <c r="H75" s="81" t="s">
        <v>138</v>
      </c>
      <c r="I75" s="81" t="s">
        <v>1013</v>
      </c>
      <c r="J75" s="81">
        <v>2</v>
      </c>
      <c r="K75" s="81">
        <v>2</v>
      </c>
      <c r="L75" s="81" t="s">
        <v>202</v>
      </c>
      <c r="M75" s="81" t="s">
        <v>1011</v>
      </c>
      <c r="N75" s="81">
        <v>1</v>
      </c>
    </row>
    <row r="76" spans="1:14">
      <c r="A76" s="81" t="s">
        <v>907</v>
      </c>
      <c r="B76" s="81">
        <v>2</v>
      </c>
      <c r="C76" s="81" t="s">
        <v>77</v>
      </c>
      <c r="D76" s="81" t="s">
        <v>201</v>
      </c>
      <c r="E76" s="81" t="s">
        <v>435</v>
      </c>
      <c r="F76" s="81" t="s">
        <v>456</v>
      </c>
      <c r="G76" s="81" t="s">
        <v>260</v>
      </c>
      <c r="H76" s="81" t="s">
        <v>366</v>
      </c>
      <c r="I76" s="81" t="s">
        <v>1014</v>
      </c>
      <c r="J76" s="81">
        <v>1</v>
      </c>
      <c r="K76" s="81">
        <v>4</v>
      </c>
      <c r="L76" s="81" t="s">
        <v>202</v>
      </c>
      <c r="M76" s="81" t="s">
        <v>1006</v>
      </c>
      <c r="N76" s="81">
        <v>1</v>
      </c>
    </row>
    <row r="77" ht="26" spans="1:14">
      <c r="A77" s="81" t="s">
        <v>928</v>
      </c>
      <c r="B77" s="81">
        <v>2</v>
      </c>
      <c r="C77" s="81" t="s">
        <v>77</v>
      </c>
      <c r="D77" s="81" t="s">
        <v>203</v>
      </c>
      <c r="E77" s="81" t="s">
        <v>392</v>
      </c>
      <c r="F77" s="81" t="s">
        <v>339</v>
      </c>
      <c r="G77" s="81" t="s">
        <v>340</v>
      </c>
      <c r="H77" s="81" t="s">
        <v>138</v>
      </c>
      <c r="I77" s="81" t="s">
        <v>1004</v>
      </c>
      <c r="J77" s="81">
        <v>2</v>
      </c>
      <c r="K77" s="81">
        <v>2</v>
      </c>
      <c r="L77" s="81" t="s">
        <v>202</v>
      </c>
      <c r="M77" s="81" t="s">
        <v>1008</v>
      </c>
      <c r="N77" s="81">
        <v>1</v>
      </c>
    </row>
    <row r="78" spans="1:14">
      <c r="A78" s="81" t="s">
        <v>955</v>
      </c>
      <c r="B78" s="81">
        <v>2</v>
      </c>
      <c r="C78" s="81" t="s">
        <v>205</v>
      </c>
      <c r="D78" s="81" t="s">
        <v>203</v>
      </c>
      <c r="E78" s="81" t="s">
        <v>802</v>
      </c>
      <c r="F78" s="81" t="s">
        <v>138</v>
      </c>
      <c r="G78" s="81" t="s">
        <v>138</v>
      </c>
      <c r="H78" s="81" t="s">
        <v>138</v>
      </c>
      <c r="I78" s="81" t="s">
        <v>1002</v>
      </c>
      <c r="J78" s="81">
        <v>2</v>
      </c>
      <c r="K78" s="81">
        <v>2</v>
      </c>
      <c r="L78" s="81" t="s">
        <v>202</v>
      </c>
      <c r="M78" s="81" t="s">
        <v>1011</v>
      </c>
      <c r="N78" s="81">
        <v>1</v>
      </c>
    </row>
    <row r="79" spans="1:14">
      <c r="A79" s="81" t="s">
        <v>963</v>
      </c>
      <c r="B79" s="81">
        <v>2</v>
      </c>
      <c r="C79" s="81" t="s">
        <v>205</v>
      </c>
      <c r="D79" s="81" t="s">
        <v>203</v>
      </c>
      <c r="E79" s="81" t="s">
        <v>629</v>
      </c>
      <c r="F79" s="81" t="s">
        <v>138</v>
      </c>
      <c r="G79" s="81" t="s">
        <v>138</v>
      </c>
      <c r="H79" s="81" t="s">
        <v>138</v>
      </c>
      <c r="I79" s="81" t="s">
        <v>1002</v>
      </c>
      <c r="J79" s="81">
        <v>2</v>
      </c>
      <c r="K79" s="81">
        <v>2</v>
      </c>
      <c r="L79" s="81" t="s">
        <v>202</v>
      </c>
      <c r="M79" s="81" t="s">
        <v>1011</v>
      </c>
      <c r="N79" s="81">
        <v>1</v>
      </c>
    </row>
    <row r="80" ht="26" spans="1:14">
      <c r="A80" s="81" t="s">
        <v>969</v>
      </c>
      <c r="B80" s="81">
        <v>2</v>
      </c>
      <c r="C80" s="81" t="s">
        <v>205</v>
      </c>
      <c r="D80" s="81" t="s">
        <v>203</v>
      </c>
      <c r="E80" s="81" t="s">
        <v>692</v>
      </c>
      <c r="F80" s="81" t="s">
        <v>138</v>
      </c>
      <c r="G80" s="81" t="s">
        <v>138</v>
      </c>
      <c r="H80" s="81" t="s">
        <v>138</v>
      </c>
      <c r="I80" s="81" t="s">
        <v>1013</v>
      </c>
      <c r="J80" s="81">
        <v>2</v>
      </c>
      <c r="K80" s="81">
        <v>2</v>
      </c>
      <c r="L80" s="81" t="s">
        <v>202</v>
      </c>
      <c r="M80" s="81" t="s">
        <v>1011</v>
      </c>
      <c r="N80" s="81">
        <v>1</v>
      </c>
    </row>
    <row r="81" ht="26" spans="1:14">
      <c r="A81" s="81" t="s">
        <v>972</v>
      </c>
      <c r="B81" s="81">
        <v>2</v>
      </c>
      <c r="C81" s="81" t="s">
        <v>205</v>
      </c>
      <c r="D81" s="81" t="s">
        <v>203</v>
      </c>
      <c r="E81" s="81" t="s">
        <v>697</v>
      </c>
      <c r="F81" s="81" t="s">
        <v>138</v>
      </c>
      <c r="G81" s="81" t="s">
        <v>138</v>
      </c>
      <c r="H81" s="81" t="s">
        <v>138</v>
      </c>
      <c r="I81" s="81" t="s">
        <v>1013</v>
      </c>
      <c r="J81" s="81">
        <v>2</v>
      </c>
      <c r="K81" s="81">
        <v>2</v>
      </c>
      <c r="L81" s="81" t="s">
        <v>202</v>
      </c>
      <c r="M81" s="81" t="s">
        <v>1011</v>
      </c>
      <c r="N81" s="81">
        <v>1</v>
      </c>
    </row>
    <row r="82" ht="26" spans="1:14">
      <c r="A82" s="81" t="s">
        <v>979</v>
      </c>
      <c r="B82" s="81">
        <v>2</v>
      </c>
      <c r="C82" s="81" t="s">
        <v>205</v>
      </c>
      <c r="D82" s="81" t="s">
        <v>203</v>
      </c>
      <c r="E82" s="81" t="s">
        <v>858</v>
      </c>
      <c r="F82" s="81" t="s">
        <v>138</v>
      </c>
      <c r="G82" s="81" t="s">
        <v>138</v>
      </c>
      <c r="H82" s="81" t="s">
        <v>138</v>
      </c>
      <c r="I82" s="81" t="s">
        <v>1013</v>
      </c>
      <c r="J82" s="81">
        <v>2</v>
      </c>
      <c r="K82" s="81">
        <v>2</v>
      </c>
      <c r="L82" s="81" t="s">
        <v>202</v>
      </c>
      <c r="M82" s="81" t="s">
        <v>1011</v>
      </c>
      <c r="N82" s="81">
        <v>1</v>
      </c>
    </row>
    <row r="83" spans="1:14">
      <c r="A83" s="81" t="s">
        <v>980</v>
      </c>
      <c r="B83" s="81">
        <v>2</v>
      </c>
      <c r="C83" s="81" t="s">
        <v>205</v>
      </c>
      <c r="D83" s="81" t="s">
        <v>203</v>
      </c>
      <c r="E83" s="81" t="s">
        <v>858</v>
      </c>
      <c r="F83" s="81" t="s">
        <v>138</v>
      </c>
      <c r="G83" s="81" t="s">
        <v>138</v>
      </c>
      <c r="H83" s="81" t="s">
        <v>138</v>
      </c>
      <c r="I83" s="81" t="s">
        <v>1002</v>
      </c>
      <c r="J83" s="81">
        <v>2</v>
      </c>
      <c r="K83" s="81">
        <v>2</v>
      </c>
      <c r="L83" s="81" t="s">
        <v>202</v>
      </c>
      <c r="M83" s="81" t="s">
        <v>1011</v>
      </c>
      <c r="N83" s="81">
        <v>1</v>
      </c>
    </row>
    <row r="84" spans="1:14">
      <c r="A84" s="81" t="s">
        <v>911</v>
      </c>
      <c r="B84" s="81">
        <v>1</v>
      </c>
      <c r="C84" s="81" t="s">
        <v>77</v>
      </c>
      <c r="D84" s="81" t="s">
        <v>201</v>
      </c>
      <c r="E84" s="81" t="s">
        <v>488</v>
      </c>
      <c r="F84" s="81" t="s">
        <v>456</v>
      </c>
      <c r="G84" s="81" t="s">
        <v>260</v>
      </c>
      <c r="H84" s="81" t="s">
        <v>366</v>
      </c>
      <c r="I84" s="81" t="s">
        <v>1014</v>
      </c>
      <c r="J84" s="81">
        <v>1</v>
      </c>
      <c r="K84" s="81">
        <v>4</v>
      </c>
      <c r="L84" s="81" t="s">
        <v>202</v>
      </c>
      <c r="M84" s="81" t="s">
        <v>1006</v>
      </c>
      <c r="N84" s="81">
        <v>1</v>
      </c>
    </row>
    <row r="85" ht="26" spans="1:14">
      <c r="A85" s="81" t="s">
        <v>927</v>
      </c>
      <c r="B85" s="81">
        <v>1</v>
      </c>
      <c r="C85" s="81" t="s">
        <v>77</v>
      </c>
      <c r="D85" s="81" t="s">
        <v>203</v>
      </c>
      <c r="E85" s="81" t="s">
        <v>392</v>
      </c>
      <c r="F85" s="81" t="s">
        <v>339</v>
      </c>
      <c r="G85" s="81" t="s">
        <v>340</v>
      </c>
      <c r="H85" s="81" t="s">
        <v>366</v>
      </c>
      <c r="I85" s="81" t="s">
        <v>1004</v>
      </c>
      <c r="J85" s="81">
        <v>2</v>
      </c>
      <c r="K85" s="81">
        <v>2</v>
      </c>
      <c r="L85" s="81" t="s">
        <v>202</v>
      </c>
      <c r="M85" s="81" t="s">
        <v>1008</v>
      </c>
      <c r="N85" s="81">
        <v>1</v>
      </c>
    </row>
    <row r="86" spans="1:14">
      <c r="A86" s="81" t="s">
        <v>935</v>
      </c>
      <c r="B86" s="81">
        <v>1</v>
      </c>
      <c r="C86" s="81" t="s">
        <v>77</v>
      </c>
      <c r="D86" s="81" t="s">
        <v>203</v>
      </c>
      <c r="E86" s="81" t="s">
        <v>711</v>
      </c>
      <c r="F86" s="81" t="s">
        <v>138</v>
      </c>
      <c r="G86" s="81"/>
      <c r="H86" s="81" t="s">
        <v>366</v>
      </c>
      <c r="I86" s="81" t="s">
        <v>1002</v>
      </c>
      <c r="J86" s="81">
        <v>2</v>
      </c>
      <c r="K86" s="81">
        <v>2</v>
      </c>
      <c r="L86" s="81" t="s">
        <v>202</v>
      </c>
      <c r="M86" s="81" t="s">
        <v>1006</v>
      </c>
      <c r="N86" s="81">
        <v>1</v>
      </c>
    </row>
    <row r="87" spans="1:14">
      <c r="A87" s="81" t="s">
        <v>940</v>
      </c>
      <c r="B87" s="81">
        <v>1</v>
      </c>
      <c r="C87" s="81" t="s">
        <v>77</v>
      </c>
      <c r="D87" s="81" t="s">
        <v>203</v>
      </c>
      <c r="E87" s="81" t="s">
        <v>392</v>
      </c>
      <c r="F87" s="81" t="s">
        <v>138</v>
      </c>
      <c r="G87" s="81"/>
      <c r="H87" s="81" t="s">
        <v>632</v>
      </c>
      <c r="I87" s="81" t="s">
        <v>1002</v>
      </c>
      <c r="J87" s="81">
        <v>2</v>
      </c>
      <c r="K87" s="81">
        <v>2</v>
      </c>
      <c r="L87" s="81" t="s">
        <v>202</v>
      </c>
      <c r="M87" s="81" t="s">
        <v>1006</v>
      </c>
      <c r="N87" s="81">
        <v>1</v>
      </c>
    </row>
    <row r="88" spans="1:14">
      <c r="A88" s="81" t="s">
        <v>941</v>
      </c>
      <c r="B88" s="81">
        <v>1</v>
      </c>
      <c r="C88" s="81" t="s">
        <v>77</v>
      </c>
      <c r="D88" s="81" t="s">
        <v>203</v>
      </c>
      <c r="E88" s="81" t="s">
        <v>629</v>
      </c>
      <c r="F88" s="81" t="s">
        <v>138</v>
      </c>
      <c r="G88" s="81"/>
      <c r="H88" s="81" t="s">
        <v>632</v>
      </c>
      <c r="I88" s="81" t="s">
        <v>1002</v>
      </c>
      <c r="J88" s="81">
        <v>2</v>
      </c>
      <c r="K88" s="81">
        <v>2</v>
      </c>
      <c r="L88" s="81" t="s">
        <v>202</v>
      </c>
      <c r="M88" s="81" t="s">
        <v>1006</v>
      </c>
      <c r="N88" s="81">
        <v>1</v>
      </c>
    </row>
    <row r="89" ht="26" spans="1:14">
      <c r="A89" s="81" t="s">
        <v>951</v>
      </c>
      <c r="B89" s="81">
        <v>1</v>
      </c>
      <c r="C89" s="81" t="s">
        <v>205</v>
      </c>
      <c r="D89" s="81" t="s">
        <v>205</v>
      </c>
      <c r="E89" s="81" t="s">
        <v>730</v>
      </c>
      <c r="F89" s="81" t="s">
        <v>138</v>
      </c>
      <c r="G89" s="81" t="s">
        <v>138</v>
      </c>
      <c r="H89" s="81" t="s">
        <v>117</v>
      </c>
      <c r="I89" s="81" t="s">
        <v>1013</v>
      </c>
      <c r="J89" s="81">
        <v>2</v>
      </c>
      <c r="K89" s="81">
        <v>2</v>
      </c>
      <c r="L89" s="81" t="s">
        <v>202</v>
      </c>
      <c r="M89" s="81" t="s">
        <v>1011</v>
      </c>
      <c r="N89" s="81">
        <v>1</v>
      </c>
    </row>
    <row r="90" ht="26" spans="1:14">
      <c r="A90" s="81" t="s">
        <v>968</v>
      </c>
      <c r="B90" s="81">
        <v>1</v>
      </c>
      <c r="C90" s="81" t="s">
        <v>205</v>
      </c>
      <c r="D90" s="81" t="s">
        <v>203</v>
      </c>
      <c r="E90" s="81" t="s">
        <v>724</v>
      </c>
      <c r="F90" s="81" t="s">
        <v>138</v>
      </c>
      <c r="G90" s="81" t="s">
        <v>138</v>
      </c>
      <c r="H90" s="81" t="s">
        <v>138</v>
      </c>
      <c r="I90" s="81" t="s">
        <v>1013</v>
      </c>
      <c r="J90" s="81">
        <v>2</v>
      </c>
      <c r="K90" s="81">
        <v>2</v>
      </c>
      <c r="L90" s="81" t="s">
        <v>202</v>
      </c>
      <c r="M90" s="81" t="s">
        <v>1011</v>
      </c>
      <c r="N90" s="81">
        <v>1</v>
      </c>
    </row>
    <row r="91" spans="1:14">
      <c r="A91" s="81" t="s">
        <v>971</v>
      </c>
      <c r="B91" s="81">
        <v>1</v>
      </c>
      <c r="C91" s="81" t="s">
        <v>205</v>
      </c>
      <c r="D91" s="81" t="s">
        <v>203</v>
      </c>
      <c r="E91" s="81" t="s">
        <v>697</v>
      </c>
      <c r="F91" s="81" t="s">
        <v>138</v>
      </c>
      <c r="G91" s="81" t="s">
        <v>138</v>
      </c>
      <c r="H91" s="81" t="s">
        <v>138</v>
      </c>
      <c r="I91" s="81" t="s">
        <v>1002</v>
      </c>
      <c r="J91" s="81">
        <v>2</v>
      </c>
      <c r="K91" s="81">
        <v>2</v>
      </c>
      <c r="L91" s="81" t="s">
        <v>202</v>
      </c>
      <c r="M91" s="81" t="s">
        <v>1011</v>
      </c>
      <c r="N91" s="81">
        <v>1</v>
      </c>
    </row>
    <row r="92" spans="1:14">
      <c r="A92" s="81" t="s">
        <v>974</v>
      </c>
      <c r="B92" s="81">
        <v>1</v>
      </c>
      <c r="C92" s="81" t="s">
        <v>205</v>
      </c>
      <c r="D92" s="81" t="s">
        <v>203</v>
      </c>
      <c r="E92" s="81" t="s">
        <v>392</v>
      </c>
      <c r="F92" s="81" t="s">
        <v>138</v>
      </c>
      <c r="G92" s="81" t="s">
        <v>138</v>
      </c>
      <c r="H92" s="81" t="s">
        <v>138</v>
      </c>
      <c r="I92" s="81" t="s">
        <v>1002</v>
      </c>
      <c r="J92" s="81">
        <v>2</v>
      </c>
      <c r="K92" s="81">
        <v>2</v>
      </c>
      <c r="L92" s="81" t="s">
        <v>202</v>
      </c>
      <c r="M92" s="81" t="s">
        <v>1011</v>
      </c>
      <c r="N92" s="81">
        <v>1</v>
      </c>
    </row>
    <row r="93" ht="26" spans="1:14">
      <c r="A93" s="81" t="s">
        <v>975</v>
      </c>
      <c r="B93" s="81">
        <v>1</v>
      </c>
      <c r="C93" s="81" t="s">
        <v>205</v>
      </c>
      <c r="D93" s="81" t="s">
        <v>203</v>
      </c>
      <c r="E93" s="81" t="s">
        <v>392</v>
      </c>
      <c r="F93" s="81" t="s">
        <v>138</v>
      </c>
      <c r="G93" s="81" t="s">
        <v>138</v>
      </c>
      <c r="H93" s="81" t="s">
        <v>813</v>
      </c>
      <c r="I93" s="81" t="s">
        <v>1013</v>
      </c>
      <c r="J93" s="81">
        <v>2</v>
      </c>
      <c r="K93" s="81">
        <v>2</v>
      </c>
      <c r="L93" s="81" t="s">
        <v>202</v>
      </c>
      <c r="M93" s="81" t="s">
        <v>1011</v>
      </c>
      <c r="N93" s="81">
        <v>1</v>
      </c>
    </row>
    <row r="94" spans="1:14">
      <c r="A94" s="81" t="s">
        <v>976</v>
      </c>
      <c r="B94" s="81">
        <v>1</v>
      </c>
      <c r="C94" s="81" t="s">
        <v>205</v>
      </c>
      <c r="D94" s="81" t="s">
        <v>203</v>
      </c>
      <c r="E94" s="81" t="s">
        <v>711</v>
      </c>
      <c r="F94" s="81" t="s">
        <v>138</v>
      </c>
      <c r="G94" s="81" t="s">
        <v>138</v>
      </c>
      <c r="H94" s="81" t="s">
        <v>138</v>
      </c>
      <c r="I94" s="81" t="s">
        <v>1002</v>
      </c>
      <c r="J94" s="81">
        <v>2</v>
      </c>
      <c r="K94" s="81">
        <v>2</v>
      </c>
      <c r="L94" s="81" t="s">
        <v>202</v>
      </c>
      <c r="M94" s="81" t="s">
        <v>1011</v>
      </c>
      <c r="N94" s="81">
        <v>1</v>
      </c>
    </row>
    <row r="95" ht="26" spans="1:14">
      <c r="A95" s="81" t="s">
        <v>977</v>
      </c>
      <c r="B95" s="81">
        <v>1</v>
      </c>
      <c r="C95" s="81" t="s">
        <v>205</v>
      </c>
      <c r="D95" s="81" t="s">
        <v>203</v>
      </c>
      <c r="E95" s="81" t="s">
        <v>711</v>
      </c>
      <c r="F95" s="81" t="s">
        <v>138</v>
      </c>
      <c r="G95" s="81" t="s">
        <v>138</v>
      </c>
      <c r="H95" s="81" t="s">
        <v>366</v>
      </c>
      <c r="I95" s="81" t="s">
        <v>1013</v>
      </c>
      <c r="J95" s="81">
        <v>2</v>
      </c>
      <c r="K95" s="81">
        <v>2</v>
      </c>
      <c r="L95" s="81" t="s">
        <v>202</v>
      </c>
      <c r="M95" s="81" t="s">
        <v>1011</v>
      </c>
      <c r="N95" s="81">
        <v>1</v>
      </c>
    </row>
    <row r="96" spans="1:14">
      <c r="A96" s="81" t="s">
        <v>930</v>
      </c>
      <c r="B96" s="81">
        <v>46</v>
      </c>
      <c r="C96" s="81" t="s">
        <v>77</v>
      </c>
      <c r="D96" s="81" t="s">
        <v>203</v>
      </c>
      <c r="E96" s="81" t="s">
        <v>641</v>
      </c>
      <c r="F96" s="81" t="s">
        <v>456</v>
      </c>
      <c r="G96" s="81" t="s">
        <v>260</v>
      </c>
      <c r="H96" s="81" t="s">
        <v>632</v>
      </c>
      <c r="I96" s="81" t="s">
        <v>1014</v>
      </c>
      <c r="J96" s="81">
        <v>1</v>
      </c>
      <c r="K96" s="81">
        <v>2</v>
      </c>
      <c r="L96" s="81" t="s">
        <v>204</v>
      </c>
      <c r="M96" s="81" t="s">
        <v>1006</v>
      </c>
      <c r="N96" s="81">
        <v>3</v>
      </c>
    </row>
    <row r="97" spans="1:14">
      <c r="A97" s="81" t="s">
        <v>929</v>
      </c>
      <c r="B97" s="81">
        <v>9</v>
      </c>
      <c r="C97" s="81" t="s">
        <v>77</v>
      </c>
      <c r="D97" s="81" t="s">
        <v>203</v>
      </c>
      <c r="E97" s="81" t="s">
        <v>629</v>
      </c>
      <c r="F97" s="81" t="s">
        <v>456</v>
      </c>
      <c r="G97" s="81" t="s">
        <v>260</v>
      </c>
      <c r="H97" s="81" t="s">
        <v>632</v>
      </c>
      <c r="I97" s="81" t="s">
        <v>1014</v>
      </c>
      <c r="J97" s="81">
        <v>1</v>
      </c>
      <c r="K97" s="81">
        <v>2</v>
      </c>
      <c r="L97" s="81" t="s">
        <v>204</v>
      </c>
      <c r="M97" s="81" t="s">
        <v>1006</v>
      </c>
      <c r="N97" s="81">
        <v>3</v>
      </c>
    </row>
    <row r="98" spans="1:14">
      <c r="A98" s="81" t="s">
        <v>915</v>
      </c>
      <c r="B98" s="81">
        <v>1</v>
      </c>
      <c r="C98" s="81" t="s">
        <v>77</v>
      </c>
      <c r="D98" s="81" t="s">
        <v>203</v>
      </c>
      <c r="E98" s="81" t="s">
        <v>362</v>
      </c>
      <c r="F98" s="81" t="s">
        <v>522</v>
      </c>
      <c r="G98" s="81" t="s">
        <v>260</v>
      </c>
      <c r="H98" s="81" t="s">
        <v>366</v>
      </c>
      <c r="I98" s="81" t="s">
        <v>1014</v>
      </c>
      <c r="J98" s="81">
        <v>1</v>
      </c>
      <c r="K98" s="81">
        <v>3</v>
      </c>
      <c r="L98" s="81" t="s">
        <v>204</v>
      </c>
      <c r="M98" s="81" t="s">
        <v>1006</v>
      </c>
      <c r="N98" s="81">
        <v>3</v>
      </c>
    </row>
    <row r="99" spans="1:14">
      <c r="A99" s="81" t="s">
        <v>916</v>
      </c>
      <c r="B99" s="81">
        <v>1</v>
      </c>
      <c r="C99" s="81" t="s">
        <v>77</v>
      </c>
      <c r="D99" s="81" t="s">
        <v>203</v>
      </c>
      <c r="E99" s="81" t="s">
        <v>362</v>
      </c>
      <c r="F99" s="81" t="s">
        <v>522</v>
      </c>
      <c r="G99" s="81" t="s">
        <v>260</v>
      </c>
      <c r="H99" s="81" t="s">
        <v>366</v>
      </c>
      <c r="I99" s="81" t="s">
        <v>1014</v>
      </c>
      <c r="J99" s="81">
        <v>1</v>
      </c>
      <c r="K99" s="81">
        <v>3</v>
      </c>
      <c r="L99" s="81" t="s">
        <v>204</v>
      </c>
      <c r="M99" s="81" t="s">
        <v>1006</v>
      </c>
      <c r="N99" s="81">
        <v>3</v>
      </c>
    </row>
    <row r="100" spans="1:14">
      <c r="A100" s="81" t="s">
        <v>931</v>
      </c>
      <c r="B100" s="81">
        <v>1</v>
      </c>
      <c r="C100" s="81" t="s">
        <v>77</v>
      </c>
      <c r="D100" s="81" t="s">
        <v>203</v>
      </c>
      <c r="E100" s="81" t="s">
        <v>392</v>
      </c>
      <c r="F100" s="81" t="s">
        <v>456</v>
      </c>
      <c r="G100" s="81" t="s">
        <v>260</v>
      </c>
      <c r="H100" s="81" t="s">
        <v>632</v>
      </c>
      <c r="I100" s="81" t="s">
        <v>1014</v>
      </c>
      <c r="J100" s="81">
        <v>1</v>
      </c>
      <c r="K100" s="81">
        <v>2</v>
      </c>
      <c r="L100" s="81" t="s">
        <v>204</v>
      </c>
      <c r="M100" s="81" t="s">
        <v>1006</v>
      </c>
      <c r="N100" s="81">
        <v>3</v>
      </c>
    </row>
    <row r="101" spans="1:14">
      <c r="A101" s="81" t="s">
        <v>939</v>
      </c>
      <c r="B101" s="81">
        <v>1</v>
      </c>
      <c r="C101" s="81" t="s">
        <v>77</v>
      </c>
      <c r="D101" s="81" t="s">
        <v>399</v>
      </c>
      <c r="E101" s="81" t="s">
        <v>730</v>
      </c>
      <c r="F101" s="81" t="s">
        <v>522</v>
      </c>
      <c r="G101" s="81" t="s">
        <v>260</v>
      </c>
      <c r="H101" s="81" t="s">
        <v>117</v>
      </c>
      <c r="I101" s="81" t="s">
        <v>1014</v>
      </c>
      <c r="J101" s="81">
        <v>1</v>
      </c>
      <c r="K101" s="81">
        <v>2</v>
      </c>
      <c r="L101" s="81" t="s">
        <v>204</v>
      </c>
      <c r="M101" s="81" t="s">
        <v>1006</v>
      </c>
      <c r="N101" s="81">
        <v>3</v>
      </c>
    </row>
  </sheetData>
  <mergeCells count="1">
    <mergeCell ref="A1:N1"/>
  </mergeCells>
  <conditionalFormatting sqref="L4:L101">
    <cfRule type="expression" dxfId="12" priority="1">
      <formula>$L4="Extreme High"</formula>
    </cfRule>
    <cfRule type="expression" dxfId="13" priority="2">
      <formula>$L4="High"</formula>
    </cfRule>
    <cfRule type="expression" dxfId="8" priority="3">
      <formula>$L4="Medium"</formula>
    </cfRule>
    <cfRule type="expression" dxfId="6" priority="4">
      <formula>$L4="Low"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showGridLines="0" workbookViewId="0">
      <selection activeCell="A1" sqref="A1:L1"/>
    </sheetView>
  </sheetViews>
  <sheetFormatPr defaultColWidth="9" defaultRowHeight="14.5"/>
  <cols>
    <col min="1" max="1" width="44" customWidth="1"/>
    <col min="2" max="2" width="13" customWidth="1"/>
    <col min="3" max="3" width="18" customWidth="1"/>
    <col min="4" max="4" width="10" customWidth="1"/>
    <col min="5" max="5" width="14" customWidth="1"/>
    <col min="6" max="7" width="44" customWidth="1"/>
    <col min="8" max="8" width="31" customWidth="1"/>
    <col min="9" max="9" width="44" customWidth="1"/>
    <col min="10" max="12" width="10" customWidth="1"/>
  </cols>
  <sheetData>
    <row r="1" ht="21" spans="1:12">
      <c r="A1" s="78" t="s">
        <v>1015</v>
      </c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>
      <c r="A3" s="80" t="s">
        <v>74</v>
      </c>
      <c r="B3" s="80" t="s">
        <v>84</v>
      </c>
      <c r="C3" s="80" t="s">
        <v>209</v>
      </c>
      <c r="D3" s="80" t="s">
        <v>108</v>
      </c>
      <c r="E3" s="80" t="s">
        <v>116</v>
      </c>
      <c r="F3" s="80" t="s">
        <v>1016</v>
      </c>
      <c r="G3" s="80" t="s">
        <v>1017</v>
      </c>
      <c r="H3" s="80" t="s">
        <v>1018</v>
      </c>
      <c r="I3" s="80" t="s">
        <v>1019</v>
      </c>
      <c r="J3" s="79"/>
      <c r="K3" s="79"/>
      <c r="L3" s="79"/>
    </row>
    <row r="4" ht="26" spans="1:12">
      <c r="A4" s="81" t="s">
        <v>883</v>
      </c>
      <c r="B4" s="81" t="s">
        <v>85</v>
      </c>
      <c r="C4" s="81" t="s">
        <v>101</v>
      </c>
      <c r="D4" s="81" t="s">
        <v>109</v>
      </c>
      <c r="E4" s="81" t="s">
        <v>117</v>
      </c>
      <c r="F4" s="81" t="s">
        <v>1000</v>
      </c>
      <c r="G4" s="81" t="s">
        <v>1020</v>
      </c>
      <c r="H4" s="81" t="s">
        <v>1021</v>
      </c>
      <c r="I4" s="81" t="s">
        <v>1022</v>
      </c>
      <c r="J4" s="79"/>
      <c r="K4" s="79"/>
      <c r="L4" s="79"/>
    </row>
    <row r="5" ht="26" spans="1:12">
      <c r="A5" s="81" t="s">
        <v>953</v>
      </c>
      <c r="B5" s="81" t="s">
        <v>201</v>
      </c>
      <c r="C5" s="81" t="s">
        <v>138</v>
      </c>
      <c r="D5" s="81" t="s">
        <v>138</v>
      </c>
      <c r="E5" s="81" t="s">
        <v>366</v>
      </c>
      <c r="F5" s="81" t="s">
        <v>1002</v>
      </c>
      <c r="G5" s="81" t="s">
        <v>1020</v>
      </c>
      <c r="H5" s="81" t="s">
        <v>1021</v>
      </c>
      <c r="I5" s="81" t="s">
        <v>1022</v>
      </c>
      <c r="J5" s="79"/>
      <c r="K5" s="79"/>
      <c r="L5" s="79"/>
    </row>
    <row r="6" ht="26" spans="1:12">
      <c r="A6" s="81" t="s">
        <v>913</v>
      </c>
      <c r="B6" s="81" t="s">
        <v>85</v>
      </c>
      <c r="C6" s="81" t="s">
        <v>339</v>
      </c>
      <c r="D6" s="81" t="s">
        <v>340</v>
      </c>
      <c r="E6" s="81" t="s">
        <v>117</v>
      </c>
      <c r="F6" s="81" t="s">
        <v>1004</v>
      </c>
      <c r="G6" s="81" t="s">
        <v>1020</v>
      </c>
      <c r="H6" s="81" t="s">
        <v>1021</v>
      </c>
      <c r="I6" s="81" t="s">
        <v>1022</v>
      </c>
      <c r="J6" s="79"/>
      <c r="K6" s="79"/>
      <c r="L6" s="79"/>
    </row>
    <row r="7" ht="26" spans="1:12">
      <c r="A7" s="81" t="s">
        <v>901</v>
      </c>
      <c r="B7" s="81" t="s">
        <v>201</v>
      </c>
      <c r="C7" s="81" t="s">
        <v>415</v>
      </c>
      <c r="D7" s="81" t="s">
        <v>340</v>
      </c>
      <c r="E7" s="81" t="s">
        <v>117</v>
      </c>
      <c r="F7" s="81" t="s">
        <v>1004</v>
      </c>
      <c r="G7" s="81" t="s">
        <v>1020</v>
      </c>
      <c r="H7" s="81" t="s">
        <v>1021</v>
      </c>
      <c r="I7" s="81" t="s">
        <v>1022</v>
      </c>
      <c r="J7" s="79"/>
      <c r="K7" s="79"/>
      <c r="L7" s="79"/>
    </row>
    <row r="8" ht="26" spans="1:12">
      <c r="A8" s="81" t="s">
        <v>944</v>
      </c>
      <c r="B8" s="81" t="s">
        <v>85</v>
      </c>
      <c r="C8" s="81" t="s">
        <v>138</v>
      </c>
      <c r="D8" s="81" t="s">
        <v>138</v>
      </c>
      <c r="E8" s="81" t="s">
        <v>366</v>
      </c>
      <c r="F8" s="81" t="s">
        <v>1002</v>
      </c>
      <c r="G8" s="81" t="s">
        <v>1020</v>
      </c>
      <c r="H8" s="81" t="s">
        <v>1021</v>
      </c>
      <c r="I8" s="81" t="s">
        <v>1022</v>
      </c>
      <c r="J8" s="79"/>
      <c r="K8" s="79"/>
      <c r="L8" s="79"/>
    </row>
    <row r="9" ht="26" spans="1:12">
      <c r="A9" s="81" t="s">
        <v>885</v>
      </c>
      <c r="B9" s="81" t="s">
        <v>85</v>
      </c>
      <c r="C9" s="81" t="s">
        <v>101</v>
      </c>
      <c r="D9" s="81" t="s">
        <v>260</v>
      </c>
      <c r="E9" s="81" t="s">
        <v>117</v>
      </c>
      <c r="F9" s="81" t="s">
        <v>1005</v>
      </c>
      <c r="G9" s="81" t="s">
        <v>1020</v>
      </c>
      <c r="H9" s="81" t="s">
        <v>1021</v>
      </c>
      <c r="I9" s="81" t="s">
        <v>1022</v>
      </c>
      <c r="J9" s="79"/>
      <c r="K9" s="79"/>
      <c r="L9" s="79"/>
    </row>
    <row r="10" ht="26" spans="1:12">
      <c r="A10" s="81" t="s">
        <v>905</v>
      </c>
      <c r="B10" s="81" t="s">
        <v>203</v>
      </c>
      <c r="C10" s="81" t="s">
        <v>368</v>
      </c>
      <c r="D10" s="81" t="s">
        <v>340</v>
      </c>
      <c r="E10" s="81" t="s">
        <v>138</v>
      </c>
      <c r="F10" s="81" t="s">
        <v>1007</v>
      </c>
      <c r="G10" s="81" t="s">
        <v>1020</v>
      </c>
      <c r="H10" s="81" t="s">
        <v>1021</v>
      </c>
      <c r="I10" s="81" t="s">
        <v>1022</v>
      </c>
      <c r="J10" s="79"/>
      <c r="K10" s="79"/>
      <c r="L10" s="79"/>
    </row>
    <row r="11" ht="26" spans="1:12">
      <c r="A11" s="81" t="s">
        <v>903</v>
      </c>
      <c r="B11" s="81" t="s">
        <v>201</v>
      </c>
      <c r="C11" s="81" t="s">
        <v>436</v>
      </c>
      <c r="D11" s="81" t="s">
        <v>260</v>
      </c>
      <c r="E11" s="81" t="s">
        <v>366</v>
      </c>
      <c r="F11" s="81" t="s">
        <v>1009</v>
      </c>
      <c r="G11" s="81" t="s">
        <v>1020</v>
      </c>
      <c r="H11" s="81" t="s">
        <v>1021</v>
      </c>
      <c r="I11" s="81" t="s">
        <v>1022</v>
      </c>
      <c r="J11" s="79"/>
      <c r="K11" s="79"/>
      <c r="L11" s="79"/>
    </row>
    <row r="12" ht="26" spans="1:12">
      <c r="A12" s="81" t="s">
        <v>891</v>
      </c>
      <c r="B12" s="81" t="s">
        <v>203</v>
      </c>
      <c r="C12" s="81" t="s">
        <v>368</v>
      </c>
      <c r="D12" s="81" t="s">
        <v>340</v>
      </c>
      <c r="E12" s="81" t="s">
        <v>366</v>
      </c>
      <c r="F12" s="81" t="s">
        <v>1007</v>
      </c>
      <c r="G12" s="81" t="s">
        <v>1020</v>
      </c>
      <c r="H12" s="81" t="s">
        <v>1021</v>
      </c>
      <c r="I12" s="81" t="s">
        <v>1022</v>
      </c>
      <c r="J12" s="79"/>
      <c r="K12" s="79"/>
      <c r="L12" s="79"/>
    </row>
    <row r="13" ht="26" spans="1:12">
      <c r="A13" s="81" t="s">
        <v>894</v>
      </c>
      <c r="B13" s="81" t="s">
        <v>203</v>
      </c>
      <c r="C13" s="81" t="s">
        <v>339</v>
      </c>
      <c r="D13" s="81" t="s">
        <v>340</v>
      </c>
      <c r="E13" s="81" t="s">
        <v>117</v>
      </c>
      <c r="F13" s="81" t="s">
        <v>1004</v>
      </c>
      <c r="G13" s="81" t="s">
        <v>1020</v>
      </c>
      <c r="H13" s="81" t="s">
        <v>1021</v>
      </c>
      <c r="I13" s="81" t="s">
        <v>1022</v>
      </c>
      <c r="J13" s="79"/>
      <c r="K13" s="79"/>
      <c r="L13" s="79"/>
    </row>
    <row r="14" ht="26" spans="1:12">
      <c r="A14" s="81" t="s">
        <v>909</v>
      </c>
      <c r="B14" s="81" t="s">
        <v>201</v>
      </c>
      <c r="C14" s="81" t="s">
        <v>368</v>
      </c>
      <c r="D14" s="81" t="s">
        <v>340</v>
      </c>
      <c r="E14" s="81" t="s">
        <v>366</v>
      </c>
      <c r="F14" s="81" t="s">
        <v>1007</v>
      </c>
      <c r="G14" s="81" t="s">
        <v>1020</v>
      </c>
      <c r="H14" s="81" t="s">
        <v>1021</v>
      </c>
      <c r="I14" s="81" t="s">
        <v>1022</v>
      </c>
      <c r="J14" s="79"/>
      <c r="K14" s="79"/>
      <c r="L14" s="79"/>
    </row>
    <row r="15" ht="26" spans="1:12">
      <c r="A15" s="81" t="s">
        <v>926</v>
      </c>
      <c r="B15" s="81" t="s">
        <v>203</v>
      </c>
      <c r="C15" s="81" t="s">
        <v>368</v>
      </c>
      <c r="D15" s="81" t="s">
        <v>340</v>
      </c>
      <c r="E15" s="81" t="s">
        <v>541</v>
      </c>
      <c r="F15" s="81" t="s">
        <v>1010</v>
      </c>
      <c r="G15" s="81" t="s">
        <v>1020</v>
      </c>
      <c r="H15" s="81" t="s">
        <v>1021</v>
      </c>
      <c r="I15" s="81" t="s">
        <v>1022</v>
      </c>
      <c r="J15" s="79"/>
      <c r="K15" s="79"/>
      <c r="L15" s="79"/>
    </row>
    <row r="16" ht="26" spans="1:12">
      <c r="A16" s="81" t="s">
        <v>934</v>
      </c>
      <c r="B16" s="81" t="s">
        <v>203</v>
      </c>
      <c r="C16" s="81" t="s">
        <v>138</v>
      </c>
      <c r="D16" s="81"/>
      <c r="E16" s="81" t="s">
        <v>117</v>
      </c>
      <c r="F16" s="81" t="s">
        <v>1002</v>
      </c>
      <c r="G16" s="81" t="s">
        <v>1020</v>
      </c>
      <c r="H16" s="81" t="s">
        <v>1021</v>
      </c>
      <c r="I16" s="81" t="s">
        <v>1022</v>
      </c>
      <c r="J16" s="79"/>
      <c r="K16" s="79"/>
      <c r="L16" s="79"/>
    </row>
    <row r="17" ht="26" spans="1:12">
      <c r="A17" s="81" t="s">
        <v>917</v>
      </c>
      <c r="B17" s="81" t="s">
        <v>203</v>
      </c>
      <c r="C17" s="81" t="s">
        <v>339</v>
      </c>
      <c r="D17" s="81" t="s">
        <v>340</v>
      </c>
      <c r="E17" s="81" t="s">
        <v>138</v>
      </c>
      <c r="F17" s="81" t="s">
        <v>1004</v>
      </c>
      <c r="G17" s="81" t="s">
        <v>1020</v>
      </c>
      <c r="H17" s="81" t="s">
        <v>1021</v>
      </c>
      <c r="I17" s="81" t="s">
        <v>1022</v>
      </c>
      <c r="J17" s="79"/>
      <c r="K17" s="79"/>
      <c r="L17" s="79"/>
    </row>
    <row r="18" ht="26" spans="1:12">
      <c r="A18" s="81" t="s">
        <v>888</v>
      </c>
      <c r="B18" s="81" t="s">
        <v>85</v>
      </c>
      <c r="C18" s="81" t="s">
        <v>101</v>
      </c>
      <c r="D18" s="81" t="s">
        <v>260</v>
      </c>
      <c r="E18" s="81" t="s">
        <v>117</v>
      </c>
      <c r="F18" s="81" t="s">
        <v>1005</v>
      </c>
      <c r="G18" s="81" t="s">
        <v>1020</v>
      </c>
      <c r="H18" s="81" t="s">
        <v>1021</v>
      </c>
      <c r="I18" s="81" t="s">
        <v>1022</v>
      </c>
      <c r="J18" s="79"/>
      <c r="K18" s="79"/>
      <c r="L18" s="79"/>
    </row>
    <row r="19" ht="26" spans="1:12">
      <c r="A19" s="81" t="s">
        <v>910</v>
      </c>
      <c r="B19" s="81" t="s">
        <v>203</v>
      </c>
      <c r="C19" s="81" t="s">
        <v>368</v>
      </c>
      <c r="D19" s="81" t="s">
        <v>340</v>
      </c>
      <c r="E19" s="81" t="s">
        <v>138</v>
      </c>
      <c r="F19" s="81" t="s">
        <v>1007</v>
      </c>
      <c r="G19" s="81" t="s">
        <v>1020</v>
      </c>
      <c r="H19" s="81" t="s">
        <v>1021</v>
      </c>
      <c r="I19" s="81" t="s">
        <v>1022</v>
      </c>
      <c r="J19" s="79"/>
      <c r="K19" s="79"/>
      <c r="L19" s="79"/>
    </row>
    <row r="20" ht="26" spans="1:12">
      <c r="A20" s="81" t="s">
        <v>952</v>
      </c>
      <c r="B20" s="81" t="s">
        <v>201</v>
      </c>
      <c r="C20" s="81" t="s">
        <v>138</v>
      </c>
      <c r="D20" s="81" t="s">
        <v>138</v>
      </c>
      <c r="E20" s="81" t="s">
        <v>138</v>
      </c>
      <c r="F20" s="81" t="s">
        <v>1002</v>
      </c>
      <c r="G20" s="81" t="s">
        <v>1020</v>
      </c>
      <c r="H20" s="81" t="s">
        <v>1021</v>
      </c>
      <c r="I20" s="81" t="s">
        <v>1022</v>
      </c>
      <c r="J20" s="79"/>
      <c r="K20" s="79"/>
      <c r="L20" s="79"/>
    </row>
    <row r="21" ht="26" spans="1:12">
      <c r="A21" s="81" t="s">
        <v>893</v>
      </c>
      <c r="B21" s="81" t="s">
        <v>85</v>
      </c>
      <c r="C21" s="81" t="s">
        <v>339</v>
      </c>
      <c r="D21" s="81" t="s">
        <v>340</v>
      </c>
      <c r="E21" s="81" t="s">
        <v>117</v>
      </c>
      <c r="F21" s="81" t="s">
        <v>1004</v>
      </c>
      <c r="G21" s="81" t="s">
        <v>1020</v>
      </c>
      <c r="H21" s="81" t="s">
        <v>1021</v>
      </c>
      <c r="I21" s="81" t="s">
        <v>1022</v>
      </c>
      <c r="J21" s="79"/>
      <c r="K21" s="79"/>
      <c r="L21" s="79"/>
    </row>
    <row r="22" ht="26" spans="1:12">
      <c r="A22" s="81" t="s">
        <v>922</v>
      </c>
      <c r="B22" s="81" t="s">
        <v>203</v>
      </c>
      <c r="C22" s="81" t="s">
        <v>368</v>
      </c>
      <c r="D22" s="81" t="s">
        <v>340</v>
      </c>
      <c r="E22" s="81" t="s">
        <v>366</v>
      </c>
      <c r="F22" s="81" t="s">
        <v>1007</v>
      </c>
      <c r="G22" s="81" t="s">
        <v>1020</v>
      </c>
      <c r="H22" s="81" t="s">
        <v>1021</v>
      </c>
      <c r="I22" s="81" t="s">
        <v>1022</v>
      </c>
      <c r="J22" s="79"/>
      <c r="K22" s="79"/>
      <c r="L22" s="79"/>
    </row>
    <row r="23" ht="26" spans="1:12">
      <c r="A23" s="81" t="s">
        <v>947</v>
      </c>
      <c r="B23" s="81" t="s">
        <v>201</v>
      </c>
      <c r="C23" s="81" t="s">
        <v>138</v>
      </c>
      <c r="D23" s="81" t="s">
        <v>138</v>
      </c>
      <c r="E23" s="81" t="s">
        <v>138</v>
      </c>
      <c r="F23" s="81" t="s">
        <v>1002</v>
      </c>
      <c r="G23" s="81" t="s">
        <v>1020</v>
      </c>
      <c r="H23" s="81" t="s">
        <v>1021</v>
      </c>
      <c r="I23" s="81" t="s">
        <v>1022</v>
      </c>
      <c r="J23" s="79"/>
      <c r="K23" s="79"/>
      <c r="L23" s="79"/>
    </row>
    <row r="24" ht="26" spans="1:12">
      <c r="A24" s="81" t="s">
        <v>886</v>
      </c>
      <c r="B24" s="81" t="s">
        <v>85</v>
      </c>
      <c r="C24" s="81" t="s">
        <v>339</v>
      </c>
      <c r="D24" s="81" t="s">
        <v>340</v>
      </c>
      <c r="E24" s="81" t="s">
        <v>117</v>
      </c>
      <c r="F24" s="81" t="s">
        <v>1004</v>
      </c>
      <c r="G24" s="81" t="s">
        <v>1020</v>
      </c>
      <c r="H24" s="81" t="s">
        <v>1021</v>
      </c>
      <c r="I24" s="81" t="s">
        <v>1022</v>
      </c>
      <c r="J24" s="79"/>
      <c r="K24" s="79"/>
      <c r="L24" s="79"/>
    </row>
    <row r="25" ht="26" spans="1:12">
      <c r="A25" s="81" t="s">
        <v>902</v>
      </c>
      <c r="B25" s="81" t="s">
        <v>201</v>
      </c>
      <c r="C25" s="81" t="s">
        <v>101</v>
      </c>
      <c r="D25" s="81" t="s">
        <v>260</v>
      </c>
      <c r="E25" s="81" t="s">
        <v>117</v>
      </c>
      <c r="F25" s="81" t="s">
        <v>1005</v>
      </c>
      <c r="G25" s="81" t="s">
        <v>1020</v>
      </c>
      <c r="H25" s="81" t="s">
        <v>1021</v>
      </c>
      <c r="I25" s="81" t="s">
        <v>1022</v>
      </c>
      <c r="J25" s="79"/>
      <c r="K25" s="79"/>
      <c r="L25" s="79"/>
    </row>
    <row r="26" ht="26" spans="1:12">
      <c r="A26" s="81" t="s">
        <v>923</v>
      </c>
      <c r="B26" s="81" t="s">
        <v>203</v>
      </c>
      <c r="C26" s="81" t="s">
        <v>368</v>
      </c>
      <c r="D26" s="81" t="s">
        <v>340</v>
      </c>
      <c r="E26" s="81" t="s">
        <v>366</v>
      </c>
      <c r="F26" s="81" t="s">
        <v>1007</v>
      </c>
      <c r="G26" s="81" t="s">
        <v>1020</v>
      </c>
      <c r="H26" s="81" t="s">
        <v>1021</v>
      </c>
      <c r="I26" s="81" t="s">
        <v>1022</v>
      </c>
      <c r="J26" s="79"/>
      <c r="K26" s="79"/>
      <c r="L26" s="79"/>
    </row>
    <row r="27" ht="26" spans="1:12">
      <c r="A27" s="81" t="s">
        <v>925</v>
      </c>
      <c r="B27" s="81" t="s">
        <v>203</v>
      </c>
      <c r="C27" s="81" t="s">
        <v>572</v>
      </c>
      <c r="D27" s="81" t="s">
        <v>340</v>
      </c>
      <c r="E27" s="81" t="s">
        <v>366</v>
      </c>
      <c r="F27" s="81" t="s">
        <v>1012</v>
      </c>
      <c r="G27" s="81" t="s">
        <v>1020</v>
      </c>
      <c r="H27" s="81" t="s">
        <v>1021</v>
      </c>
      <c r="I27" s="81" t="s">
        <v>1022</v>
      </c>
      <c r="J27" s="79"/>
      <c r="K27" s="79"/>
      <c r="L27" s="79"/>
    </row>
    <row r="28" ht="26" spans="1:12">
      <c r="A28" s="81" t="s">
        <v>948</v>
      </c>
      <c r="B28" s="81" t="s">
        <v>201</v>
      </c>
      <c r="C28" s="81" t="s">
        <v>138</v>
      </c>
      <c r="D28" s="81" t="s">
        <v>138</v>
      </c>
      <c r="E28" s="81" t="s">
        <v>366</v>
      </c>
      <c r="F28" s="81" t="s">
        <v>1002</v>
      </c>
      <c r="G28" s="81" t="s">
        <v>1020</v>
      </c>
      <c r="H28" s="81" t="s">
        <v>1021</v>
      </c>
      <c r="I28" s="81" t="s">
        <v>1022</v>
      </c>
      <c r="J28" s="79"/>
      <c r="K28" s="79"/>
      <c r="L28" s="79"/>
    </row>
    <row r="29" ht="26" spans="1:12">
      <c r="A29" s="81" t="s">
        <v>914</v>
      </c>
      <c r="B29" s="81" t="s">
        <v>203</v>
      </c>
      <c r="C29" s="81" t="s">
        <v>513</v>
      </c>
      <c r="D29" s="81" t="s">
        <v>340</v>
      </c>
      <c r="E29" s="81" t="s">
        <v>366</v>
      </c>
      <c r="F29" s="81" t="s">
        <v>1004</v>
      </c>
      <c r="G29" s="81" t="s">
        <v>1020</v>
      </c>
      <c r="H29" s="81" t="s">
        <v>1021</v>
      </c>
      <c r="I29" s="81" t="s">
        <v>1022</v>
      </c>
      <c r="J29" s="79"/>
      <c r="K29" s="79"/>
      <c r="L29" s="79"/>
    </row>
    <row r="30" ht="26" spans="1:12">
      <c r="A30" s="81" t="s">
        <v>921</v>
      </c>
      <c r="B30" s="81" t="s">
        <v>203</v>
      </c>
      <c r="C30" s="81" t="s">
        <v>339</v>
      </c>
      <c r="D30" s="81" t="s">
        <v>340</v>
      </c>
      <c r="E30" s="81" t="s">
        <v>366</v>
      </c>
      <c r="F30" s="81" t="s">
        <v>1004</v>
      </c>
      <c r="G30" s="81" t="s">
        <v>1020</v>
      </c>
      <c r="H30" s="81" t="s">
        <v>1021</v>
      </c>
      <c r="I30" s="81" t="s">
        <v>1022</v>
      </c>
      <c r="J30" s="79"/>
      <c r="K30" s="79"/>
      <c r="L30" s="79"/>
    </row>
    <row r="31" ht="26" spans="1:12">
      <c r="A31" s="81" t="s">
        <v>924</v>
      </c>
      <c r="B31" s="81" t="s">
        <v>203</v>
      </c>
      <c r="C31" s="81" t="s">
        <v>368</v>
      </c>
      <c r="D31" s="81" t="s">
        <v>340</v>
      </c>
      <c r="E31" s="81" t="s">
        <v>366</v>
      </c>
      <c r="F31" s="81" t="s">
        <v>1007</v>
      </c>
      <c r="G31" s="81" t="s">
        <v>1020</v>
      </c>
      <c r="H31" s="81" t="s">
        <v>1021</v>
      </c>
      <c r="I31" s="81" t="s">
        <v>1022</v>
      </c>
      <c r="J31" s="79"/>
      <c r="K31" s="79"/>
      <c r="L31" s="79"/>
    </row>
    <row r="32" ht="26" spans="1:12">
      <c r="A32" s="81" t="s">
        <v>933</v>
      </c>
      <c r="B32" s="81" t="s">
        <v>203</v>
      </c>
      <c r="C32" s="81" t="s">
        <v>138</v>
      </c>
      <c r="D32" s="81"/>
      <c r="E32" s="81" t="s">
        <v>117</v>
      </c>
      <c r="F32" s="81" t="s">
        <v>1002</v>
      </c>
      <c r="G32" s="81" t="s">
        <v>1020</v>
      </c>
      <c r="H32" s="81" t="s">
        <v>1021</v>
      </c>
      <c r="I32" s="81" t="s">
        <v>1022</v>
      </c>
      <c r="J32" s="79"/>
      <c r="K32" s="79"/>
      <c r="L32" s="79"/>
    </row>
    <row r="33" ht="26" spans="1:12">
      <c r="A33" s="81" t="s">
        <v>942</v>
      </c>
      <c r="B33" s="81" t="s">
        <v>85</v>
      </c>
      <c r="C33" s="81" t="s">
        <v>138</v>
      </c>
      <c r="D33" s="81" t="s">
        <v>138</v>
      </c>
      <c r="E33" s="81" t="s">
        <v>746</v>
      </c>
      <c r="F33" s="81" t="s">
        <v>1002</v>
      </c>
      <c r="G33" s="81" t="s">
        <v>1020</v>
      </c>
      <c r="H33" s="81" t="s">
        <v>1021</v>
      </c>
      <c r="I33" s="81" t="s">
        <v>1022</v>
      </c>
      <c r="J33" s="79"/>
      <c r="K33" s="79"/>
      <c r="L33" s="79"/>
    </row>
    <row r="34" ht="26" spans="1:12">
      <c r="A34" s="81" t="s">
        <v>965</v>
      </c>
      <c r="B34" s="81" t="s">
        <v>203</v>
      </c>
      <c r="C34" s="81" t="s">
        <v>138</v>
      </c>
      <c r="D34" s="81" t="s">
        <v>138</v>
      </c>
      <c r="E34" s="81" t="s">
        <v>632</v>
      </c>
      <c r="F34" s="81" t="s">
        <v>1002</v>
      </c>
      <c r="G34" s="81" t="s">
        <v>1020</v>
      </c>
      <c r="H34" s="81" t="s">
        <v>1021</v>
      </c>
      <c r="I34" s="81" t="s">
        <v>1022</v>
      </c>
      <c r="J34" s="79"/>
      <c r="K34" s="79"/>
      <c r="L34" s="79"/>
    </row>
    <row r="35" ht="26" spans="1:12">
      <c r="A35" s="81" t="s">
        <v>895</v>
      </c>
      <c r="B35" s="81" t="s">
        <v>201</v>
      </c>
      <c r="C35" s="81" t="s">
        <v>101</v>
      </c>
      <c r="D35" s="81" t="s">
        <v>260</v>
      </c>
      <c r="E35" s="81" t="s">
        <v>117</v>
      </c>
      <c r="F35" s="81" t="s">
        <v>1005</v>
      </c>
      <c r="G35" s="81" t="s">
        <v>1020</v>
      </c>
      <c r="H35" s="81" t="s">
        <v>1021</v>
      </c>
      <c r="I35" s="81" t="s">
        <v>1022</v>
      </c>
      <c r="J35" s="79"/>
      <c r="K35" s="79"/>
      <c r="L35" s="79"/>
    </row>
    <row r="36" ht="26" spans="1:12">
      <c r="A36" s="81" t="s">
        <v>896</v>
      </c>
      <c r="B36" s="81" t="s">
        <v>85</v>
      </c>
      <c r="C36" s="81" t="s">
        <v>101</v>
      </c>
      <c r="D36" s="81" t="s">
        <v>260</v>
      </c>
      <c r="E36" s="81" t="s">
        <v>138</v>
      </c>
      <c r="F36" s="81" t="s">
        <v>1005</v>
      </c>
      <c r="G36" s="81" t="s">
        <v>1020</v>
      </c>
      <c r="H36" s="81" t="s">
        <v>1021</v>
      </c>
      <c r="I36" s="81" t="s">
        <v>1022</v>
      </c>
      <c r="J36" s="79"/>
      <c r="K36" s="79"/>
      <c r="L36" s="79"/>
    </row>
    <row r="37" ht="26" spans="1:12">
      <c r="A37" s="81" t="s">
        <v>898</v>
      </c>
      <c r="B37" s="81" t="s">
        <v>201</v>
      </c>
      <c r="C37" s="81" t="s">
        <v>422</v>
      </c>
      <c r="D37" s="81" t="s">
        <v>260</v>
      </c>
      <c r="E37" s="81" t="s">
        <v>366</v>
      </c>
      <c r="F37" s="81" t="s">
        <v>1005</v>
      </c>
      <c r="G37" s="81" t="s">
        <v>1020</v>
      </c>
      <c r="H37" s="81" t="s">
        <v>1021</v>
      </c>
      <c r="I37" s="81" t="s">
        <v>1022</v>
      </c>
      <c r="J37" s="79"/>
      <c r="K37" s="79"/>
      <c r="L37" s="79"/>
    </row>
    <row r="38" ht="26" spans="1:12">
      <c r="A38" s="81" t="s">
        <v>899</v>
      </c>
      <c r="B38" s="81" t="s">
        <v>203</v>
      </c>
      <c r="C38" s="81" t="s">
        <v>425</v>
      </c>
      <c r="D38" s="81" t="s">
        <v>340</v>
      </c>
      <c r="E38" s="81" t="s">
        <v>366</v>
      </c>
      <c r="F38" s="81" t="s">
        <v>1012</v>
      </c>
      <c r="G38" s="81" t="s">
        <v>1020</v>
      </c>
      <c r="H38" s="81" t="s">
        <v>1021</v>
      </c>
      <c r="I38" s="81" t="s">
        <v>1022</v>
      </c>
      <c r="J38" s="79"/>
      <c r="K38" s="79"/>
      <c r="L38" s="79"/>
    </row>
    <row r="39" ht="26" spans="1:12">
      <c r="A39" s="81" t="s">
        <v>900</v>
      </c>
      <c r="B39" s="81" t="s">
        <v>201</v>
      </c>
      <c r="C39" s="81" t="s">
        <v>422</v>
      </c>
      <c r="D39" s="81" t="s">
        <v>340</v>
      </c>
      <c r="E39" s="81" t="s">
        <v>366</v>
      </c>
      <c r="F39" s="81" t="s">
        <v>1002</v>
      </c>
      <c r="G39" s="81" t="s">
        <v>1020</v>
      </c>
      <c r="H39" s="81" t="s">
        <v>1021</v>
      </c>
      <c r="I39" s="81" t="s">
        <v>1022</v>
      </c>
      <c r="J39" s="79"/>
      <c r="K39" s="79"/>
      <c r="L39" s="79"/>
    </row>
    <row r="40" ht="26" spans="1:12">
      <c r="A40" s="81" t="s">
        <v>904</v>
      </c>
      <c r="B40" s="81" t="s">
        <v>201</v>
      </c>
      <c r="C40" s="81" t="s">
        <v>436</v>
      </c>
      <c r="D40" s="81" t="s">
        <v>260</v>
      </c>
      <c r="E40" s="81" t="s">
        <v>366</v>
      </c>
      <c r="F40" s="81" t="s">
        <v>1009</v>
      </c>
      <c r="G40" s="81" t="s">
        <v>1020</v>
      </c>
      <c r="H40" s="81" t="s">
        <v>1021</v>
      </c>
      <c r="I40" s="81" t="s">
        <v>1022</v>
      </c>
      <c r="J40" s="79"/>
      <c r="K40" s="79"/>
      <c r="L40" s="79"/>
    </row>
    <row r="41" ht="26" spans="1:12">
      <c r="A41" s="81" t="s">
        <v>906</v>
      </c>
      <c r="B41" s="81" t="s">
        <v>201</v>
      </c>
      <c r="C41" s="81" t="s">
        <v>368</v>
      </c>
      <c r="D41" s="81" t="s">
        <v>340</v>
      </c>
      <c r="E41" s="81" t="s">
        <v>138</v>
      </c>
      <c r="F41" s="81" t="s">
        <v>1007</v>
      </c>
      <c r="G41" s="81" t="s">
        <v>1020</v>
      </c>
      <c r="H41" s="81" t="s">
        <v>1021</v>
      </c>
      <c r="I41" s="81" t="s">
        <v>1022</v>
      </c>
      <c r="J41" s="79"/>
      <c r="K41" s="79"/>
      <c r="L41" s="79"/>
    </row>
    <row r="42" ht="26" spans="1:12">
      <c r="A42" s="81" t="s">
        <v>908</v>
      </c>
      <c r="B42" s="81" t="s">
        <v>201</v>
      </c>
      <c r="C42" s="81" t="s">
        <v>101</v>
      </c>
      <c r="D42" s="81" t="s">
        <v>260</v>
      </c>
      <c r="E42" s="81" t="s">
        <v>366</v>
      </c>
      <c r="F42" s="81" t="s">
        <v>1005</v>
      </c>
      <c r="G42" s="81" t="s">
        <v>1020</v>
      </c>
      <c r="H42" s="81" t="s">
        <v>1021</v>
      </c>
      <c r="I42" s="81" t="s">
        <v>1022</v>
      </c>
      <c r="J42" s="79"/>
      <c r="K42" s="79"/>
      <c r="L42" s="79"/>
    </row>
    <row r="43" ht="26" spans="1:12">
      <c r="A43" s="81" t="s">
        <v>912</v>
      </c>
      <c r="B43" s="81" t="s">
        <v>201</v>
      </c>
      <c r="C43" s="81" t="s">
        <v>368</v>
      </c>
      <c r="D43" s="81" t="s">
        <v>340</v>
      </c>
      <c r="E43" s="81" t="s">
        <v>366</v>
      </c>
      <c r="F43" s="81" t="s">
        <v>1007</v>
      </c>
      <c r="G43" s="81" t="s">
        <v>1020</v>
      </c>
      <c r="H43" s="81" t="s">
        <v>1021</v>
      </c>
      <c r="I43" s="81" t="s">
        <v>1022</v>
      </c>
      <c r="J43" s="79"/>
      <c r="K43" s="79"/>
      <c r="L43" s="79"/>
    </row>
    <row r="44" ht="26" spans="1:12">
      <c r="A44" s="81" t="s">
        <v>918</v>
      </c>
      <c r="B44" s="81" t="s">
        <v>203</v>
      </c>
      <c r="C44" s="81" t="s">
        <v>339</v>
      </c>
      <c r="D44" s="81" t="s">
        <v>340</v>
      </c>
      <c r="E44" s="81" t="s">
        <v>541</v>
      </c>
      <c r="F44" s="81" t="s">
        <v>1004</v>
      </c>
      <c r="G44" s="81" t="s">
        <v>1020</v>
      </c>
      <c r="H44" s="81" t="s">
        <v>1021</v>
      </c>
      <c r="I44" s="81" t="s">
        <v>1022</v>
      </c>
      <c r="J44" s="79"/>
      <c r="K44" s="79"/>
      <c r="L44" s="79"/>
    </row>
    <row r="45" ht="26" spans="1:12">
      <c r="A45" s="81" t="s">
        <v>919</v>
      </c>
      <c r="B45" s="81" t="s">
        <v>203</v>
      </c>
      <c r="C45" s="81" t="s">
        <v>368</v>
      </c>
      <c r="D45" s="81" t="s">
        <v>340</v>
      </c>
      <c r="E45" s="81" t="s">
        <v>541</v>
      </c>
      <c r="F45" s="81" t="s">
        <v>1010</v>
      </c>
      <c r="G45" s="81" t="s">
        <v>1020</v>
      </c>
      <c r="H45" s="81" t="s">
        <v>1021</v>
      </c>
      <c r="I45" s="81" t="s">
        <v>1022</v>
      </c>
      <c r="J45" s="79"/>
      <c r="K45" s="79"/>
      <c r="L45" s="79"/>
    </row>
    <row r="46" ht="26" spans="1:12">
      <c r="A46" s="81" t="s">
        <v>920</v>
      </c>
      <c r="B46" s="81" t="s">
        <v>203</v>
      </c>
      <c r="C46" s="81" t="s">
        <v>368</v>
      </c>
      <c r="D46" s="81" t="s">
        <v>340</v>
      </c>
      <c r="E46" s="81" t="s">
        <v>117</v>
      </c>
      <c r="F46" s="81" t="s">
        <v>1007</v>
      </c>
      <c r="G46" s="81" t="s">
        <v>1020</v>
      </c>
      <c r="H46" s="81" t="s">
        <v>1021</v>
      </c>
      <c r="I46" s="81" t="s">
        <v>1022</v>
      </c>
      <c r="J46" s="79"/>
      <c r="K46" s="79"/>
      <c r="L46" s="79"/>
    </row>
    <row r="47" ht="26" spans="1:12">
      <c r="A47" s="81" t="s">
        <v>932</v>
      </c>
      <c r="B47" s="81" t="s">
        <v>203</v>
      </c>
      <c r="C47" s="81" t="s">
        <v>138</v>
      </c>
      <c r="D47" s="81"/>
      <c r="E47" s="81" t="s">
        <v>632</v>
      </c>
      <c r="F47" s="81" t="s">
        <v>1002</v>
      </c>
      <c r="G47" s="81" t="s">
        <v>1020</v>
      </c>
      <c r="H47" s="81" t="s">
        <v>1021</v>
      </c>
      <c r="I47" s="81" t="s">
        <v>1022</v>
      </c>
      <c r="J47" s="79"/>
      <c r="K47" s="79"/>
      <c r="L47" s="79"/>
    </row>
    <row r="48" ht="26" spans="1:12">
      <c r="A48" s="81" t="s">
        <v>945</v>
      </c>
      <c r="B48" s="81" t="s">
        <v>201</v>
      </c>
      <c r="C48" s="81" t="s">
        <v>138</v>
      </c>
      <c r="D48" s="81" t="s">
        <v>138</v>
      </c>
      <c r="E48" s="81" t="s">
        <v>138</v>
      </c>
      <c r="F48" s="81" t="s">
        <v>1002</v>
      </c>
      <c r="G48" s="81" t="s">
        <v>1020</v>
      </c>
      <c r="H48" s="81" t="s">
        <v>1021</v>
      </c>
      <c r="I48" s="81" t="s">
        <v>1022</v>
      </c>
      <c r="J48" s="79"/>
      <c r="K48" s="79"/>
      <c r="L48" s="79"/>
    </row>
    <row r="49" ht="26" spans="1:12">
      <c r="A49" s="81" t="s">
        <v>946</v>
      </c>
      <c r="B49" s="81" t="s">
        <v>201</v>
      </c>
      <c r="C49" s="81" t="s">
        <v>138</v>
      </c>
      <c r="D49" s="81" t="s">
        <v>138</v>
      </c>
      <c r="E49" s="81" t="s">
        <v>366</v>
      </c>
      <c r="F49" s="81" t="s">
        <v>1002</v>
      </c>
      <c r="G49" s="81" t="s">
        <v>1020</v>
      </c>
      <c r="H49" s="81" t="s">
        <v>1021</v>
      </c>
      <c r="I49" s="81" t="s">
        <v>1022</v>
      </c>
      <c r="J49" s="79"/>
      <c r="K49" s="79"/>
      <c r="L49" s="79"/>
    </row>
    <row r="50" ht="26" spans="1:12">
      <c r="A50" s="81" t="s">
        <v>949</v>
      </c>
      <c r="B50" s="81" t="s">
        <v>201</v>
      </c>
      <c r="C50" s="81" t="s">
        <v>138</v>
      </c>
      <c r="D50" s="81" t="s">
        <v>138</v>
      </c>
      <c r="E50" s="81" t="s">
        <v>138</v>
      </c>
      <c r="F50" s="81" t="s">
        <v>1013</v>
      </c>
      <c r="G50" s="81" t="s">
        <v>1020</v>
      </c>
      <c r="H50" s="81" t="s">
        <v>1021</v>
      </c>
      <c r="I50" s="81" t="s">
        <v>1022</v>
      </c>
      <c r="J50" s="79"/>
      <c r="K50" s="79"/>
      <c r="L50" s="79"/>
    </row>
    <row r="51" ht="26" spans="1:12">
      <c r="A51" s="81" t="s">
        <v>950</v>
      </c>
      <c r="B51" s="81" t="s">
        <v>205</v>
      </c>
      <c r="C51" s="81" t="s">
        <v>138</v>
      </c>
      <c r="D51" s="81" t="s">
        <v>138</v>
      </c>
      <c r="E51" s="81" t="s">
        <v>138</v>
      </c>
      <c r="F51" s="81" t="s">
        <v>1002</v>
      </c>
      <c r="G51" s="81" t="s">
        <v>1020</v>
      </c>
      <c r="H51" s="81" t="s">
        <v>1021</v>
      </c>
      <c r="I51" s="81" t="s">
        <v>1022</v>
      </c>
      <c r="J51" s="79"/>
      <c r="K51" s="79"/>
      <c r="L51" s="79"/>
    </row>
    <row r="52" ht="26" spans="1:12">
      <c r="A52" s="81" t="s">
        <v>954</v>
      </c>
      <c r="B52" s="81" t="s">
        <v>201</v>
      </c>
      <c r="C52" s="81" t="s">
        <v>138</v>
      </c>
      <c r="D52" s="81" t="s">
        <v>138</v>
      </c>
      <c r="E52" s="81" t="s">
        <v>366</v>
      </c>
      <c r="F52" s="81" t="s">
        <v>1013</v>
      </c>
      <c r="G52" s="81" t="s">
        <v>1020</v>
      </c>
      <c r="H52" s="81" t="s">
        <v>1021</v>
      </c>
      <c r="I52" s="81" t="s">
        <v>1022</v>
      </c>
      <c r="J52" s="79"/>
      <c r="K52" s="79"/>
      <c r="L52" s="79"/>
    </row>
    <row r="53" ht="26" spans="1:12">
      <c r="A53" s="81" t="s">
        <v>956</v>
      </c>
      <c r="B53" s="81" t="s">
        <v>203</v>
      </c>
      <c r="C53" s="81" t="s">
        <v>138</v>
      </c>
      <c r="D53" s="81" t="s">
        <v>138</v>
      </c>
      <c r="E53" s="81" t="s">
        <v>805</v>
      </c>
      <c r="F53" s="81" t="s">
        <v>1013</v>
      </c>
      <c r="G53" s="81" t="s">
        <v>1020</v>
      </c>
      <c r="H53" s="81" t="s">
        <v>1021</v>
      </c>
      <c r="I53" s="81" t="s">
        <v>1022</v>
      </c>
      <c r="J53" s="79"/>
      <c r="K53" s="79"/>
      <c r="L53" s="79"/>
    </row>
    <row r="54" ht="26" spans="1:12">
      <c r="A54" s="81" t="s">
        <v>957</v>
      </c>
      <c r="B54" s="81" t="s">
        <v>203</v>
      </c>
      <c r="C54" s="81" t="s">
        <v>138</v>
      </c>
      <c r="D54" s="81" t="s">
        <v>138</v>
      </c>
      <c r="E54" s="81" t="s">
        <v>138</v>
      </c>
      <c r="F54" s="81" t="s">
        <v>1002</v>
      </c>
      <c r="G54" s="81" t="s">
        <v>1020</v>
      </c>
      <c r="H54" s="81" t="s">
        <v>1021</v>
      </c>
      <c r="I54" s="81" t="s">
        <v>1022</v>
      </c>
      <c r="J54" s="79"/>
      <c r="K54" s="79"/>
      <c r="L54" s="79"/>
    </row>
    <row r="55" ht="26" spans="1:12">
      <c r="A55" s="81" t="s">
        <v>958</v>
      </c>
      <c r="B55" s="81" t="s">
        <v>203</v>
      </c>
      <c r="C55" s="81" t="s">
        <v>138</v>
      </c>
      <c r="D55" s="81" t="s">
        <v>138</v>
      </c>
      <c r="E55" s="81" t="s">
        <v>805</v>
      </c>
      <c r="F55" s="81" t="s">
        <v>1013</v>
      </c>
      <c r="G55" s="81" t="s">
        <v>1020</v>
      </c>
      <c r="H55" s="81" t="s">
        <v>1021</v>
      </c>
      <c r="I55" s="81" t="s">
        <v>1022</v>
      </c>
      <c r="J55" s="79"/>
      <c r="K55" s="79"/>
      <c r="L55" s="79"/>
    </row>
    <row r="56" ht="26" spans="1:12">
      <c r="A56" s="81" t="s">
        <v>959</v>
      </c>
      <c r="B56" s="81" t="s">
        <v>203</v>
      </c>
      <c r="C56" s="81" t="s">
        <v>138</v>
      </c>
      <c r="D56" s="81" t="s">
        <v>138</v>
      </c>
      <c r="E56" s="81" t="s">
        <v>138</v>
      </c>
      <c r="F56" s="81" t="s">
        <v>1002</v>
      </c>
      <c r="G56" s="81" t="s">
        <v>1020</v>
      </c>
      <c r="H56" s="81" t="s">
        <v>1021</v>
      </c>
      <c r="I56" s="81" t="s">
        <v>1022</v>
      </c>
      <c r="J56" s="79"/>
      <c r="K56" s="79"/>
      <c r="L56" s="79"/>
    </row>
    <row r="57" ht="26" spans="1:12">
      <c r="A57" s="81" t="s">
        <v>960</v>
      </c>
      <c r="B57" s="81" t="s">
        <v>203</v>
      </c>
      <c r="C57" s="81" t="s">
        <v>138</v>
      </c>
      <c r="D57" s="81" t="s">
        <v>138</v>
      </c>
      <c r="E57" s="81" t="s">
        <v>813</v>
      </c>
      <c r="F57" s="81" t="s">
        <v>1002</v>
      </c>
      <c r="G57" s="81" t="s">
        <v>1020</v>
      </c>
      <c r="H57" s="81" t="s">
        <v>1021</v>
      </c>
      <c r="I57" s="81" t="s">
        <v>1022</v>
      </c>
      <c r="J57" s="79"/>
      <c r="K57" s="79"/>
      <c r="L57" s="79"/>
    </row>
    <row r="58" ht="26" spans="1:12">
      <c r="A58" s="81" t="s">
        <v>961</v>
      </c>
      <c r="B58" s="81" t="s">
        <v>201</v>
      </c>
      <c r="C58" s="81" t="s">
        <v>138</v>
      </c>
      <c r="D58" s="81" t="s">
        <v>138</v>
      </c>
      <c r="E58" s="81" t="s">
        <v>805</v>
      </c>
      <c r="F58" s="81" t="s">
        <v>1013</v>
      </c>
      <c r="G58" s="81" t="s">
        <v>1020</v>
      </c>
      <c r="H58" s="81" t="s">
        <v>1021</v>
      </c>
      <c r="I58" s="81" t="s">
        <v>1022</v>
      </c>
      <c r="J58" s="79"/>
      <c r="K58" s="79"/>
      <c r="L58" s="79"/>
    </row>
    <row r="59" ht="26" spans="1:12">
      <c r="A59" s="81" t="s">
        <v>962</v>
      </c>
      <c r="B59" s="81" t="s">
        <v>203</v>
      </c>
      <c r="C59" s="81" t="s">
        <v>138</v>
      </c>
      <c r="D59" s="81" t="s">
        <v>138</v>
      </c>
      <c r="E59" s="81" t="s">
        <v>138</v>
      </c>
      <c r="F59" s="81" t="s">
        <v>1013</v>
      </c>
      <c r="G59" s="81" t="s">
        <v>1020</v>
      </c>
      <c r="H59" s="81" t="s">
        <v>1021</v>
      </c>
      <c r="I59" s="81" t="s">
        <v>1022</v>
      </c>
      <c r="J59" s="79"/>
      <c r="K59" s="79"/>
      <c r="L59" s="79"/>
    </row>
    <row r="60" ht="26" spans="1:12">
      <c r="A60" s="81" t="s">
        <v>966</v>
      </c>
      <c r="B60" s="81" t="s">
        <v>203</v>
      </c>
      <c r="C60" s="81" t="s">
        <v>138</v>
      </c>
      <c r="D60" s="81" t="s">
        <v>138</v>
      </c>
      <c r="E60" s="81" t="s">
        <v>138</v>
      </c>
      <c r="F60" s="81" t="s">
        <v>1002</v>
      </c>
      <c r="G60" s="81" t="s">
        <v>1020</v>
      </c>
      <c r="H60" s="81" t="s">
        <v>1021</v>
      </c>
      <c r="I60" s="81" t="s">
        <v>1022</v>
      </c>
      <c r="J60" s="79"/>
      <c r="K60" s="79"/>
      <c r="L60" s="79"/>
    </row>
    <row r="61" ht="26" spans="1:12">
      <c r="A61" s="81" t="s">
        <v>967</v>
      </c>
      <c r="B61" s="81" t="s">
        <v>203</v>
      </c>
      <c r="C61" s="81" t="s">
        <v>138</v>
      </c>
      <c r="D61" s="81" t="s">
        <v>138</v>
      </c>
      <c r="E61" s="81" t="s">
        <v>138</v>
      </c>
      <c r="F61" s="81" t="s">
        <v>1002</v>
      </c>
      <c r="G61" s="81" t="s">
        <v>1020</v>
      </c>
      <c r="H61" s="81" t="s">
        <v>1021</v>
      </c>
      <c r="I61" s="81" t="s">
        <v>1022</v>
      </c>
      <c r="J61" s="79"/>
      <c r="K61" s="79"/>
      <c r="L61" s="79"/>
    </row>
    <row r="62" ht="26" spans="1:12">
      <c r="A62" s="81" t="s">
        <v>970</v>
      </c>
      <c r="B62" s="81" t="s">
        <v>203</v>
      </c>
      <c r="C62" s="81" t="s">
        <v>138</v>
      </c>
      <c r="D62" s="81" t="s">
        <v>138</v>
      </c>
      <c r="E62" s="81" t="s">
        <v>138</v>
      </c>
      <c r="F62" s="81" t="s">
        <v>1002</v>
      </c>
      <c r="G62" s="81" t="s">
        <v>1020</v>
      </c>
      <c r="H62" s="81" t="s">
        <v>1021</v>
      </c>
      <c r="I62" s="81" t="s">
        <v>1022</v>
      </c>
      <c r="J62" s="79"/>
      <c r="K62" s="79"/>
      <c r="L62" s="79"/>
    </row>
    <row r="63" ht="26" spans="1:12">
      <c r="A63" s="81" t="s">
        <v>973</v>
      </c>
      <c r="B63" s="81" t="s">
        <v>203</v>
      </c>
      <c r="C63" s="81" t="s">
        <v>138</v>
      </c>
      <c r="D63" s="81" t="s">
        <v>138</v>
      </c>
      <c r="E63" s="81" t="s">
        <v>138</v>
      </c>
      <c r="F63" s="81" t="s">
        <v>1002</v>
      </c>
      <c r="G63" s="81" t="s">
        <v>1020</v>
      </c>
      <c r="H63" s="81" t="s">
        <v>1021</v>
      </c>
      <c r="I63" s="81" t="s">
        <v>1022</v>
      </c>
      <c r="J63" s="79"/>
      <c r="K63" s="79"/>
      <c r="L63" s="79"/>
    </row>
    <row r="64" ht="26" spans="1:12">
      <c r="A64" s="81" t="s">
        <v>978</v>
      </c>
      <c r="B64" s="81" t="s">
        <v>203</v>
      </c>
      <c r="C64" s="81" t="s">
        <v>138</v>
      </c>
      <c r="D64" s="81" t="s">
        <v>138</v>
      </c>
      <c r="E64" s="81" t="s">
        <v>138</v>
      </c>
      <c r="F64" s="81" t="s">
        <v>1002</v>
      </c>
      <c r="G64" s="81" t="s">
        <v>1020</v>
      </c>
      <c r="H64" s="81" t="s">
        <v>1021</v>
      </c>
      <c r="I64" s="81" t="s">
        <v>1022</v>
      </c>
      <c r="J64" s="79"/>
      <c r="K64" s="79"/>
      <c r="L64" s="79"/>
    </row>
    <row r="65" ht="26" spans="1:12">
      <c r="A65" s="81" t="s">
        <v>981</v>
      </c>
      <c r="B65" s="81" t="s">
        <v>203</v>
      </c>
      <c r="C65" s="81" t="s">
        <v>138</v>
      </c>
      <c r="D65" s="81" t="s">
        <v>138</v>
      </c>
      <c r="E65" s="81" t="s">
        <v>138</v>
      </c>
      <c r="F65" s="81" t="s">
        <v>1002</v>
      </c>
      <c r="G65" s="81" t="s">
        <v>1020</v>
      </c>
      <c r="H65" s="81" t="s">
        <v>1021</v>
      </c>
      <c r="I65" s="81" t="s">
        <v>1022</v>
      </c>
      <c r="J65" s="79"/>
      <c r="K65" s="79"/>
      <c r="L65" s="79"/>
    </row>
    <row r="66" ht="26" spans="1:12">
      <c r="A66" s="81" t="s">
        <v>983</v>
      </c>
      <c r="B66" s="81" t="s">
        <v>205</v>
      </c>
      <c r="C66" s="81" t="s">
        <v>138</v>
      </c>
      <c r="D66" s="81" t="s">
        <v>138</v>
      </c>
      <c r="E66" s="81" t="s">
        <v>138</v>
      </c>
      <c r="F66" s="81" t="s">
        <v>1002</v>
      </c>
      <c r="G66" s="81" t="s">
        <v>1020</v>
      </c>
      <c r="H66" s="81" t="s">
        <v>1021</v>
      </c>
      <c r="I66" s="81" t="s">
        <v>1022</v>
      </c>
      <c r="J66" s="79"/>
      <c r="K66" s="79"/>
      <c r="L66" s="79"/>
    </row>
    <row r="67" ht="26" spans="1:12">
      <c r="A67" s="81" t="s">
        <v>890</v>
      </c>
      <c r="B67" s="81" t="s">
        <v>85</v>
      </c>
      <c r="C67" s="81" t="s">
        <v>101</v>
      </c>
      <c r="D67" s="81" t="s">
        <v>260</v>
      </c>
      <c r="E67" s="81" t="s">
        <v>117</v>
      </c>
      <c r="F67" s="81" t="s">
        <v>1005</v>
      </c>
      <c r="G67" s="81" t="s">
        <v>1020</v>
      </c>
      <c r="H67" s="81" t="s">
        <v>1021</v>
      </c>
      <c r="I67" s="81" t="s">
        <v>1022</v>
      </c>
      <c r="J67" s="79"/>
      <c r="K67" s="79"/>
      <c r="L67" s="79"/>
    </row>
    <row r="68" ht="26" spans="1:12">
      <c r="A68" s="81" t="s">
        <v>936</v>
      </c>
      <c r="B68" s="81" t="s">
        <v>203</v>
      </c>
      <c r="C68" s="81" t="s">
        <v>138</v>
      </c>
      <c r="D68" s="81"/>
      <c r="E68" s="81" t="s">
        <v>366</v>
      </c>
      <c r="F68" s="81" t="s">
        <v>1002</v>
      </c>
      <c r="G68" s="81" t="s">
        <v>1020</v>
      </c>
      <c r="H68" s="81" t="s">
        <v>1021</v>
      </c>
      <c r="I68" s="81" t="s">
        <v>1022</v>
      </c>
      <c r="J68" s="79"/>
      <c r="K68" s="79"/>
      <c r="L68" s="79"/>
    </row>
    <row r="69" ht="26" spans="1:12">
      <c r="A69" s="81" t="s">
        <v>889</v>
      </c>
      <c r="B69" s="81" t="s">
        <v>85</v>
      </c>
      <c r="C69" s="81" t="s">
        <v>101</v>
      </c>
      <c r="D69" s="81" t="s">
        <v>260</v>
      </c>
      <c r="E69" s="81" t="s">
        <v>117</v>
      </c>
      <c r="F69" s="81" t="s">
        <v>1005</v>
      </c>
      <c r="G69" s="81" t="s">
        <v>1020</v>
      </c>
      <c r="H69" s="81" t="s">
        <v>1021</v>
      </c>
      <c r="I69" s="81" t="s">
        <v>1022</v>
      </c>
      <c r="J69" s="79"/>
      <c r="K69" s="79"/>
      <c r="L69" s="79"/>
    </row>
    <row r="70" ht="26" spans="1:12">
      <c r="A70" s="81" t="s">
        <v>897</v>
      </c>
      <c r="B70" s="81" t="s">
        <v>85</v>
      </c>
      <c r="C70" s="81" t="s">
        <v>415</v>
      </c>
      <c r="D70" s="81" t="s">
        <v>340</v>
      </c>
      <c r="E70" s="81" t="s">
        <v>366</v>
      </c>
      <c r="F70" s="81" t="s">
        <v>1004</v>
      </c>
      <c r="G70" s="81" t="s">
        <v>1020</v>
      </c>
      <c r="H70" s="81" t="s">
        <v>1021</v>
      </c>
      <c r="I70" s="81" t="s">
        <v>1022</v>
      </c>
      <c r="J70" s="79"/>
      <c r="K70" s="79"/>
      <c r="L70" s="79"/>
    </row>
    <row r="71" ht="26" spans="1:12">
      <c r="A71" s="81" t="s">
        <v>937</v>
      </c>
      <c r="B71" s="81" t="s">
        <v>399</v>
      </c>
      <c r="C71" s="81" t="s">
        <v>138</v>
      </c>
      <c r="D71" s="81"/>
      <c r="E71" s="81" t="s">
        <v>117</v>
      </c>
      <c r="F71" s="81" t="s">
        <v>1002</v>
      </c>
      <c r="G71" s="81" t="s">
        <v>1020</v>
      </c>
      <c r="H71" s="81" t="s">
        <v>1021</v>
      </c>
      <c r="I71" s="81" t="s">
        <v>1022</v>
      </c>
      <c r="J71" s="79"/>
      <c r="K71" s="79"/>
      <c r="L71" s="79"/>
    </row>
    <row r="72" ht="26" spans="1:12">
      <c r="A72" s="81" t="s">
        <v>938</v>
      </c>
      <c r="B72" s="81" t="s">
        <v>399</v>
      </c>
      <c r="C72" s="81" t="s">
        <v>138</v>
      </c>
      <c r="D72" s="81"/>
      <c r="E72" s="81" t="s">
        <v>117</v>
      </c>
      <c r="F72" s="81" t="s">
        <v>1002</v>
      </c>
      <c r="G72" s="81" t="s">
        <v>1020</v>
      </c>
      <c r="H72" s="81" t="s">
        <v>1021</v>
      </c>
      <c r="I72" s="81" t="s">
        <v>1022</v>
      </c>
      <c r="J72" s="79"/>
      <c r="K72" s="79"/>
      <c r="L72" s="79"/>
    </row>
    <row r="73" ht="26" spans="1:12">
      <c r="A73" s="81" t="s">
        <v>943</v>
      </c>
      <c r="B73" s="81" t="s">
        <v>85</v>
      </c>
      <c r="C73" s="81" t="s">
        <v>138</v>
      </c>
      <c r="D73" s="81" t="s">
        <v>138</v>
      </c>
      <c r="E73" s="81" t="s">
        <v>138</v>
      </c>
      <c r="F73" s="81" t="s">
        <v>1002</v>
      </c>
      <c r="G73" s="81" t="s">
        <v>1020</v>
      </c>
      <c r="H73" s="81" t="s">
        <v>1021</v>
      </c>
      <c r="I73" s="81" t="s">
        <v>1022</v>
      </c>
      <c r="J73" s="79"/>
      <c r="K73" s="79"/>
      <c r="L73" s="79"/>
    </row>
    <row r="74" ht="26" spans="1:12">
      <c r="A74" s="81" t="s">
        <v>964</v>
      </c>
      <c r="B74" s="81" t="s">
        <v>203</v>
      </c>
      <c r="C74" s="81" t="s">
        <v>138</v>
      </c>
      <c r="D74" s="81" t="s">
        <v>138</v>
      </c>
      <c r="E74" s="81" t="s">
        <v>138</v>
      </c>
      <c r="F74" s="81" t="s">
        <v>1013</v>
      </c>
      <c r="G74" s="81" t="s">
        <v>1020</v>
      </c>
      <c r="H74" s="81" t="s">
        <v>1021</v>
      </c>
      <c r="I74" s="81" t="s">
        <v>1022</v>
      </c>
      <c r="J74" s="79"/>
      <c r="K74" s="79"/>
      <c r="L74" s="79"/>
    </row>
    <row r="75" ht="26" spans="1:12">
      <c r="A75" s="81" t="s">
        <v>982</v>
      </c>
      <c r="B75" s="81" t="s">
        <v>205</v>
      </c>
      <c r="C75" s="81" t="s">
        <v>138</v>
      </c>
      <c r="D75" s="81" t="s">
        <v>138</v>
      </c>
      <c r="E75" s="81" t="s">
        <v>138</v>
      </c>
      <c r="F75" s="81" t="s">
        <v>1013</v>
      </c>
      <c r="G75" s="81" t="s">
        <v>1020</v>
      </c>
      <c r="H75" s="81" t="s">
        <v>1021</v>
      </c>
      <c r="I75" s="81" t="s">
        <v>1022</v>
      </c>
      <c r="J75" s="79"/>
      <c r="K75" s="79"/>
      <c r="L75" s="79"/>
    </row>
    <row r="76" ht="26" spans="1:12">
      <c r="A76" s="81" t="s">
        <v>907</v>
      </c>
      <c r="B76" s="81" t="s">
        <v>201</v>
      </c>
      <c r="C76" s="81" t="s">
        <v>456</v>
      </c>
      <c r="D76" s="81" t="s">
        <v>260</v>
      </c>
      <c r="E76" s="81" t="s">
        <v>366</v>
      </c>
      <c r="F76" s="81" t="s">
        <v>1014</v>
      </c>
      <c r="G76" s="81" t="s">
        <v>1020</v>
      </c>
      <c r="H76" s="81" t="s">
        <v>1021</v>
      </c>
      <c r="I76" s="81" t="s">
        <v>1022</v>
      </c>
      <c r="J76" s="79"/>
      <c r="K76" s="79"/>
      <c r="L76" s="79"/>
    </row>
    <row r="77" ht="26" spans="1:12">
      <c r="A77" s="81" t="s">
        <v>928</v>
      </c>
      <c r="B77" s="81" t="s">
        <v>203</v>
      </c>
      <c r="C77" s="81" t="s">
        <v>339</v>
      </c>
      <c r="D77" s="81" t="s">
        <v>340</v>
      </c>
      <c r="E77" s="81" t="s">
        <v>138</v>
      </c>
      <c r="F77" s="81" t="s">
        <v>1004</v>
      </c>
      <c r="G77" s="81" t="s">
        <v>1020</v>
      </c>
      <c r="H77" s="81" t="s">
        <v>1021</v>
      </c>
      <c r="I77" s="81" t="s">
        <v>1022</v>
      </c>
      <c r="J77" s="79"/>
      <c r="K77" s="79"/>
      <c r="L77" s="79"/>
    </row>
    <row r="78" ht="26" spans="1:12">
      <c r="A78" s="81" t="s">
        <v>955</v>
      </c>
      <c r="B78" s="81" t="s">
        <v>203</v>
      </c>
      <c r="C78" s="81" t="s">
        <v>138</v>
      </c>
      <c r="D78" s="81" t="s">
        <v>138</v>
      </c>
      <c r="E78" s="81" t="s">
        <v>138</v>
      </c>
      <c r="F78" s="81" t="s">
        <v>1002</v>
      </c>
      <c r="G78" s="81" t="s">
        <v>1020</v>
      </c>
      <c r="H78" s="81" t="s">
        <v>1021</v>
      </c>
      <c r="I78" s="81" t="s">
        <v>1022</v>
      </c>
      <c r="J78" s="79"/>
      <c r="K78" s="79"/>
      <c r="L78" s="79"/>
    </row>
    <row r="79" ht="26" spans="1:12">
      <c r="A79" s="81" t="s">
        <v>963</v>
      </c>
      <c r="B79" s="81" t="s">
        <v>203</v>
      </c>
      <c r="C79" s="81" t="s">
        <v>138</v>
      </c>
      <c r="D79" s="81" t="s">
        <v>138</v>
      </c>
      <c r="E79" s="81" t="s">
        <v>138</v>
      </c>
      <c r="F79" s="81" t="s">
        <v>1002</v>
      </c>
      <c r="G79" s="81" t="s">
        <v>1020</v>
      </c>
      <c r="H79" s="81" t="s">
        <v>1021</v>
      </c>
      <c r="I79" s="81" t="s">
        <v>1022</v>
      </c>
      <c r="J79" s="79"/>
      <c r="K79" s="79"/>
      <c r="L79" s="79"/>
    </row>
    <row r="80" ht="26" spans="1:12">
      <c r="A80" s="81" t="s">
        <v>969</v>
      </c>
      <c r="B80" s="81" t="s">
        <v>203</v>
      </c>
      <c r="C80" s="81" t="s">
        <v>138</v>
      </c>
      <c r="D80" s="81" t="s">
        <v>138</v>
      </c>
      <c r="E80" s="81" t="s">
        <v>138</v>
      </c>
      <c r="F80" s="81" t="s">
        <v>1013</v>
      </c>
      <c r="G80" s="81" t="s">
        <v>1020</v>
      </c>
      <c r="H80" s="81" t="s">
        <v>1021</v>
      </c>
      <c r="I80" s="81" t="s">
        <v>1022</v>
      </c>
      <c r="J80" s="79"/>
      <c r="K80" s="79"/>
      <c r="L80" s="79"/>
    </row>
    <row r="81" ht="26" spans="1:12">
      <c r="A81" s="81" t="s">
        <v>972</v>
      </c>
      <c r="B81" s="81" t="s">
        <v>203</v>
      </c>
      <c r="C81" s="81" t="s">
        <v>138</v>
      </c>
      <c r="D81" s="81" t="s">
        <v>138</v>
      </c>
      <c r="E81" s="81" t="s">
        <v>138</v>
      </c>
      <c r="F81" s="81" t="s">
        <v>1013</v>
      </c>
      <c r="G81" s="81" t="s">
        <v>1020</v>
      </c>
      <c r="H81" s="81" t="s">
        <v>1021</v>
      </c>
      <c r="I81" s="81" t="s">
        <v>1022</v>
      </c>
      <c r="J81" s="79"/>
      <c r="K81" s="79"/>
      <c r="L81" s="79"/>
    </row>
    <row r="82" ht="26" spans="1:12">
      <c r="A82" s="81" t="s">
        <v>979</v>
      </c>
      <c r="B82" s="81" t="s">
        <v>203</v>
      </c>
      <c r="C82" s="81" t="s">
        <v>138</v>
      </c>
      <c r="D82" s="81" t="s">
        <v>138</v>
      </c>
      <c r="E82" s="81" t="s">
        <v>138</v>
      </c>
      <c r="F82" s="81" t="s">
        <v>1013</v>
      </c>
      <c r="G82" s="81" t="s">
        <v>1020</v>
      </c>
      <c r="H82" s="81" t="s">
        <v>1021</v>
      </c>
      <c r="I82" s="81" t="s">
        <v>1022</v>
      </c>
      <c r="J82" s="79"/>
      <c r="K82" s="79"/>
      <c r="L82" s="79"/>
    </row>
    <row r="83" ht="26" spans="1:12">
      <c r="A83" s="81" t="s">
        <v>980</v>
      </c>
      <c r="B83" s="81" t="s">
        <v>203</v>
      </c>
      <c r="C83" s="81" t="s">
        <v>138</v>
      </c>
      <c r="D83" s="81" t="s">
        <v>138</v>
      </c>
      <c r="E83" s="81" t="s">
        <v>138</v>
      </c>
      <c r="F83" s="81" t="s">
        <v>1002</v>
      </c>
      <c r="G83" s="81" t="s">
        <v>1020</v>
      </c>
      <c r="H83" s="81" t="s">
        <v>1021</v>
      </c>
      <c r="I83" s="81" t="s">
        <v>1022</v>
      </c>
      <c r="J83" s="79"/>
      <c r="K83" s="79"/>
      <c r="L83" s="79"/>
    </row>
    <row r="84" ht="26" spans="1:12">
      <c r="A84" s="81" t="s">
        <v>911</v>
      </c>
      <c r="B84" s="81" t="s">
        <v>201</v>
      </c>
      <c r="C84" s="81" t="s">
        <v>456</v>
      </c>
      <c r="D84" s="81" t="s">
        <v>260</v>
      </c>
      <c r="E84" s="81" t="s">
        <v>366</v>
      </c>
      <c r="F84" s="81" t="s">
        <v>1014</v>
      </c>
      <c r="G84" s="81" t="s">
        <v>1020</v>
      </c>
      <c r="H84" s="81" t="s">
        <v>1021</v>
      </c>
      <c r="I84" s="81" t="s">
        <v>1022</v>
      </c>
      <c r="J84" s="79"/>
      <c r="K84" s="79"/>
      <c r="L84" s="79"/>
    </row>
    <row r="85" ht="26" spans="1:12">
      <c r="A85" s="81" t="s">
        <v>927</v>
      </c>
      <c r="B85" s="81" t="s">
        <v>203</v>
      </c>
      <c r="C85" s="81" t="s">
        <v>339</v>
      </c>
      <c r="D85" s="81" t="s">
        <v>340</v>
      </c>
      <c r="E85" s="81" t="s">
        <v>366</v>
      </c>
      <c r="F85" s="81" t="s">
        <v>1004</v>
      </c>
      <c r="G85" s="81" t="s">
        <v>1020</v>
      </c>
      <c r="H85" s="81" t="s">
        <v>1021</v>
      </c>
      <c r="I85" s="81" t="s">
        <v>1022</v>
      </c>
      <c r="J85" s="79"/>
      <c r="K85" s="79"/>
      <c r="L85" s="79"/>
    </row>
    <row r="86" ht="26" spans="1:12">
      <c r="A86" s="81" t="s">
        <v>935</v>
      </c>
      <c r="B86" s="81" t="s">
        <v>203</v>
      </c>
      <c r="C86" s="81" t="s">
        <v>138</v>
      </c>
      <c r="D86" s="81"/>
      <c r="E86" s="81" t="s">
        <v>366</v>
      </c>
      <c r="F86" s="81" t="s">
        <v>1002</v>
      </c>
      <c r="G86" s="81" t="s">
        <v>1020</v>
      </c>
      <c r="H86" s="81" t="s">
        <v>1021</v>
      </c>
      <c r="I86" s="81" t="s">
        <v>1022</v>
      </c>
      <c r="J86" s="79"/>
      <c r="K86" s="79"/>
      <c r="L86" s="79"/>
    </row>
    <row r="87" ht="26" spans="1:12">
      <c r="A87" s="81" t="s">
        <v>940</v>
      </c>
      <c r="B87" s="81" t="s">
        <v>203</v>
      </c>
      <c r="C87" s="81" t="s">
        <v>138</v>
      </c>
      <c r="D87" s="81"/>
      <c r="E87" s="81" t="s">
        <v>632</v>
      </c>
      <c r="F87" s="81" t="s">
        <v>1002</v>
      </c>
      <c r="G87" s="81" t="s">
        <v>1020</v>
      </c>
      <c r="H87" s="81" t="s">
        <v>1021</v>
      </c>
      <c r="I87" s="81" t="s">
        <v>1022</v>
      </c>
      <c r="J87" s="79"/>
      <c r="K87" s="79"/>
      <c r="L87" s="79"/>
    </row>
    <row r="88" ht="26" spans="1:12">
      <c r="A88" s="81" t="s">
        <v>941</v>
      </c>
      <c r="B88" s="81" t="s">
        <v>203</v>
      </c>
      <c r="C88" s="81" t="s">
        <v>138</v>
      </c>
      <c r="D88" s="81"/>
      <c r="E88" s="81" t="s">
        <v>632</v>
      </c>
      <c r="F88" s="81" t="s">
        <v>1002</v>
      </c>
      <c r="G88" s="81" t="s">
        <v>1020</v>
      </c>
      <c r="H88" s="81" t="s">
        <v>1021</v>
      </c>
      <c r="I88" s="81" t="s">
        <v>1022</v>
      </c>
      <c r="J88" s="79"/>
      <c r="K88" s="79"/>
      <c r="L88" s="79"/>
    </row>
    <row r="89" ht="26" spans="1:12">
      <c r="A89" s="81" t="s">
        <v>951</v>
      </c>
      <c r="B89" s="81" t="s">
        <v>205</v>
      </c>
      <c r="C89" s="81" t="s">
        <v>138</v>
      </c>
      <c r="D89" s="81" t="s">
        <v>138</v>
      </c>
      <c r="E89" s="81" t="s">
        <v>117</v>
      </c>
      <c r="F89" s="81" t="s">
        <v>1013</v>
      </c>
      <c r="G89" s="81" t="s">
        <v>1020</v>
      </c>
      <c r="H89" s="81" t="s">
        <v>1021</v>
      </c>
      <c r="I89" s="81" t="s">
        <v>1022</v>
      </c>
      <c r="J89" s="79"/>
      <c r="K89" s="79"/>
      <c r="L89" s="79"/>
    </row>
    <row r="90" ht="26" spans="1:12">
      <c r="A90" s="81" t="s">
        <v>968</v>
      </c>
      <c r="B90" s="81" t="s">
        <v>203</v>
      </c>
      <c r="C90" s="81" t="s">
        <v>138</v>
      </c>
      <c r="D90" s="81" t="s">
        <v>138</v>
      </c>
      <c r="E90" s="81" t="s">
        <v>138</v>
      </c>
      <c r="F90" s="81" t="s">
        <v>1013</v>
      </c>
      <c r="G90" s="81" t="s">
        <v>1020</v>
      </c>
      <c r="H90" s="81" t="s">
        <v>1021</v>
      </c>
      <c r="I90" s="81" t="s">
        <v>1022</v>
      </c>
      <c r="J90" s="79"/>
      <c r="K90" s="79"/>
      <c r="L90" s="79"/>
    </row>
    <row r="91" ht="26" spans="1:12">
      <c r="A91" s="81" t="s">
        <v>971</v>
      </c>
      <c r="B91" s="81" t="s">
        <v>203</v>
      </c>
      <c r="C91" s="81" t="s">
        <v>138</v>
      </c>
      <c r="D91" s="81" t="s">
        <v>138</v>
      </c>
      <c r="E91" s="81" t="s">
        <v>138</v>
      </c>
      <c r="F91" s="81" t="s">
        <v>1002</v>
      </c>
      <c r="G91" s="81" t="s">
        <v>1020</v>
      </c>
      <c r="H91" s="81" t="s">
        <v>1021</v>
      </c>
      <c r="I91" s="81" t="s">
        <v>1022</v>
      </c>
      <c r="J91" s="79"/>
      <c r="K91" s="79"/>
      <c r="L91" s="79"/>
    </row>
    <row r="92" ht="26" spans="1:12">
      <c r="A92" s="81" t="s">
        <v>974</v>
      </c>
      <c r="B92" s="81" t="s">
        <v>203</v>
      </c>
      <c r="C92" s="81" t="s">
        <v>138</v>
      </c>
      <c r="D92" s="81" t="s">
        <v>138</v>
      </c>
      <c r="E92" s="81" t="s">
        <v>138</v>
      </c>
      <c r="F92" s="81" t="s">
        <v>1002</v>
      </c>
      <c r="G92" s="81" t="s">
        <v>1020</v>
      </c>
      <c r="H92" s="81" t="s">
        <v>1021</v>
      </c>
      <c r="I92" s="81" t="s">
        <v>1022</v>
      </c>
      <c r="J92" s="79"/>
      <c r="K92" s="79"/>
      <c r="L92" s="79"/>
    </row>
    <row r="93" ht="26" spans="1:12">
      <c r="A93" s="81" t="s">
        <v>975</v>
      </c>
      <c r="B93" s="81" t="s">
        <v>203</v>
      </c>
      <c r="C93" s="81" t="s">
        <v>138</v>
      </c>
      <c r="D93" s="81" t="s">
        <v>138</v>
      </c>
      <c r="E93" s="81" t="s">
        <v>813</v>
      </c>
      <c r="F93" s="81" t="s">
        <v>1013</v>
      </c>
      <c r="G93" s="81" t="s">
        <v>1020</v>
      </c>
      <c r="H93" s="81" t="s">
        <v>1021</v>
      </c>
      <c r="I93" s="81" t="s">
        <v>1022</v>
      </c>
      <c r="J93" s="79"/>
      <c r="K93" s="79"/>
      <c r="L93" s="79"/>
    </row>
    <row r="94" ht="26" spans="1:12">
      <c r="A94" s="81" t="s">
        <v>976</v>
      </c>
      <c r="B94" s="81" t="s">
        <v>203</v>
      </c>
      <c r="C94" s="81" t="s">
        <v>138</v>
      </c>
      <c r="D94" s="81" t="s">
        <v>138</v>
      </c>
      <c r="E94" s="81" t="s">
        <v>138</v>
      </c>
      <c r="F94" s="81" t="s">
        <v>1002</v>
      </c>
      <c r="G94" s="81" t="s">
        <v>1020</v>
      </c>
      <c r="H94" s="81" t="s">
        <v>1021</v>
      </c>
      <c r="I94" s="81" t="s">
        <v>1022</v>
      </c>
      <c r="J94" s="79"/>
      <c r="K94" s="79"/>
      <c r="L94" s="79"/>
    </row>
    <row r="95" ht="26" spans="1:12">
      <c r="A95" s="81" t="s">
        <v>977</v>
      </c>
      <c r="B95" s="81" t="s">
        <v>203</v>
      </c>
      <c r="C95" s="81" t="s">
        <v>138</v>
      </c>
      <c r="D95" s="81" t="s">
        <v>138</v>
      </c>
      <c r="E95" s="81" t="s">
        <v>366</v>
      </c>
      <c r="F95" s="81" t="s">
        <v>1013</v>
      </c>
      <c r="G95" s="81" t="s">
        <v>1020</v>
      </c>
      <c r="H95" s="81" t="s">
        <v>1021</v>
      </c>
      <c r="I95" s="81" t="s">
        <v>1022</v>
      </c>
      <c r="J95" s="79"/>
      <c r="K95" s="79"/>
      <c r="L95" s="79"/>
    </row>
    <row r="96" ht="26" spans="1:12">
      <c r="A96" s="81" t="s">
        <v>930</v>
      </c>
      <c r="B96" s="81" t="s">
        <v>203</v>
      </c>
      <c r="C96" s="81" t="s">
        <v>456</v>
      </c>
      <c r="D96" s="81" t="s">
        <v>260</v>
      </c>
      <c r="E96" s="81" t="s">
        <v>632</v>
      </c>
      <c r="F96" s="81" t="s">
        <v>1014</v>
      </c>
      <c r="G96" s="81" t="s">
        <v>1020</v>
      </c>
      <c r="H96" s="81" t="s">
        <v>1021</v>
      </c>
      <c r="I96" s="81" t="s">
        <v>1022</v>
      </c>
      <c r="J96" s="79"/>
      <c r="K96" s="79"/>
      <c r="L96" s="79"/>
    </row>
    <row r="97" ht="26" spans="1:12">
      <c r="A97" s="81" t="s">
        <v>929</v>
      </c>
      <c r="B97" s="81" t="s">
        <v>203</v>
      </c>
      <c r="C97" s="81" t="s">
        <v>456</v>
      </c>
      <c r="D97" s="81" t="s">
        <v>260</v>
      </c>
      <c r="E97" s="81" t="s">
        <v>632</v>
      </c>
      <c r="F97" s="81" t="s">
        <v>1014</v>
      </c>
      <c r="G97" s="81" t="s">
        <v>1020</v>
      </c>
      <c r="H97" s="81" t="s">
        <v>1021</v>
      </c>
      <c r="I97" s="81" t="s">
        <v>1022</v>
      </c>
      <c r="J97" s="79"/>
      <c r="K97" s="79"/>
      <c r="L97" s="79"/>
    </row>
    <row r="98" ht="26" spans="1:12">
      <c r="A98" s="81" t="s">
        <v>915</v>
      </c>
      <c r="B98" s="81" t="s">
        <v>203</v>
      </c>
      <c r="C98" s="81" t="s">
        <v>522</v>
      </c>
      <c r="D98" s="81" t="s">
        <v>260</v>
      </c>
      <c r="E98" s="81" t="s">
        <v>366</v>
      </c>
      <c r="F98" s="81" t="s">
        <v>1014</v>
      </c>
      <c r="G98" s="81" t="s">
        <v>1020</v>
      </c>
      <c r="H98" s="81" t="s">
        <v>1021</v>
      </c>
      <c r="I98" s="81" t="s">
        <v>1022</v>
      </c>
      <c r="J98" s="79"/>
      <c r="K98" s="79"/>
      <c r="L98" s="79"/>
    </row>
    <row r="99" ht="26" spans="1:12">
      <c r="A99" s="81" t="s">
        <v>916</v>
      </c>
      <c r="B99" s="81" t="s">
        <v>203</v>
      </c>
      <c r="C99" s="81" t="s">
        <v>522</v>
      </c>
      <c r="D99" s="81" t="s">
        <v>260</v>
      </c>
      <c r="E99" s="81" t="s">
        <v>366</v>
      </c>
      <c r="F99" s="81" t="s">
        <v>1014</v>
      </c>
      <c r="G99" s="81" t="s">
        <v>1020</v>
      </c>
      <c r="H99" s="81" t="s">
        <v>1021</v>
      </c>
      <c r="I99" s="81" t="s">
        <v>1022</v>
      </c>
      <c r="J99" s="79"/>
      <c r="K99" s="79"/>
      <c r="L99" s="79"/>
    </row>
    <row r="100" ht="26" spans="1:12">
      <c r="A100" s="81" t="s">
        <v>931</v>
      </c>
      <c r="B100" s="81" t="s">
        <v>203</v>
      </c>
      <c r="C100" s="81" t="s">
        <v>456</v>
      </c>
      <c r="D100" s="81" t="s">
        <v>260</v>
      </c>
      <c r="E100" s="81" t="s">
        <v>632</v>
      </c>
      <c r="F100" s="81" t="s">
        <v>1014</v>
      </c>
      <c r="G100" s="81" t="s">
        <v>1020</v>
      </c>
      <c r="H100" s="81" t="s">
        <v>1021</v>
      </c>
      <c r="I100" s="81" t="s">
        <v>1022</v>
      </c>
      <c r="J100" s="79"/>
      <c r="K100" s="79"/>
      <c r="L100" s="79"/>
    </row>
    <row r="101" ht="26" spans="1:12">
      <c r="A101" s="81" t="s">
        <v>939</v>
      </c>
      <c r="B101" s="81" t="s">
        <v>399</v>
      </c>
      <c r="C101" s="81" t="s">
        <v>522</v>
      </c>
      <c r="D101" s="81" t="s">
        <v>260</v>
      </c>
      <c r="E101" s="81" t="s">
        <v>117</v>
      </c>
      <c r="F101" s="81" t="s">
        <v>1014</v>
      </c>
      <c r="G101" s="81" t="s">
        <v>1020</v>
      </c>
      <c r="H101" s="81" t="s">
        <v>1021</v>
      </c>
      <c r="I101" s="81" t="s">
        <v>1022</v>
      </c>
      <c r="J101" s="79"/>
      <c r="K101" s="79"/>
      <c r="L101" s="79"/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6"/>
  <sheetViews>
    <sheetView showGridLines="0" workbookViewId="0">
      <selection activeCell="A1" sqref="A1:L1"/>
    </sheetView>
  </sheetViews>
  <sheetFormatPr defaultColWidth="9" defaultRowHeight="14.5"/>
  <cols>
    <col min="1" max="2" width="44" customWidth="1"/>
    <col min="3" max="3" width="18" customWidth="1"/>
    <col min="4" max="4" width="10" customWidth="1"/>
    <col min="5" max="5" width="14" customWidth="1"/>
    <col min="6" max="6" width="44" customWidth="1"/>
    <col min="7" max="7" width="11" customWidth="1"/>
    <col min="8" max="8" width="44" customWidth="1"/>
    <col min="9" max="12" width="10" customWidth="1"/>
  </cols>
  <sheetData>
    <row r="1" ht="21" spans="1:12">
      <c r="A1" s="78" t="s">
        <v>1023</v>
      </c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>
      <c r="A3" s="80" t="s">
        <v>72</v>
      </c>
      <c r="B3" s="80" t="s">
        <v>74</v>
      </c>
      <c r="C3" s="80" t="s">
        <v>209</v>
      </c>
      <c r="D3" s="80" t="s">
        <v>210</v>
      </c>
      <c r="E3" s="80" t="s">
        <v>116</v>
      </c>
      <c r="F3" s="80" t="s">
        <v>1016</v>
      </c>
      <c r="G3" s="80" t="s">
        <v>86</v>
      </c>
      <c r="H3" s="80" t="s">
        <v>1024</v>
      </c>
      <c r="I3" s="79"/>
      <c r="J3" s="79"/>
      <c r="K3" s="79"/>
      <c r="L3" s="79"/>
    </row>
    <row r="4" ht="26" spans="1:12">
      <c r="A4" s="81" t="s">
        <v>236</v>
      </c>
      <c r="B4" s="81" t="s">
        <v>883</v>
      </c>
      <c r="C4" s="81" t="s">
        <v>101</v>
      </c>
      <c r="D4" s="81" t="s">
        <v>109</v>
      </c>
      <c r="E4" s="81" t="s">
        <v>117</v>
      </c>
      <c r="F4" s="81" t="s">
        <v>1000</v>
      </c>
      <c r="G4" s="81">
        <v>4</v>
      </c>
      <c r="H4" s="81" t="s">
        <v>1025</v>
      </c>
      <c r="I4" s="79"/>
      <c r="J4" s="79"/>
      <c r="K4" s="79"/>
      <c r="L4" s="79"/>
    </row>
    <row r="5" ht="26" spans="1:12">
      <c r="A5" s="81" t="s">
        <v>244</v>
      </c>
      <c r="B5" s="81" t="s">
        <v>883</v>
      </c>
      <c r="C5" s="81" t="s">
        <v>101</v>
      </c>
      <c r="D5" s="81" t="s">
        <v>109</v>
      </c>
      <c r="E5" s="81" t="s">
        <v>117</v>
      </c>
      <c r="F5" s="81" t="s">
        <v>1000</v>
      </c>
      <c r="G5" s="81">
        <v>4</v>
      </c>
      <c r="H5" s="81" t="s">
        <v>1025</v>
      </c>
      <c r="I5" s="79"/>
      <c r="J5" s="79"/>
      <c r="K5" s="79"/>
      <c r="L5" s="79"/>
    </row>
    <row r="6" ht="26" spans="1:12">
      <c r="A6" s="81" t="s">
        <v>247</v>
      </c>
      <c r="B6" s="81" t="s">
        <v>883</v>
      </c>
      <c r="C6" s="81" t="s">
        <v>101</v>
      </c>
      <c r="D6" s="81" t="s">
        <v>109</v>
      </c>
      <c r="E6" s="81" t="s">
        <v>117</v>
      </c>
      <c r="F6" s="81" t="s">
        <v>1000</v>
      </c>
      <c r="G6" s="81">
        <v>4</v>
      </c>
      <c r="H6" s="81" t="s">
        <v>1025</v>
      </c>
      <c r="I6" s="79"/>
      <c r="J6" s="79"/>
      <c r="K6" s="79"/>
      <c r="L6" s="79"/>
    </row>
    <row r="7" ht="26" spans="1:12">
      <c r="A7" s="81" t="s">
        <v>250</v>
      </c>
      <c r="B7" s="81" t="s">
        <v>883</v>
      </c>
      <c r="C7" s="81" t="s">
        <v>101</v>
      </c>
      <c r="D7" s="81" t="s">
        <v>109</v>
      </c>
      <c r="E7" s="81" t="s">
        <v>117</v>
      </c>
      <c r="F7" s="81" t="s">
        <v>1000</v>
      </c>
      <c r="G7" s="81">
        <v>4</v>
      </c>
      <c r="H7" s="81" t="s">
        <v>1025</v>
      </c>
      <c r="I7" s="79"/>
      <c r="J7" s="79"/>
      <c r="K7" s="79"/>
      <c r="L7" s="79"/>
    </row>
    <row r="8" ht="26" spans="1:12">
      <c r="A8" s="81" t="s">
        <v>255</v>
      </c>
      <c r="B8" s="81" t="s">
        <v>883</v>
      </c>
      <c r="C8" s="81" t="s">
        <v>101</v>
      </c>
      <c r="D8" s="81" t="s">
        <v>109</v>
      </c>
      <c r="E8" s="81" t="s">
        <v>117</v>
      </c>
      <c r="F8" s="81" t="s">
        <v>1000</v>
      </c>
      <c r="G8" s="81">
        <v>4</v>
      </c>
      <c r="H8" s="81" t="s">
        <v>1025</v>
      </c>
      <c r="I8" s="79"/>
      <c r="J8" s="79"/>
      <c r="K8" s="79"/>
      <c r="L8" s="79"/>
    </row>
    <row r="9" ht="26" spans="1:12">
      <c r="A9" s="81" t="s">
        <v>258</v>
      </c>
      <c r="B9" s="81" t="s">
        <v>883</v>
      </c>
      <c r="C9" s="81" t="s">
        <v>101</v>
      </c>
      <c r="D9" s="81" t="s">
        <v>109</v>
      </c>
      <c r="E9" s="81" t="s">
        <v>117</v>
      </c>
      <c r="F9" s="81" t="s">
        <v>1000</v>
      </c>
      <c r="G9" s="81">
        <v>4</v>
      </c>
      <c r="H9" s="81" t="s">
        <v>1025</v>
      </c>
      <c r="I9" s="79"/>
      <c r="J9" s="79"/>
      <c r="K9" s="79"/>
      <c r="L9" s="79"/>
    </row>
    <row r="10" ht="26" spans="1:12">
      <c r="A10" s="81" t="s">
        <v>259</v>
      </c>
      <c r="B10" s="81" t="s">
        <v>885</v>
      </c>
      <c r="C10" s="81" t="s">
        <v>101</v>
      </c>
      <c r="D10" s="81" t="s">
        <v>260</v>
      </c>
      <c r="E10" s="81" t="s">
        <v>117</v>
      </c>
      <c r="F10" s="81" t="s">
        <v>1005</v>
      </c>
      <c r="G10" s="81">
        <v>2</v>
      </c>
      <c r="H10" s="81" t="s">
        <v>1025</v>
      </c>
      <c r="I10" s="79"/>
      <c r="J10" s="79"/>
      <c r="K10" s="79"/>
      <c r="L10" s="79"/>
    </row>
    <row r="11" ht="26" spans="1:12">
      <c r="A11" s="81" t="s">
        <v>261</v>
      </c>
      <c r="B11" s="81" t="s">
        <v>885</v>
      </c>
      <c r="C11" s="81" t="s">
        <v>101</v>
      </c>
      <c r="D11" s="81" t="s">
        <v>260</v>
      </c>
      <c r="E11" s="81" t="s">
        <v>117</v>
      </c>
      <c r="F11" s="81" t="s">
        <v>1005</v>
      </c>
      <c r="G11" s="81">
        <v>2</v>
      </c>
      <c r="H11" s="81" t="s">
        <v>1025</v>
      </c>
      <c r="I11" s="79"/>
      <c r="J11" s="79"/>
      <c r="K11" s="79"/>
      <c r="L11" s="79"/>
    </row>
    <row r="12" ht="26" spans="1:12">
      <c r="A12" s="81" t="s">
        <v>262</v>
      </c>
      <c r="B12" s="81" t="s">
        <v>885</v>
      </c>
      <c r="C12" s="81" t="s">
        <v>101</v>
      </c>
      <c r="D12" s="81" t="s">
        <v>260</v>
      </c>
      <c r="E12" s="81" t="s">
        <v>117</v>
      </c>
      <c r="F12" s="81" t="s">
        <v>1005</v>
      </c>
      <c r="G12" s="81">
        <v>2</v>
      </c>
      <c r="H12" s="81" t="s">
        <v>1025</v>
      </c>
      <c r="I12" s="79"/>
      <c r="J12" s="79"/>
      <c r="K12" s="79"/>
      <c r="L12" s="79"/>
    </row>
    <row r="13" ht="26" spans="1:12">
      <c r="A13" s="81" t="s">
        <v>263</v>
      </c>
      <c r="B13" s="81" t="s">
        <v>885</v>
      </c>
      <c r="C13" s="81" t="s">
        <v>101</v>
      </c>
      <c r="D13" s="81" t="s">
        <v>260</v>
      </c>
      <c r="E13" s="81" t="s">
        <v>117</v>
      </c>
      <c r="F13" s="81" t="s">
        <v>1005</v>
      </c>
      <c r="G13" s="81">
        <v>2</v>
      </c>
      <c r="H13" s="81" t="s">
        <v>1025</v>
      </c>
      <c r="I13" s="79"/>
      <c r="J13" s="79"/>
      <c r="K13" s="79"/>
      <c r="L13" s="79"/>
    </row>
    <row r="14" ht="26" spans="1:12">
      <c r="A14" s="81" t="s">
        <v>264</v>
      </c>
      <c r="B14" s="81" t="s">
        <v>885</v>
      </c>
      <c r="C14" s="81" t="s">
        <v>101</v>
      </c>
      <c r="D14" s="81" t="s">
        <v>260</v>
      </c>
      <c r="E14" s="81" t="s">
        <v>117</v>
      </c>
      <c r="F14" s="81" t="s">
        <v>1005</v>
      </c>
      <c r="G14" s="81">
        <v>2</v>
      </c>
      <c r="H14" s="81" t="s">
        <v>1025</v>
      </c>
      <c r="I14" s="79"/>
      <c r="J14" s="79"/>
      <c r="K14" s="79"/>
      <c r="L14" s="79"/>
    </row>
    <row r="15" ht="26" spans="1:12">
      <c r="A15" s="81" t="s">
        <v>265</v>
      </c>
      <c r="B15" s="81" t="s">
        <v>885</v>
      </c>
      <c r="C15" s="81" t="s">
        <v>101</v>
      </c>
      <c r="D15" s="81" t="s">
        <v>260</v>
      </c>
      <c r="E15" s="81" t="s">
        <v>117</v>
      </c>
      <c r="F15" s="81" t="s">
        <v>1005</v>
      </c>
      <c r="G15" s="81">
        <v>2</v>
      </c>
      <c r="H15" s="81" t="s">
        <v>1025</v>
      </c>
      <c r="I15" s="79"/>
      <c r="J15" s="79"/>
      <c r="K15" s="79"/>
      <c r="L15" s="79"/>
    </row>
    <row r="16" ht="26" spans="1:12">
      <c r="A16" s="81" t="s">
        <v>266</v>
      </c>
      <c r="B16" s="81" t="s">
        <v>885</v>
      </c>
      <c r="C16" s="81" t="s">
        <v>101</v>
      </c>
      <c r="D16" s="81" t="s">
        <v>260</v>
      </c>
      <c r="E16" s="81" t="s">
        <v>117</v>
      </c>
      <c r="F16" s="81" t="s">
        <v>1005</v>
      </c>
      <c r="G16" s="81">
        <v>2</v>
      </c>
      <c r="H16" s="81" t="s">
        <v>1025</v>
      </c>
      <c r="I16" s="79"/>
      <c r="J16" s="79"/>
      <c r="K16" s="79"/>
      <c r="L16" s="79"/>
    </row>
    <row r="17" ht="26" spans="1:12">
      <c r="A17" s="81" t="s">
        <v>268</v>
      </c>
      <c r="B17" s="81" t="s">
        <v>885</v>
      </c>
      <c r="C17" s="81" t="s">
        <v>101</v>
      </c>
      <c r="D17" s="81" t="s">
        <v>260</v>
      </c>
      <c r="E17" s="81" t="s">
        <v>117</v>
      </c>
      <c r="F17" s="81" t="s">
        <v>1005</v>
      </c>
      <c r="G17" s="81">
        <v>2</v>
      </c>
      <c r="H17" s="81" t="s">
        <v>1025</v>
      </c>
      <c r="I17" s="79"/>
      <c r="J17" s="79"/>
      <c r="K17" s="79"/>
      <c r="L17" s="79"/>
    </row>
    <row r="18" ht="26" spans="1:12">
      <c r="A18" s="81" t="s">
        <v>269</v>
      </c>
      <c r="B18" s="81" t="s">
        <v>885</v>
      </c>
      <c r="C18" s="81" t="s">
        <v>101</v>
      </c>
      <c r="D18" s="81" t="s">
        <v>260</v>
      </c>
      <c r="E18" s="81" t="s">
        <v>117</v>
      </c>
      <c r="F18" s="81" t="s">
        <v>1005</v>
      </c>
      <c r="G18" s="81">
        <v>2</v>
      </c>
      <c r="H18" s="81" t="s">
        <v>1025</v>
      </c>
      <c r="I18" s="79"/>
      <c r="J18" s="79"/>
      <c r="K18" s="79"/>
      <c r="L18" s="79"/>
    </row>
    <row r="19" ht="26" spans="1:12">
      <c r="A19" s="81" t="s">
        <v>270</v>
      </c>
      <c r="B19" s="81" t="s">
        <v>885</v>
      </c>
      <c r="C19" s="81" t="s">
        <v>101</v>
      </c>
      <c r="D19" s="81" t="s">
        <v>260</v>
      </c>
      <c r="E19" s="81" t="s">
        <v>117</v>
      </c>
      <c r="F19" s="81" t="s">
        <v>1005</v>
      </c>
      <c r="G19" s="81">
        <v>2</v>
      </c>
      <c r="H19" s="81" t="s">
        <v>1025</v>
      </c>
      <c r="I19" s="79"/>
      <c r="J19" s="79"/>
      <c r="K19" s="79"/>
      <c r="L19" s="79"/>
    </row>
    <row r="20" ht="26" spans="1:12">
      <c r="A20" s="81" t="s">
        <v>271</v>
      </c>
      <c r="B20" s="81" t="s">
        <v>885</v>
      </c>
      <c r="C20" s="81" t="s">
        <v>101</v>
      </c>
      <c r="D20" s="81" t="s">
        <v>260</v>
      </c>
      <c r="E20" s="81" t="s">
        <v>117</v>
      </c>
      <c r="F20" s="81" t="s">
        <v>1005</v>
      </c>
      <c r="G20" s="81">
        <v>2</v>
      </c>
      <c r="H20" s="81" t="s">
        <v>1025</v>
      </c>
      <c r="I20" s="79"/>
      <c r="J20" s="79"/>
      <c r="K20" s="79"/>
      <c r="L20" s="79"/>
    </row>
    <row r="21" ht="26" spans="1:12">
      <c r="A21" s="81" t="s">
        <v>272</v>
      </c>
      <c r="B21" s="81" t="s">
        <v>885</v>
      </c>
      <c r="C21" s="81" t="s">
        <v>101</v>
      </c>
      <c r="D21" s="81" t="s">
        <v>260</v>
      </c>
      <c r="E21" s="81" t="s">
        <v>117</v>
      </c>
      <c r="F21" s="81" t="s">
        <v>1005</v>
      </c>
      <c r="G21" s="81">
        <v>2</v>
      </c>
      <c r="H21" s="81" t="s">
        <v>1025</v>
      </c>
      <c r="I21" s="79"/>
      <c r="J21" s="79"/>
      <c r="K21" s="79"/>
      <c r="L21" s="79"/>
    </row>
    <row r="22" ht="26" spans="1:12">
      <c r="A22" s="81" t="s">
        <v>273</v>
      </c>
      <c r="B22" s="81" t="s">
        <v>885</v>
      </c>
      <c r="C22" s="81" t="s">
        <v>101</v>
      </c>
      <c r="D22" s="81" t="s">
        <v>260</v>
      </c>
      <c r="E22" s="81" t="s">
        <v>117</v>
      </c>
      <c r="F22" s="81" t="s">
        <v>1005</v>
      </c>
      <c r="G22" s="81">
        <v>2</v>
      </c>
      <c r="H22" s="81" t="s">
        <v>1025</v>
      </c>
      <c r="I22" s="79"/>
      <c r="J22" s="79"/>
      <c r="K22" s="79"/>
      <c r="L22" s="79"/>
    </row>
    <row r="23" ht="26" spans="1:12">
      <c r="A23" s="81" t="s">
        <v>277</v>
      </c>
      <c r="B23" s="81" t="s">
        <v>885</v>
      </c>
      <c r="C23" s="81" t="s">
        <v>101</v>
      </c>
      <c r="D23" s="81" t="s">
        <v>260</v>
      </c>
      <c r="E23" s="81" t="s">
        <v>117</v>
      </c>
      <c r="F23" s="81" t="s">
        <v>1005</v>
      </c>
      <c r="G23" s="81">
        <v>2</v>
      </c>
      <c r="H23" s="81" t="s">
        <v>1025</v>
      </c>
      <c r="I23" s="79"/>
      <c r="J23" s="79"/>
      <c r="K23" s="79"/>
      <c r="L23" s="79"/>
    </row>
    <row r="24" ht="26" spans="1:12">
      <c r="A24" s="81" t="s">
        <v>279</v>
      </c>
      <c r="B24" s="81" t="s">
        <v>885</v>
      </c>
      <c r="C24" s="81" t="s">
        <v>101</v>
      </c>
      <c r="D24" s="81" t="s">
        <v>260</v>
      </c>
      <c r="E24" s="81" t="s">
        <v>117</v>
      </c>
      <c r="F24" s="81" t="s">
        <v>1005</v>
      </c>
      <c r="G24" s="81">
        <v>2</v>
      </c>
      <c r="H24" s="81" t="s">
        <v>1025</v>
      </c>
      <c r="I24" s="79"/>
      <c r="J24" s="79"/>
      <c r="K24" s="79"/>
      <c r="L24" s="79"/>
    </row>
    <row r="25" ht="26" spans="1:12">
      <c r="A25" s="81" t="s">
        <v>280</v>
      </c>
      <c r="B25" s="81" t="s">
        <v>885</v>
      </c>
      <c r="C25" s="81" t="s">
        <v>101</v>
      </c>
      <c r="D25" s="81" t="s">
        <v>260</v>
      </c>
      <c r="E25" s="81" t="s">
        <v>117</v>
      </c>
      <c r="F25" s="81" t="s">
        <v>1005</v>
      </c>
      <c r="G25" s="81">
        <v>2</v>
      </c>
      <c r="H25" s="81" t="s">
        <v>1025</v>
      </c>
      <c r="I25" s="79"/>
      <c r="J25" s="79"/>
      <c r="K25" s="79"/>
      <c r="L25" s="79"/>
    </row>
    <row r="26" ht="26" spans="1:12">
      <c r="A26" s="81" t="s">
        <v>281</v>
      </c>
      <c r="B26" s="81" t="s">
        <v>885</v>
      </c>
      <c r="C26" s="81" t="s">
        <v>101</v>
      </c>
      <c r="D26" s="81" t="s">
        <v>260</v>
      </c>
      <c r="E26" s="81" t="s">
        <v>117</v>
      </c>
      <c r="F26" s="81" t="s">
        <v>1005</v>
      </c>
      <c r="G26" s="81">
        <v>2</v>
      </c>
      <c r="H26" s="81" t="s">
        <v>1025</v>
      </c>
      <c r="I26" s="79"/>
      <c r="J26" s="79"/>
      <c r="K26" s="79"/>
      <c r="L26" s="79"/>
    </row>
    <row r="27" ht="26" spans="1:12">
      <c r="A27" s="81" t="s">
        <v>282</v>
      </c>
      <c r="B27" s="81" t="s">
        <v>885</v>
      </c>
      <c r="C27" s="81" t="s">
        <v>101</v>
      </c>
      <c r="D27" s="81" t="s">
        <v>260</v>
      </c>
      <c r="E27" s="81" t="s">
        <v>117</v>
      </c>
      <c r="F27" s="81" t="s">
        <v>1005</v>
      </c>
      <c r="G27" s="81">
        <v>2</v>
      </c>
      <c r="H27" s="81" t="s">
        <v>1025</v>
      </c>
      <c r="I27" s="79"/>
      <c r="J27" s="79"/>
      <c r="K27" s="79"/>
      <c r="L27" s="79"/>
    </row>
    <row r="28" ht="26" spans="1:12">
      <c r="A28" s="81" t="s">
        <v>283</v>
      </c>
      <c r="B28" s="81" t="s">
        <v>885</v>
      </c>
      <c r="C28" s="81" t="s">
        <v>101</v>
      </c>
      <c r="D28" s="81" t="s">
        <v>260</v>
      </c>
      <c r="E28" s="81" t="s">
        <v>117</v>
      </c>
      <c r="F28" s="81" t="s">
        <v>1005</v>
      </c>
      <c r="G28" s="81">
        <v>2</v>
      </c>
      <c r="H28" s="81" t="s">
        <v>1025</v>
      </c>
      <c r="I28" s="79"/>
      <c r="J28" s="79"/>
      <c r="K28" s="79"/>
      <c r="L28" s="79"/>
    </row>
    <row r="29" ht="26" spans="1:12">
      <c r="A29" s="81" t="s">
        <v>284</v>
      </c>
      <c r="B29" s="81" t="s">
        <v>885</v>
      </c>
      <c r="C29" s="81" t="s">
        <v>101</v>
      </c>
      <c r="D29" s="81" t="s">
        <v>260</v>
      </c>
      <c r="E29" s="81" t="s">
        <v>117</v>
      </c>
      <c r="F29" s="81" t="s">
        <v>1005</v>
      </c>
      <c r="G29" s="81">
        <v>2</v>
      </c>
      <c r="H29" s="81" t="s">
        <v>1025</v>
      </c>
      <c r="I29" s="79"/>
      <c r="J29" s="79"/>
      <c r="K29" s="79"/>
      <c r="L29" s="79"/>
    </row>
    <row r="30" ht="26" spans="1:12">
      <c r="A30" s="81" t="s">
        <v>287</v>
      </c>
      <c r="B30" s="81" t="s">
        <v>885</v>
      </c>
      <c r="C30" s="81" t="s">
        <v>101</v>
      </c>
      <c r="D30" s="81" t="s">
        <v>260</v>
      </c>
      <c r="E30" s="81" t="s">
        <v>117</v>
      </c>
      <c r="F30" s="81" t="s">
        <v>1005</v>
      </c>
      <c r="G30" s="81">
        <v>2</v>
      </c>
      <c r="H30" s="81" t="s">
        <v>1025</v>
      </c>
      <c r="I30" s="79"/>
      <c r="J30" s="79"/>
      <c r="K30" s="79"/>
      <c r="L30" s="79"/>
    </row>
    <row r="31" ht="26" spans="1:12">
      <c r="A31" s="81" t="s">
        <v>288</v>
      </c>
      <c r="B31" s="81" t="s">
        <v>885</v>
      </c>
      <c r="C31" s="81" t="s">
        <v>101</v>
      </c>
      <c r="D31" s="81" t="s">
        <v>260</v>
      </c>
      <c r="E31" s="81" t="s">
        <v>117</v>
      </c>
      <c r="F31" s="81" t="s">
        <v>1005</v>
      </c>
      <c r="G31" s="81">
        <v>2</v>
      </c>
      <c r="H31" s="81" t="s">
        <v>1025</v>
      </c>
      <c r="I31" s="79"/>
      <c r="J31" s="79"/>
      <c r="K31" s="79"/>
      <c r="L31" s="79"/>
    </row>
    <row r="32" ht="26" spans="1:12">
      <c r="A32" s="81" t="s">
        <v>289</v>
      </c>
      <c r="B32" s="81" t="s">
        <v>885</v>
      </c>
      <c r="C32" s="81" t="s">
        <v>101</v>
      </c>
      <c r="D32" s="81" t="s">
        <v>260</v>
      </c>
      <c r="E32" s="81" t="s">
        <v>117</v>
      </c>
      <c r="F32" s="81" t="s">
        <v>1005</v>
      </c>
      <c r="G32" s="81">
        <v>2</v>
      </c>
      <c r="H32" s="81" t="s">
        <v>1025</v>
      </c>
      <c r="I32" s="79"/>
      <c r="J32" s="79"/>
      <c r="K32" s="79"/>
      <c r="L32" s="79"/>
    </row>
    <row r="33" ht="26" spans="1:12">
      <c r="A33" s="81" t="s">
        <v>290</v>
      </c>
      <c r="B33" s="81" t="s">
        <v>885</v>
      </c>
      <c r="C33" s="81" t="s">
        <v>101</v>
      </c>
      <c r="D33" s="81" t="s">
        <v>260</v>
      </c>
      <c r="E33" s="81" t="s">
        <v>117</v>
      </c>
      <c r="F33" s="81" t="s">
        <v>1005</v>
      </c>
      <c r="G33" s="81">
        <v>2</v>
      </c>
      <c r="H33" s="81" t="s">
        <v>1025</v>
      </c>
      <c r="I33" s="79"/>
      <c r="J33" s="79"/>
      <c r="K33" s="79"/>
      <c r="L33" s="79"/>
    </row>
    <row r="34" ht="26" spans="1:12">
      <c r="A34" s="81" t="s">
        <v>292</v>
      </c>
      <c r="B34" s="81" t="s">
        <v>885</v>
      </c>
      <c r="C34" s="81" t="s">
        <v>101</v>
      </c>
      <c r="D34" s="81" t="s">
        <v>260</v>
      </c>
      <c r="E34" s="81" t="s">
        <v>117</v>
      </c>
      <c r="F34" s="81" t="s">
        <v>1005</v>
      </c>
      <c r="G34" s="81">
        <v>2</v>
      </c>
      <c r="H34" s="81" t="s">
        <v>1025</v>
      </c>
      <c r="I34" s="79"/>
      <c r="J34" s="79"/>
      <c r="K34" s="79"/>
      <c r="L34" s="79"/>
    </row>
    <row r="35" ht="26" spans="1:12">
      <c r="A35" s="81" t="s">
        <v>293</v>
      </c>
      <c r="B35" s="81" t="s">
        <v>885</v>
      </c>
      <c r="C35" s="81" t="s">
        <v>101</v>
      </c>
      <c r="D35" s="81" t="s">
        <v>260</v>
      </c>
      <c r="E35" s="81" t="s">
        <v>117</v>
      </c>
      <c r="F35" s="81" t="s">
        <v>1005</v>
      </c>
      <c r="G35" s="81">
        <v>2</v>
      </c>
      <c r="H35" s="81" t="s">
        <v>1025</v>
      </c>
      <c r="I35" s="79"/>
      <c r="J35" s="79"/>
      <c r="K35" s="79"/>
      <c r="L35" s="79"/>
    </row>
    <row r="36" ht="26" spans="1:12">
      <c r="A36" s="81" t="s">
        <v>294</v>
      </c>
      <c r="B36" s="81" t="s">
        <v>885</v>
      </c>
      <c r="C36" s="81" t="s">
        <v>101</v>
      </c>
      <c r="D36" s="81" t="s">
        <v>260</v>
      </c>
      <c r="E36" s="81" t="s">
        <v>117</v>
      </c>
      <c r="F36" s="81" t="s">
        <v>1005</v>
      </c>
      <c r="G36" s="81">
        <v>2</v>
      </c>
      <c r="H36" s="81" t="s">
        <v>1025</v>
      </c>
      <c r="I36" s="79"/>
      <c r="J36" s="79"/>
      <c r="K36" s="79"/>
      <c r="L36" s="79"/>
    </row>
    <row r="37" ht="26" spans="1:12">
      <c r="A37" s="81" t="s">
        <v>295</v>
      </c>
      <c r="B37" s="81" t="s">
        <v>885</v>
      </c>
      <c r="C37" s="81" t="s">
        <v>101</v>
      </c>
      <c r="D37" s="81" t="s">
        <v>260</v>
      </c>
      <c r="E37" s="81" t="s">
        <v>117</v>
      </c>
      <c r="F37" s="81" t="s">
        <v>1005</v>
      </c>
      <c r="G37" s="81">
        <v>2</v>
      </c>
      <c r="H37" s="81" t="s">
        <v>1025</v>
      </c>
      <c r="I37" s="79"/>
      <c r="J37" s="79"/>
      <c r="K37" s="79"/>
      <c r="L37" s="79"/>
    </row>
    <row r="38" ht="26" spans="1:12">
      <c r="A38" s="81" t="s">
        <v>296</v>
      </c>
      <c r="B38" s="81" t="s">
        <v>885</v>
      </c>
      <c r="C38" s="81" t="s">
        <v>101</v>
      </c>
      <c r="D38" s="81" t="s">
        <v>260</v>
      </c>
      <c r="E38" s="81" t="s">
        <v>117</v>
      </c>
      <c r="F38" s="81" t="s">
        <v>1005</v>
      </c>
      <c r="G38" s="81">
        <v>2</v>
      </c>
      <c r="H38" s="81" t="s">
        <v>1025</v>
      </c>
      <c r="I38" s="79"/>
      <c r="J38" s="79"/>
      <c r="K38" s="79"/>
      <c r="L38" s="79"/>
    </row>
    <row r="39" ht="26" spans="1:12">
      <c r="A39" s="81" t="s">
        <v>299</v>
      </c>
      <c r="B39" s="81" t="s">
        <v>885</v>
      </c>
      <c r="C39" s="81" t="s">
        <v>101</v>
      </c>
      <c r="D39" s="81" t="s">
        <v>260</v>
      </c>
      <c r="E39" s="81" t="s">
        <v>117</v>
      </c>
      <c r="F39" s="81" t="s">
        <v>1005</v>
      </c>
      <c r="G39" s="81">
        <v>2</v>
      </c>
      <c r="H39" s="81" t="s">
        <v>1025</v>
      </c>
      <c r="I39" s="79"/>
      <c r="J39" s="79"/>
      <c r="K39" s="79"/>
      <c r="L39" s="79"/>
    </row>
    <row r="40" ht="26" spans="1:12">
      <c r="A40" s="81" t="s">
        <v>300</v>
      </c>
      <c r="B40" s="81" t="s">
        <v>885</v>
      </c>
      <c r="C40" s="81" t="s">
        <v>101</v>
      </c>
      <c r="D40" s="81" t="s">
        <v>260</v>
      </c>
      <c r="E40" s="81" t="s">
        <v>117</v>
      </c>
      <c r="F40" s="81" t="s">
        <v>1005</v>
      </c>
      <c r="G40" s="81">
        <v>2</v>
      </c>
      <c r="H40" s="81" t="s">
        <v>1025</v>
      </c>
      <c r="I40" s="79"/>
      <c r="J40" s="79"/>
      <c r="K40" s="79"/>
      <c r="L40" s="79"/>
    </row>
    <row r="41" ht="26" spans="1:12">
      <c r="A41" s="81" t="s">
        <v>301</v>
      </c>
      <c r="B41" s="81" t="s">
        <v>885</v>
      </c>
      <c r="C41" s="81" t="s">
        <v>101</v>
      </c>
      <c r="D41" s="81" t="s">
        <v>260</v>
      </c>
      <c r="E41" s="81" t="s">
        <v>117</v>
      </c>
      <c r="F41" s="81" t="s">
        <v>1005</v>
      </c>
      <c r="G41" s="81">
        <v>2</v>
      </c>
      <c r="H41" s="81" t="s">
        <v>1025</v>
      </c>
      <c r="I41" s="79"/>
      <c r="J41" s="79"/>
      <c r="K41" s="79"/>
      <c r="L41" s="79"/>
    </row>
    <row r="42" ht="26" spans="1:12">
      <c r="A42" s="81" t="s">
        <v>302</v>
      </c>
      <c r="B42" s="81" t="s">
        <v>885</v>
      </c>
      <c r="C42" s="81" t="s">
        <v>101</v>
      </c>
      <c r="D42" s="81" t="s">
        <v>260</v>
      </c>
      <c r="E42" s="81" t="s">
        <v>117</v>
      </c>
      <c r="F42" s="81" t="s">
        <v>1005</v>
      </c>
      <c r="G42" s="81">
        <v>2</v>
      </c>
      <c r="H42" s="81" t="s">
        <v>1025</v>
      </c>
      <c r="I42" s="79"/>
      <c r="J42" s="79"/>
      <c r="K42" s="79"/>
      <c r="L42" s="79"/>
    </row>
    <row r="43" ht="26" spans="1:12">
      <c r="A43" s="81" t="s">
        <v>303</v>
      </c>
      <c r="B43" s="81" t="s">
        <v>885</v>
      </c>
      <c r="C43" s="81" t="s">
        <v>101</v>
      </c>
      <c r="D43" s="81" t="s">
        <v>260</v>
      </c>
      <c r="E43" s="81" t="s">
        <v>117</v>
      </c>
      <c r="F43" s="81" t="s">
        <v>1005</v>
      </c>
      <c r="G43" s="81">
        <v>2</v>
      </c>
      <c r="H43" s="81" t="s">
        <v>1025</v>
      </c>
      <c r="I43" s="79"/>
      <c r="J43" s="79"/>
      <c r="K43" s="79"/>
      <c r="L43" s="79"/>
    </row>
    <row r="44" ht="26" spans="1:12">
      <c r="A44" s="81" t="s">
        <v>304</v>
      </c>
      <c r="B44" s="81" t="s">
        <v>883</v>
      </c>
      <c r="C44" s="81" t="s">
        <v>101</v>
      </c>
      <c r="D44" s="81" t="s">
        <v>109</v>
      </c>
      <c r="E44" s="81" t="s">
        <v>117</v>
      </c>
      <c r="F44" s="81" t="s">
        <v>1000</v>
      </c>
      <c r="G44" s="81">
        <v>4</v>
      </c>
      <c r="H44" s="81" t="s">
        <v>1025</v>
      </c>
      <c r="I44" s="79"/>
      <c r="J44" s="79"/>
      <c r="K44" s="79"/>
      <c r="L44" s="79"/>
    </row>
    <row r="45" ht="26" spans="1:12">
      <c r="A45" s="81" t="s">
        <v>306</v>
      </c>
      <c r="B45" s="81" t="s">
        <v>883</v>
      </c>
      <c r="C45" s="81" t="s">
        <v>101</v>
      </c>
      <c r="D45" s="81" t="s">
        <v>109</v>
      </c>
      <c r="E45" s="81" t="s">
        <v>117</v>
      </c>
      <c r="F45" s="81" t="s">
        <v>1000</v>
      </c>
      <c r="G45" s="81">
        <v>4</v>
      </c>
      <c r="H45" s="81" t="s">
        <v>1025</v>
      </c>
      <c r="I45" s="79"/>
      <c r="J45" s="79"/>
      <c r="K45" s="79"/>
      <c r="L45" s="79"/>
    </row>
    <row r="46" ht="26" spans="1:12">
      <c r="A46" s="81" t="s">
        <v>307</v>
      </c>
      <c r="B46" s="81" t="s">
        <v>883</v>
      </c>
      <c r="C46" s="81" t="s">
        <v>101</v>
      </c>
      <c r="D46" s="81" t="s">
        <v>109</v>
      </c>
      <c r="E46" s="81" t="s">
        <v>117</v>
      </c>
      <c r="F46" s="81" t="s">
        <v>1000</v>
      </c>
      <c r="G46" s="81">
        <v>4</v>
      </c>
      <c r="H46" s="81" t="s">
        <v>1025</v>
      </c>
      <c r="I46" s="79"/>
      <c r="J46" s="79"/>
      <c r="K46" s="79"/>
      <c r="L46" s="79"/>
    </row>
    <row r="47" ht="26" spans="1:12">
      <c r="A47" s="81" t="s">
        <v>308</v>
      </c>
      <c r="B47" s="81" t="s">
        <v>883</v>
      </c>
      <c r="C47" s="81" t="s">
        <v>101</v>
      </c>
      <c r="D47" s="81" t="s">
        <v>109</v>
      </c>
      <c r="E47" s="81" t="s">
        <v>117</v>
      </c>
      <c r="F47" s="81" t="s">
        <v>1000</v>
      </c>
      <c r="G47" s="81">
        <v>4</v>
      </c>
      <c r="H47" s="81" t="s">
        <v>1025</v>
      </c>
      <c r="I47" s="79"/>
      <c r="J47" s="79"/>
      <c r="K47" s="79"/>
      <c r="L47" s="79"/>
    </row>
    <row r="48" ht="26" spans="1:12">
      <c r="A48" s="81" t="s">
        <v>309</v>
      </c>
      <c r="B48" s="81" t="s">
        <v>883</v>
      </c>
      <c r="C48" s="81" t="s">
        <v>101</v>
      </c>
      <c r="D48" s="81" t="s">
        <v>109</v>
      </c>
      <c r="E48" s="81" t="s">
        <v>117</v>
      </c>
      <c r="F48" s="81" t="s">
        <v>1000</v>
      </c>
      <c r="G48" s="81">
        <v>4</v>
      </c>
      <c r="H48" s="81" t="s">
        <v>1025</v>
      </c>
      <c r="I48" s="79"/>
      <c r="J48" s="79"/>
      <c r="K48" s="79"/>
      <c r="L48" s="79"/>
    </row>
    <row r="49" ht="26" spans="1:12">
      <c r="A49" s="81" t="s">
        <v>310</v>
      </c>
      <c r="B49" s="81" t="s">
        <v>883</v>
      </c>
      <c r="C49" s="81" t="s">
        <v>101</v>
      </c>
      <c r="D49" s="81" t="s">
        <v>109</v>
      </c>
      <c r="E49" s="81" t="s">
        <v>117</v>
      </c>
      <c r="F49" s="81" t="s">
        <v>1000</v>
      </c>
      <c r="G49" s="81">
        <v>4</v>
      </c>
      <c r="H49" s="81" t="s">
        <v>1025</v>
      </c>
      <c r="I49" s="79"/>
      <c r="J49" s="79"/>
      <c r="K49" s="79"/>
      <c r="L49" s="79"/>
    </row>
    <row r="50" ht="26" spans="1:12">
      <c r="A50" s="81" t="s">
        <v>311</v>
      </c>
      <c r="B50" s="81" t="s">
        <v>883</v>
      </c>
      <c r="C50" s="81" t="s">
        <v>101</v>
      </c>
      <c r="D50" s="81" t="s">
        <v>109</v>
      </c>
      <c r="E50" s="81" t="s">
        <v>117</v>
      </c>
      <c r="F50" s="81" t="s">
        <v>1000</v>
      </c>
      <c r="G50" s="81">
        <v>4</v>
      </c>
      <c r="H50" s="81" t="s">
        <v>1025</v>
      </c>
      <c r="I50" s="79"/>
      <c r="J50" s="79"/>
      <c r="K50" s="79"/>
      <c r="L50" s="79"/>
    </row>
    <row r="51" ht="26" spans="1:12">
      <c r="A51" s="81" t="s">
        <v>313</v>
      </c>
      <c r="B51" s="81" t="s">
        <v>883</v>
      </c>
      <c r="C51" s="81" t="s">
        <v>101</v>
      </c>
      <c r="D51" s="81" t="s">
        <v>109</v>
      </c>
      <c r="E51" s="81" t="s">
        <v>117</v>
      </c>
      <c r="F51" s="81" t="s">
        <v>1000</v>
      </c>
      <c r="G51" s="81">
        <v>4</v>
      </c>
      <c r="H51" s="81" t="s">
        <v>1025</v>
      </c>
      <c r="I51" s="79"/>
      <c r="J51" s="79"/>
      <c r="K51" s="79"/>
      <c r="L51" s="79"/>
    </row>
    <row r="52" ht="26" spans="1:12">
      <c r="A52" s="81" t="s">
        <v>314</v>
      </c>
      <c r="B52" s="81" t="s">
        <v>883</v>
      </c>
      <c r="C52" s="81" t="s">
        <v>101</v>
      </c>
      <c r="D52" s="81" t="s">
        <v>109</v>
      </c>
      <c r="E52" s="81" t="s">
        <v>117</v>
      </c>
      <c r="F52" s="81" t="s">
        <v>1000</v>
      </c>
      <c r="G52" s="81">
        <v>4</v>
      </c>
      <c r="H52" s="81" t="s">
        <v>1025</v>
      </c>
      <c r="I52" s="79"/>
      <c r="J52" s="79"/>
      <c r="K52" s="79"/>
      <c r="L52" s="79"/>
    </row>
    <row r="53" ht="26" spans="1:12">
      <c r="A53" s="81" t="s">
        <v>315</v>
      </c>
      <c r="B53" s="81" t="s">
        <v>883</v>
      </c>
      <c r="C53" s="81" t="s">
        <v>101</v>
      </c>
      <c r="D53" s="81" t="s">
        <v>109</v>
      </c>
      <c r="E53" s="81" t="s">
        <v>117</v>
      </c>
      <c r="F53" s="81" t="s">
        <v>1000</v>
      </c>
      <c r="G53" s="81">
        <v>4</v>
      </c>
      <c r="H53" s="81" t="s">
        <v>1025</v>
      </c>
      <c r="I53" s="79"/>
      <c r="J53" s="79"/>
      <c r="K53" s="79"/>
      <c r="L53" s="79"/>
    </row>
    <row r="54" ht="26" spans="1:12">
      <c r="A54" s="81" t="s">
        <v>316</v>
      </c>
      <c r="B54" s="81" t="s">
        <v>883</v>
      </c>
      <c r="C54" s="81" t="s">
        <v>101</v>
      </c>
      <c r="D54" s="81" t="s">
        <v>109</v>
      </c>
      <c r="E54" s="81" t="s">
        <v>117</v>
      </c>
      <c r="F54" s="81" t="s">
        <v>1000</v>
      </c>
      <c r="G54" s="81">
        <v>4</v>
      </c>
      <c r="H54" s="81" t="s">
        <v>1025</v>
      </c>
      <c r="I54" s="79"/>
      <c r="J54" s="79"/>
      <c r="K54" s="79"/>
      <c r="L54" s="79"/>
    </row>
    <row r="55" ht="26" spans="1:12">
      <c r="A55" s="81" t="s">
        <v>317</v>
      </c>
      <c r="B55" s="81" t="s">
        <v>885</v>
      </c>
      <c r="C55" s="81" t="s">
        <v>101</v>
      </c>
      <c r="D55" s="81" t="s">
        <v>260</v>
      </c>
      <c r="E55" s="81" t="s">
        <v>117</v>
      </c>
      <c r="F55" s="81" t="s">
        <v>1005</v>
      </c>
      <c r="G55" s="81">
        <v>2</v>
      </c>
      <c r="H55" s="81" t="s">
        <v>1025</v>
      </c>
      <c r="I55" s="79"/>
      <c r="J55" s="79"/>
      <c r="K55" s="79"/>
      <c r="L55" s="79"/>
    </row>
    <row r="56" ht="26" spans="1:12">
      <c r="A56" s="81" t="s">
        <v>320</v>
      </c>
      <c r="B56" s="81" t="s">
        <v>885</v>
      </c>
      <c r="C56" s="81" t="s">
        <v>101</v>
      </c>
      <c r="D56" s="81" t="s">
        <v>260</v>
      </c>
      <c r="E56" s="81" t="s">
        <v>117</v>
      </c>
      <c r="F56" s="81" t="s">
        <v>1005</v>
      </c>
      <c r="G56" s="81">
        <v>2</v>
      </c>
      <c r="H56" s="81" t="s">
        <v>1025</v>
      </c>
      <c r="I56" s="79"/>
      <c r="J56" s="79"/>
      <c r="K56" s="79"/>
      <c r="L56" s="79"/>
    </row>
    <row r="57" ht="26" spans="1:12">
      <c r="A57" s="81" t="s">
        <v>321</v>
      </c>
      <c r="B57" s="81" t="s">
        <v>885</v>
      </c>
      <c r="C57" s="81" t="s">
        <v>101</v>
      </c>
      <c r="D57" s="81" t="s">
        <v>260</v>
      </c>
      <c r="E57" s="81" t="s">
        <v>117</v>
      </c>
      <c r="F57" s="81" t="s">
        <v>1005</v>
      </c>
      <c r="G57" s="81">
        <v>2</v>
      </c>
      <c r="H57" s="81" t="s">
        <v>1025</v>
      </c>
      <c r="I57" s="79"/>
      <c r="J57" s="79"/>
      <c r="K57" s="79"/>
      <c r="L57" s="79"/>
    </row>
    <row r="58" ht="26" spans="1:12">
      <c r="A58" s="81" t="s">
        <v>322</v>
      </c>
      <c r="B58" s="81" t="s">
        <v>885</v>
      </c>
      <c r="C58" s="81" t="s">
        <v>101</v>
      </c>
      <c r="D58" s="81" t="s">
        <v>260</v>
      </c>
      <c r="E58" s="81" t="s">
        <v>117</v>
      </c>
      <c r="F58" s="81" t="s">
        <v>1005</v>
      </c>
      <c r="G58" s="81">
        <v>2</v>
      </c>
      <c r="H58" s="81" t="s">
        <v>1025</v>
      </c>
      <c r="I58" s="79"/>
      <c r="J58" s="79"/>
      <c r="K58" s="79"/>
      <c r="L58" s="79"/>
    </row>
    <row r="59" ht="26" spans="1:12">
      <c r="A59" s="81" t="s">
        <v>323</v>
      </c>
      <c r="B59" s="81" t="s">
        <v>885</v>
      </c>
      <c r="C59" s="81" t="s">
        <v>101</v>
      </c>
      <c r="D59" s="81" t="s">
        <v>260</v>
      </c>
      <c r="E59" s="81" t="s">
        <v>117</v>
      </c>
      <c r="F59" s="81" t="s">
        <v>1005</v>
      </c>
      <c r="G59" s="81">
        <v>2</v>
      </c>
      <c r="H59" s="81" t="s">
        <v>1025</v>
      </c>
      <c r="I59" s="79"/>
      <c r="J59" s="79"/>
      <c r="K59" s="79"/>
      <c r="L59" s="79"/>
    </row>
    <row r="60" ht="26" spans="1:12">
      <c r="A60" s="81" t="s">
        <v>324</v>
      </c>
      <c r="B60" s="81" t="s">
        <v>885</v>
      </c>
      <c r="C60" s="81" t="s">
        <v>101</v>
      </c>
      <c r="D60" s="81" t="s">
        <v>260</v>
      </c>
      <c r="E60" s="81" t="s">
        <v>117</v>
      </c>
      <c r="F60" s="81" t="s">
        <v>1005</v>
      </c>
      <c r="G60" s="81">
        <v>2</v>
      </c>
      <c r="H60" s="81" t="s">
        <v>1025</v>
      </c>
      <c r="I60" s="79"/>
      <c r="J60" s="79"/>
      <c r="K60" s="79"/>
      <c r="L60" s="79"/>
    </row>
    <row r="61" ht="26" spans="1:12">
      <c r="A61" s="81" t="s">
        <v>326</v>
      </c>
      <c r="B61" s="81" t="s">
        <v>885</v>
      </c>
      <c r="C61" s="81" t="s">
        <v>101</v>
      </c>
      <c r="D61" s="81" t="s">
        <v>260</v>
      </c>
      <c r="E61" s="81" t="s">
        <v>117</v>
      </c>
      <c r="F61" s="81" t="s">
        <v>1005</v>
      </c>
      <c r="G61" s="81">
        <v>2</v>
      </c>
      <c r="H61" s="81" t="s">
        <v>1025</v>
      </c>
      <c r="I61" s="79"/>
      <c r="J61" s="79"/>
      <c r="K61" s="79"/>
      <c r="L61" s="79"/>
    </row>
    <row r="62" ht="26" spans="1:12">
      <c r="A62" s="81" t="s">
        <v>327</v>
      </c>
      <c r="B62" s="81" t="s">
        <v>885</v>
      </c>
      <c r="C62" s="81" t="s">
        <v>101</v>
      </c>
      <c r="D62" s="81" t="s">
        <v>260</v>
      </c>
      <c r="E62" s="81" t="s">
        <v>117</v>
      </c>
      <c r="F62" s="81" t="s">
        <v>1005</v>
      </c>
      <c r="G62" s="81">
        <v>2</v>
      </c>
      <c r="H62" s="81" t="s">
        <v>1025</v>
      </c>
      <c r="I62" s="79"/>
      <c r="J62" s="79"/>
      <c r="K62" s="79"/>
      <c r="L62" s="79"/>
    </row>
    <row r="63" ht="26" spans="1:12">
      <c r="A63" s="81" t="s">
        <v>328</v>
      </c>
      <c r="B63" s="81" t="s">
        <v>885</v>
      </c>
      <c r="C63" s="81" t="s">
        <v>101</v>
      </c>
      <c r="D63" s="81" t="s">
        <v>260</v>
      </c>
      <c r="E63" s="81" t="s">
        <v>117</v>
      </c>
      <c r="F63" s="81" t="s">
        <v>1005</v>
      </c>
      <c r="G63" s="81">
        <v>2</v>
      </c>
      <c r="H63" s="81" t="s">
        <v>1025</v>
      </c>
      <c r="I63" s="79"/>
      <c r="J63" s="79"/>
      <c r="K63" s="79"/>
      <c r="L63" s="79"/>
    </row>
    <row r="64" ht="26" spans="1:12">
      <c r="A64" s="81" t="s">
        <v>329</v>
      </c>
      <c r="B64" s="81" t="s">
        <v>885</v>
      </c>
      <c r="C64" s="81" t="s">
        <v>101</v>
      </c>
      <c r="D64" s="81" t="s">
        <v>260</v>
      </c>
      <c r="E64" s="81" t="s">
        <v>117</v>
      </c>
      <c r="F64" s="81" t="s">
        <v>1005</v>
      </c>
      <c r="G64" s="81">
        <v>2</v>
      </c>
      <c r="H64" s="81" t="s">
        <v>1025</v>
      </c>
      <c r="I64" s="79"/>
      <c r="J64" s="79"/>
      <c r="K64" s="79"/>
      <c r="L64" s="79"/>
    </row>
    <row r="65" ht="26" spans="1:12">
      <c r="A65" s="81" t="s">
        <v>330</v>
      </c>
      <c r="B65" s="81" t="s">
        <v>885</v>
      </c>
      <c r="C65" s="81" t="s">
        <v>101</v>
      </c>
      <c r="D65" s="81" t="s">
        <v>260</v>
      </c>
      <c r="E65" s="81" t="s">
        <v>117</v>
      </c>
      <c r="F65" s="81" t="s">
        <v>1005</v>
      </c>
      <c r="G65" s="81">
        <v>2</v>
      </c>
      <c r="H65" s="81" t="s">
        <v>1025</v>
      </c>
      <c r="I65" s="79"/>
      <c r="J65" s="79"/>
      <c r="K65" s="79"/>
      <c r="L65" s="79"/>
    </row>
    <row r="66" ht="26" spans="1:12">
      <c r="A66" s="81" t="s">
        <v>334</v>
      </c>
      <c r="B66" s="81" t="s">
        <v>886</v>
      </c>
      <c r="C66" s="81" t="s">
        <v>339</v>
      </c>
      <c r="D66" s="81" t="s">
        <v>340</v>
      </c>
      <c r="E66" s="81" t="s">
        <v>117</v>
      </c>
      <c r="F66" s="81" t="s">
        <v>1004</v>
      </c>
      <c r="G66" s="81">
        <v>4</v>
      </c>
      <c r="H66" s="81" t="s">
        <v>1025</v>
      </c>
      <c r="I66" s="79"/>
      <c r="J66" s="79"/>
      <c r="K66" s="79"/>
      <c r="L66" s="79"/>
    </row>
    <row r="67" ht="26" spans="1:12">
      <c r="A67" s="81" t="s">
        <v>342</v>
      </c>
      <c r="B67" s="81" t="s">
        <v>886</v>
      </c>
      <c r="C67" s="81" t="s">
        <v>339</v>
      </c>
      <c r="D67" s="81" t="s">
        <v>340</v>
      </c>
      <c r="E67" s="81" t="s">
        <v>117</v>
      </c>
      <c r="F67" s="81" t="s">
        <v>1004</v>
      </c>
      <c r="G67" s="81">
        <v>4</v>
      </c>
      <c r="H67" s="81" t="s">
        <v>1025</v>
      </c>
      <c r="I67" s="79"/>
      <c r="J67" s="79"/>
      <c r="K67" s="79"/>
      <c r="L67" s="79"/>
    </row>
    <row r="68" ht="26" spans="1:12">
      <c r="A68" s="81" t="s">
        <v>343</v>
      </c>
      <c r="B68" s="81" t="s">
        <v>888</v>
      </c>
      <c r="C68" s="81" t="s">
        <v>101</v>
      </c>
      <c r="D68" s="81" t="s">
        <v>260</v>
      </c>
      <c r="E68" s="81" t="s">
        <v>117</v>
      </c>
      <c r="F68" s="81" t="s">
        <v>1005</v>
      </c>
      <c r="G68" s="81">
        <v>2</v>
      </c>
      <c r="H68" s="81" t="s">
        <v>1025</v>
      </c>
      <c r="I68" s="79"/>
      <c r="J68" s="79"/>
      <c r="K68" s="79"/>
      <c r="L68" s="79"/>
    </row>
    <row r="69" ht="26" spans="1:12">
      <c r="A69" s="81" t="s">
        <v>347</v>
      </c>
      <c r="B69" s="81" t="s">
        <v>888</v>
      </c>
      <c r="C69" s="81" t="s">
        <v>101</v>
      </c>
      <c r="D69" s="81" t="s">
        <v>260</v>
      </c>
      <c r="E69" s="81" t="s">
        <v>117</v>
      </c>
      <c r="F69" s="81" t="s">
        <v>1005</v>
      </c>
      <c r="G69" s="81">
        <v>2</v>
      </c>
      <c r="H69" s="81" t="s">
        <v>1025</v>
      </c>
      <c r="I69" s="79"/>
      <c r="J69" s="79"/>
      <c r="K69" s="79"/>
      <c r="L69" s="79"/>
    </row>
    <row r="70" ht="26" spans="1:12">
      <c r="A70" s="81" t="s">
        <v>348</v>
      </c>
      <c r="B70" s="81" t="s">
        <v>888</v>
      </c>
      <c r="C70" s="81" t="s">
        <v>101</v>
      </c>
      <c r="D70" s="81" t="s">
        <v>260</v>
      </c>
      <c r="E70" s="81" t="s">
        <v>117</v>
      </c>
      <c r="F70" s="81" t="s">
        <v>1005</v>
      </c>
      <c r="G70" s="81">
        <v>2</v>
      </c>
      <c r="H70" s="81" t="s">
        <v>1025</v>
      </c>
      <c r="I70" s="79"/>
      <c r="J70" s="79"/>
      <c r="K70" s="79"/>
      <c r="L70" s="79"/>
    </row>
    <row r="71" ht="26" spans="1:12">
      <c r="A71" s="81" t="s">
        <v>349</v>
      </c>
      <c r="B71" s="81" t="s">
        <v>888</v>
      </c>
      <c r="C71" s="81" t="s">
        <v>101</v>
      </c>
      <c r="D71" s="81" t="s">
        <v>260</v>
      </c>
      <c r="E71" s="81" t="s">
        <v>117</v>
      </c>
      <c r="F71" s="81" t="s">
        <v>1005</v>
      </c>
      <c r="G71" s="81">
        <v>2</v>
      </c>
      <c r="H71" s="81" t="s">
        <v>1025</v>
      </c>
      <c r="I71" s="79"/>
      <c r="J71" s="79"/>
      <c r="K71" s="79"/>
      <c r="L71" s="79"/>
    </row>
    <row r="72" ht="26" spans="1:12">
      <c r="A72" s="81" t="s">
        <v>350</v>
      </c>
      <c r="B72" s="81" t="s">
        <v>888</v>
      </c>
      <c r="C72" s="81" t="s">
        <v>101</v>
      </c>
      <c r="D72" s="81" t="s">
        <v>260</v>
      </c>
      <c r="E72" s="81" t="s">
        <v>117</v>
      </c>
      <c r="F72" s="81" t="s">
        <v>1005</v>
      </c>
      <c r="G72" s="81">
        <v>2</v>
      </c>
      <c r="H72" s="81" t="s">
        <v>1025</v>
      </c>
      <c r="I72" s="79"/>
      <c r="J72" s="79"/>
      <c r="K72" s="79"/>
      <c r="L72" s="79"/>
    </row>
    <row r="73" ht="26" spans="1:12">
      <c r="A73" s="81" t="s">
        <v>351</v>
      </c>
      <c r="B73" s="81" t="s">
        <v>889</v>
      </c>
      <c r="C73" s="81" t="s">
        <v>101</v>
      </c>
      <c r="D73" s="81" t="s">
        <v>260</v>
      </c>
      <c r="E73" s="81" t="s">
        <v>117</v>
      </c>
      <c r="F73" s="81" t="s">
        <v>1005</v>
      </c>
      <c r="G73" s="81">
        <v>2</v>
      </c>
      <c r="H73" s="81" t="s">
        <v>1025</v>
      </c>
      <c r="I73" s="79"/>
      <c r="J73" s="79"/>
      <c r="K73" s="79"/>
      <c r="L73" s="79"/>
    </row>
    <row r="74" ht="26" spans="1:12">
      <c r="A74" s="81" t="s">
        <v>353</v>
      </c>
      <c r="B74" s="81" t="s">
        <v>889</v>
      </c>
      <c r="C74" s="81" t="s">
        <v>101</v>
      </c>
      <c r="D74" s="81" t="s">
        <v>260</v>
      </c>
      <c r="E74" s="81" t="s">
        <v>117</v>
      </c>
      <c r="F74" s="81" t="s">
        <v>1005</v>
      </c>
      <c r="G74" s="81">
        <v>2</v>
      </c>
      <c r="H74" s="81" t="s">
        <v>1025</v>
      </c>
      <c r="I74" s="79"/>
      <c r="J74" s="79"/>
      <c r="K74" s="79"/>
      <c r="L74" s="79"/>
    </row>
    <row r="75" ht="26" spans="1:12">
      <c r="A75" s="81" t="s">
        <v>354</v>
      </c>
      <c r="B75" s="81" t="s">
        <v>889</v>
      </c>
      <c r="C75" s="81" t="s">
        <v>101</v>
      </c>
      <c r="D75" s="81" t="s">
        <v>260</v>
      </c>
      <c r="E75" s="81" t="s">
        <v>117</v>
      </c>
      <c r="F75" s="81" t="s">
        <v>1005</v>
      </c>
      <c r="G75" s="81">
        <v>2</v>
      </c>
      <c r="H75" s="81" t="s">
        <v>1025</v>
      </c>
      <c r="I75" s="79"/>
      <c r="J75" s="79"/>
      <c r="K75" s="79"/>
      <c r="L75" s="79"/>
    </row>
    <row r="76" ht="26" spans="1:12">
      <c r="A76" s="81" t="s">
        <v>355</v>
      </c>
      <c r="B76" s="81" t="s">
        <v>889</v>
      </c>
      <c r="C76" s="81" t="s">
        <v>101</v>
      </c>
      <c r="D76" s="81" t="s">
        <v>260</v>
      </c>
      <c r="E76" s="81" t="s">
        <v>117</v>
      </c>
      <c r="F76" s="81" t="s">
        <v>1005</v>
      </c>
      <c r="G76" s="81">
        <v>2</v>
      </c>
      <c r="H76" s="81" t="s">
        <v>1025</v>
      </c>
      <c r="I76" s="79"/>
      <c r="J76" s="79"/>
      <c r="K76" s="79"/>
      <c r="L76" s="79"/>
    </row>
    <row r="77" ht="26" spans="1:12">
      <c r="A77" s="81" t="s">
        <v>356</v>
      </c>
      <c r="B77" s="81" t="s">
        <v>889</v>
      </c>
      <c r="C77" s="81" t="s">
        <v>101</v>
      </c>
      <c r="D77" s="81" t="s">
        <v>260</v>
      </c>
      <c r="E77" s="81" t="s">
        <v>117</v>
      </c>
      <c r="F77" s="81" t="s">
        <v>1005</v>
      </c>
      <c r="G77" s="81">
        <v>2</v>
      </c>
      <c r="H77" s="81" t="s">
        <v>1025</v>
      </c>
      <c r="I77" s="79"/>
      <c r="J77" s="79"/>
      <c r="K77" s="79"/>
      <c r="L77" s="79"/>
    </row>
    <row r="78" ht="26" spans="1:12">
      <c r="A78" s="81" t="s">
        <v>357</v>
      </c>
      <c r="B78" s="81" t="s">
        <v>890</v>
      </c>
      <c r="C78" s="81" t="s">
        <v>101</v>
      </c>
      <c r="D78" s="81" t="s">
        <v>260</v>
      </c>
      <c r="E78" s="81" t="s">
        <v>117</v>
      </c>
      <c r="F78" s="81" t="s">
        <v>1005</v>
      </c>
      <c r="G78" s="81">
        <v>2</v>
      </c>
      <c r="H78" s="81" t="s">
        <v>1025</v>
      </c>
      <c r="I78" s="79"/>
      <c r="J78" s="79"/>
      <c r="K78" s="79"/>
      <c r="L78" s="79"/>
    </row>
    <row r="79" ht="26" spans="1:12">
      <c r="A79" s="81" t="s">
        <v>359</v>
      </c>
      <c r="B79" s="81" t="s">
        <v>885</v>
      </c>
      <c r="C79" s="81" t="s">
        <v>101</v>
      </c>
      <c r="D79" s="81" t="s">
        <v>260</v>
      </c>
      <c r="E79" s="81" t="s">
        <v>117</v>
      </c>
      <c r="F79" s="81" t="s">
        <v>1005</v>
      </c>
      <c r="G79" s="81">
        <v>2</v>
      </c>
      <c r="H79" s="81" t="s">
        <v>1025</v>
      </c>
      <c r="I79" s="79"/>
      <c r="J79" s="79"/>
      <c r="K79" s="79"/>
      <c r="L79" s="79"/>
    </row>
    <row r="80" ht="26" spans="1:12">
      <c r="A80" s="81" t="s">
        <v>361</v>
      </c>
      <c r="B80" s="81" t="s">
        <v>891</v>
      </c>
      <c r="C80" s="81" t="s">
        <v>368</v>
      </c>
      <c r="D80" s="81" t="s">
        <v>340</v>
      </c>
      <c r="E80" s="81" t="s">
        <v>366</v>
      </c>
      <c r="F80" s="81" t="s">
        <v>1007</v>
      </c>
      <c r="G80" s="81">
        <v>2</v>
      </c>
      <c r="H80" s="81" t="s">
        <v>1025</v>
      </c>
      <c r="I80" s="79"/>
      <c r="J80" s="79"/>
      <c r="K80" s="79"/>
      <c r="L80" s="79"/>
    </row>
    <row r="81" ht="26" spans="1:12">
      <c r="A81" s="81" t="s">
        <v>370</v>
      </c>
      <c r="B81" s="81" t="s">
        <v>891</v>
      </c>
      <c r="C81" s="81" t="s">
        <v>368</v>
      </c>
      <c r="D81" s="81" t="s">
        <v>340</v>
      </c>
      <c r="E81" s="81" t="s">
        <v>366</v>
      </c>
      <c r="F81" s="81" t="s">
        <v>1007</v>
      </c>
      <c r="G81" s="81">
        <v>2</v>
      </c>
      <c r="H81" s="81" t="s">
        <v>1025</v>
      </c>
      <c r="I81" s="79"/>
      <c r="J81" s="79"/>
      <c r="K81" s="79"/>
      <c r="L81" s="79"/>
    </row>
    <row r="82" ht="26" spans="1:12">
      <c r="A82" s="81" t="s">
        <v>371</v>
      </c>
      <c r="B82" s="81" t="s">
        <v>891</v>
      </c>
      <c r="C82" s="81" t="s">
        <v>368</v>
      </c>
      <c r="D82" s="81" t="s">
        <v>340</v>
      </c>
      <c r="E82" s="81" t="s">
        <v>366</v>
      </c>
      <c r="F82" s="81" t="s">
        <v>1007</v>
      </c>
      <c r="G82" s="81">
        <v>2</v>
      </c>
      <c r="H82" s="81" t="s">
        <v>1025</v>
      </c>
      <c r="I82" s="79"/>
      <c r="J82" s="79"/>
      <c r="K82" s="79"/>
      <c r="L82" s="79"/>
    </row>
    <row r="83" ht="26" spans="1:12">
      <c r="A83" s="81" t="s">
        <v>372</v>
      </c>
      <c r="B83" s="81" t="s">
        <v>891</v>
      </c>
      <c r="C83" s="81" t="s">
        <v>368</v>
      </c>
      <c r="D83" s="81" t="s">
        <v>340</v>
      </c>
      <c r="E83" s="81" t="s">
        <v>366</v>
      </c>
      <c r="F83" s="81" t="s">
        <v>1007</v>
      </c>
      <c r="G83" s="81">
        <v>2</v>
      </c>
      <c r="H83" s="81" t="s">
        <v>1025</v>
      </c>
      <c r="I83" s="79"/>
      <c r="J83" s="79"/>
      <c r="K83" s="79"/>
      <c r="L83" s="79"/>
    </row>
    <row r="84" ht="26" spans="1:12">
      <c r="A84" s="81" t="s">
        <v>373</v>
      </c>
      <c r="B84" s="81" t="s">
        <v>886</v>
      </c>
      <c r="C84" s="81" t="s">
        <v>339</v>
      </c>
      <c r="D84" s="81" t="s">
        <v>340</v>
      </c>
      <c r="E84" s="81" t="s">
        <v>117</v>
      </c>
      <c r="F84" s="81" t="s">
        <v>1004</v>
      </c>
      <c r="G84" s="81">
        <v>4</v>
      </c>
      <c r="H84" s="81" t="s">
        <v>1025</v>
      </c>
      <c r="I84" s="79"/>
      <c r="J84" s="79"/>
      <c r="K84" s="79"/>
      <c r="L84" s="79"/>
    </row>
    <row r="85" ht="26" spans="1:12">
      <c r="A85" s="81" t="s">
        <v>374</v>
      </c>
      <c r="B85" s="81" t="s">
        <v>890</v>
      </c>
      <c r="C85" s="81" t="s">
        <v>101</v>
      </c>
      <c r="D85" s="81" t="s">
        <v>260</v>
      </c>
      <c r="E85" s="81" t="s">
        <v>117</v>
      </c>
      <c r="F85" s="81" t="s">
        <v>1005</v>
      </c>
      <c r="G85" s="81">
        <v>2</v>
      </c>
      <c r="H85" s="81" t="s">
        <v>1025</v>
      </c>
      <c r="I85" s="79"/>
      <c r="J85" s="79"/>
      <c r="K85" s="79"/>
      <c r="L85" s="79"/>
    </row>
    <row r="86" ht="26" spans="1:12">
      <c r="A86" s="81" t="s">
        <v>376</v>
      </c>
      <c r="B86" s="81" t="s">
        <v>890</v>
      </c>
      <c r="C86" s="81" t="s">
        <v>101</v>
      </c>
      <c r="D86" s="81" t="s">
        <v>260</v>
      </c>
      <c r="E86" s="81" t="s">
        <v>117</v>
      </c>
      <c r="F86" s="81" t="s">
        <v>1005</v>
      </c>
      <c r="G86" s="81">
        <v>2</v>
      </c>
      <c r="H86" s="81" t="s">
        <v>1025</v>
      </c>
      <c r="I86" s="79"/>
      <c r="J86" s="79"/>
      <c r="K86" s="79"/>
      <c r="L86" s="79"/>
    </row>
    <row r="87" ht="26" spans="1:12">
      <c r="A87" s="81" t="s">
        <v>377</v>
      </c>
      <c r="B87" s="81" t="s">
        <v>890</v>
      </c>
      <c r="C87" s="81" t="s">
        <v>101</v>
      </c>
      <c r="D87" s="81" t="s">
        <v>260</v>
      </c>
      <c r="E87" s="81" t="s">
        <v>117</v>
      </c>
      <c r="F87" s="81" t="s">
        <v>1005</v>
      </c>
      <c r="G87" s="81">
        <v>2</v>
      </c>
      <c r="H87" s="81" t="s">
        <v>1025</v>
      </c>
      <c r="I87" s="79"/>
      <c r="J87" s="79"/>
      <c r="K87" s="79"/>
      <c r="L87" s="79"/>
    </row>
    <row r="88" ht="26" spans="1:12">
      <c r="A88" s="81" t="s">
        <v>378</v>
      </c>
      <c r="B88" s="81" t="s">
        <v>890</v>
      </c>
      <c r="C88" s="81" t="s">
        <v>101</v>
      </c>
      <c r="D88" s="81" t="s">
        <v>260</v>
      </c>
      <c r="E88" s="81" t="s">
        <v>117</v>
      </c>
      <c r="F88" s="81" t="s">
        <v>1005</v>
      </c>
      <c r="G88" s="81">
        <v>2</v>
      </c>
      <c r="H88" s="81" t="s">
        <v>1025</v>
      </c>
      <c r="I88" s="79"/>
      <c r="J88" s="79"/>
      <c r="K88" s="79"/>
      <c r="L88" s="79"/>
    </row>
    <row r="89" ht="26" spans="1:12">
      <c r="A89" s="81" t="s">
        <v>379</v>
      </c>
      <c r="B89" s="81" t="s">
        <v>890</v>
      </c>
      <c r="C89" s="81" t="s">
        <v>101</v>
      </c>
      <c r="D89" s="81" t="s">
        <v>260</v>
      </c>
      <c r="E89" s="81" t="s">
        <v>117</v>
      </c>
      <c r="F89" s="81" t="s">
        <v>1005</v>
      </c>
      <c r="G89" s="81">
        <v>2</v>
      </c>
      <c r="H89" s="81" t="s">
        <v>1025</v>
      </c>
      <c r="I89" s="79"/>
      <c r="J89" s="79"/>
      <c r="K89" s="79"/>
      <c r="L89" s="79"/>
    </row>
    <row r="90" ht="26" spans="1:12">
      <c r="A90" s="81" t="s">
        <v>380</v>
      </c>
      <c r="B90" s="81" t="s">
        <v>890</v>
      </c>
      <c r="C90" s="81" t="s">
        <v>101</v>
      </c>
      <c r="D90" s="81" t="s">
        <v>260</v>
      </c>
      <c r="E90" s="81" t="s">
        <v>117</v>
      </c>
      <c r="F90" s="81" t="s">
        <v>1005</v>
      </c>
      <c r="G90" s="81">
        <v>2</v>
      </c>
      <c r="H90" s="81" t="s">
        <v>1025</v>
      </c>
      <c r="I90" s="79"/>
      <c r="J90" s="79"/>
      <c r="K90" s="79"/>
      <c r="L90" s="79"/>
    </row>
    <row r="91" ht="26" spans="1:12">
      <c r="A91" s="81" t="s">
        <v>381</v>
      </c>
      <c r="B91" s="81" t="s">
        <v>890</v>
      </c>
      <c r="C91" s="81" t="s">
        <v>101</v>
      </c>
      <c r="D91" s="81" t="s">
        <v>260</v>
      </c>
      <c r="E91" s="81" t="s">
        <v>117</v>
      </c>
      <c r="F91" s="81" t="s">
        <v>1005</v>
      </c>
      <c r="G91" s="81">
        <v>2</v>
      </c>
      <c r="H91" s="81" t="s">
        <v>1025</v>
      </c>
      <c r="I91" s="79"/>
      <c r="J91" s="79"/>
      <c r="K91" s="79"/>
      <c r="L91" s="79"/>
    </row>
    <row r="92" ht="26" spans="1:12">
      <c r="A92" s="81" t="s">
        <v>382</v>
      </c>
      <c r="B92" s="81" t="s">
        <v>890</v>
      </c>
      <c r="C92" s="81" t="s">
        <v>101</v>
      </c>
      <c r="D92" s="81" t="s">
        <v>260</v>
      </c>
      <c r="E92" s="81" t="s">
        <v>117</v>
      </c>
      <c r="F92" s="81" t="s">
        <v>1005</v>
      </c>
      <c r="G92" s="81">
        <v>2</v>
      </c>
      <c r="H92" s="81" t="s">
        <v>1025</v>
      </c>
      <c r="I92" s="79"/>
      <c r="J92" s="79"/>
      <c r="K92" s="79"/>
      <c r="L92" s="79"/>
    </row>
    <row r="93" ht="26" spans="1:12">
      <c r="A93" s="81" t="s">
        <v>383</v>
      </c>
      <c r="B93" s="81" t="s">
        <v>890</v>
      </c>
      <c r="C93" s="81" t="s">
        <v>101</v>
      </c>
      <c r="D93" s="81" t="s">
        <v>260</v>
      </c>
      <c r="E93" s="81" t="s">
        <v>117</v>
      </c>
      <c r="F93" s="81" t="s">
        <v>1005</v>
      </c>
      <c r="G93" s="81">
        <v>2</v>
      </c>
      <c r="H93" s="81" t="s">
        <v>1025</v>
      </c>
      <c r="I93" s="79"/>
      <c r="J93" s="79"/>
      <c r="K93" s="79"/>
      <c r="L93" s="79"/>
    </row>
    <row r="94" ht="26" spans="1:12">
      <c r="A94" s="81" t="s">
        <v>384</v>
      </c>
      <c r="B94" s="81" t="s">
        <v>893</v>
      </c>
      <c r="C94" s="81" t="s">
        <v>339</v>
      </c>
      <c r="D94" s="81" t="s">
        <v>340</v>
      </c>
      <c r="E94" s="81" t="s">
        <v>117</v>
      </c>
      <c r="F94" s="81" t="s">
        <v>1004</v>
      </c>
      <c r="G94" s="81">
        <v>4</v>
      </c>
      <c r="H94" s="81" t="s">
        <v>1025</v>
      </c>
      <c r="I94" s="79"/>
      <c r="J94" s="79"/>
      <c r="K94" s="79"/>
      <c r="L94" s="79"/>
    </row>
    <row r="95" ht="26" spans="1:12">
      <c r="A95" s="81" t="s">
        <v>385</v>
      </c>
      <c r="B95" s="81" t="s">
        <v>893</v>
      </c>
      <c r="C95" s="81" t="s">
        <v>339</v>
      </c>
      <c r="D95" s="81" t="s">
        <v>340</v>
      </c>
      <c r="E95" s="81" t="s">
        <v>117</v>
      </c>
      <c r="F95" s="81" t="s">
        <v>1004</v>
      </c>
      <c r="G95" s="81">
        <v>4</v>
      </c>
      <c r="H95" s="81" t="s">
        <v>1025</v>
      </c>
      <c r="I95" s="79"/>
      <c r="J95" s="79"/>
      <c r="K95" s="79"/>
      <c r="L95" s="79"/>
    </row>
    <row r="96" ht="26" spans="1:12">
      <c r="A96" s="81" t="s">
        <v>386</v>
      </c>
      <c r="B96" s="81" t="s">
        <v>893</v>
      </c>
      <c r="C96" s="81" t="s">
        <v>339</v>
      </c>
      <c r="D96" s="81" t="s">
        <v>340</v>
      </c>
      <c r="E96" s="81" t="s">
        <v>117</v>
      </c>
      <c r="F96" s="81" t="s">
        <v>1004</v>
      </c>
      <c r="G96" s="81">
        <v>4</v>
      </c>
      <c r="H96" s="81" t="s">
        <v>1025</v>
      </c>
      <c r="I96" s="79"/>
      <c r="J96" s="79"/>
      <c r="K96" s="79"/>
      <c r="L96" s="79"/>
    </row>
    <row r="97" ht="26" spans="1:12">
      <c r="A97" s="81" t="s">
        <v>387</v>
      </c>
      <c r="B97" s="81" t="s">
        <v>893</v>
      </c>
      <c r="C97" s="81" t="s">
        <v>339</v>
      </c>
      <c r="D97" s="81" t="s">
        <v>340</v>
      </c>
      <c r="E97" s="81" t="s">
        <v>117</v>
      </c>
      <c r="F97" s="81" t="s">
        <v>1004</v>
      </c>
      <c r="G97" s="81">
        <v>4</v>
      </c>
      <c r="H97" s="81" t="s">
        <v>1025</v>
      </c>
      <c r="I97" s="79"/>
      <c r="J97" s="79"/>
      <c r="K97" s="79"/>
      <c r="L97" s="79"/>
    </row>
    <row r="98" ht="26" spans="1:12">
      <c r="A98" s="81" t="s">
        <v>389</v>
      </c>
      <c r="B98" s="81" t="s">
        <v>885</v>
      </c>
      <c r="C98" s="81" t="s">
        <v>101</v>
      </c>
      <c r="D98" s="81" t="s">
        <v>260</v>
      </c>
      <c r="E98" s="81" t="s">
        <v>117</v>
      </c>
      <c r="F98" s="81" t="s">
        <v>1005</v>
      </c>
      <c r="G98" s="81">
        <v>2</v>
      </c>
      <c r="H98" s="81" t="s">
        <v>1025</v>
      </c>
      <c r="I98" s="79"/>
      <c r="J98" s="79"/>
      <c r="K98" s="79"/>
      <c r="L98" s="79"/>
    </row>
    <row r="99" ht="26" spans="1:12">
      <c r="A99" s="81" t="s">
        <v>391</v>
      </c>
      <c r="B99" s="81" t="s">
        <v>894</v>
      </c>
      <c r="C99" s="81" t="s">
        <v>339</v>
      </c>
      <c r="D99" s="81" t="s">
        <v>340</v>
      </c>
      <c r="E99" s="81" t="s">
        <v>117</v>
      </c>
      <c r="F99" s="81" t="s">
        <v>1004</v>
      </c>
      <c r="G99" s="81">
        <v>4</v>
      </c>
      <c r="H99" s="81" t="s">
        <v>1025</v>
      </c>
      <c r="I99" s="79"/>
      <c r="J99" s="79"/>
      <c r="K99" s="79"/>
      <c r="L99" s="79"/>
    </row>
    <row r="100" ht="26" spans="1:12">
      <c r="A100" s="81" t="s">
        <v>396</v>
      </c>
      <c r="B100" s="81" t="s">
        <v>894</v>
      </c>
      <c r="C100" s="81" t="s">
        <v>339</v>
      </c>
      <c r="D100" s="81" t="s">
        <v>340</v>
      </c>
      <c r="E100" s="81" t="s">
        <v>117</v>
      </c>
      <c r="F100" s="81" t="s">
        <v>1004</v>
      </c>
      <c r="G100" s="81">
        <v>4</v>
      </c>
      <c r="H100" s="81" t="s">
        <v>1025</v>
      </c>
      <c r="I100" s="79"/>
      <c r="J100" s="79"/>
      <c r="K100" s="79"/>
      <c r="L100" s="79"/>
    </row>
    <row r="101" ht="26" spans="1:12">
      <c r="A101" s="81" t="s">
        <v>397</v>
      </c>
      <c r="B101" s="81" t="s">
        <v>894</v>
      </c>
      <c r="C101" s="81" t="s">
        <v>339</v>
      </c>
      <c r="D101" s="81" t="s">
        <v>340</v>
      </c>
      <c r="E101" s="81" t="s">
        <v>117</v>
      </c>
      <c r="F101" s="81" t="s">
        <v>1004</v>
      </c>
      <c r="G101" s="81">
        <v>4</v>
      </c>
      <c r="H101" s="81" t="s">
        <v>1025</v>
      </c>
      <c r="I101" s="79"/>
      <c r="J101" s="79"/>
      <c r="K101" s="79"/>
      <c r="L101" s="79"/>
    </row>
    <row r="102" ht="26" spans="1:12">
      <c r="A102" s="81" t="s">
        <v>398</v>
      </c>
      <c r="B102" s="81" t="s">
        <v>895</v>
      </c>
      <c r="C102" s="81" t="s">
        <v>101</v>
      </c>
      <c r="D102" s="81" t="s">
        <v>260</v>
      </c>
      <c r="E102" s="81" t="s">
        <v>117</v>
      </c>
      <c r="F102" s="81" t="s">
        <v>1005</v>
      </c>
      <c r="G102" s="81">
        <v>2</v>
      </c>
      <c r="H102" s="81" t="s">
        <v>1025</v>
      </c>
      <c r="I102" s="79"/>
      <c r="J102" s="79"/>
      <c r="K102" s="79"/>
      <c r="L102" s="79"/>
    </row>
    <row r="103" ht="26" spans="1:12">
      <c r="A103" s="81" t="s">
        <v>404</v>
      </c>
      <c r="B103" s="81" t="s">
        <v>888</v>
      </c>
      <c r="C103" s="81" t="s">
        <v>101</v>
      </c>
      <c r="D103" s="81" t="s">
        <v>260</v>
      </c>
      <c r="E103" s="81" t="s">
        <v>117</v>
      </c>
      <c r="F103" s="81" t="s">
        <v>1005</v>
      </c>
      <c r="G103" s="81">
        <v>2</v>
      </c>
      <c r="H103" s="81" t="s">
        <v>1025</v>
      </c>
      <c r="I103" s="79"/>
      <c r="J103" s="79"/>
      <c r="K103" s="79"/>
      <c r="L103" s="79"/>
    </row>
    <row r="104" ht="26" spans="1:12">
      <c r="A104" s="81" t="s">
        <v>407</v>
      </c>
      <c r="B104" s="81" t="s">
        <v>896</v>
      </c>
      <c r="C104" s="81" t="s">
        <v>101</v>
      </c>
      <c r="D104" s="81" t="s">
        <v>260</v>
      </c>
      <c r="E104" s="81" t="s">
        <v>138</v>
      </c>
      <c r="F104" s="81" t="s">
        <v>1005</v>
      </c>
      <c r="G104" s="81">
        <v>2</v>
      </c>
      <c r="H104" s="81" t="s">
        <v>1025</v>
      </c>
      <c r="I104" s="79"/>
      <c r="J104" s="79"/>
      <c r="K104" s="79"/>
      <c r="L104" s="79"/>
    </row>
    <row r="105" ht="26" spans="1:12">
      <c r="A105" s="81" t="s">
        <v>408</v>
      </c>
      <c r="B105" s="81" t="s">
        <v>885</v>
      </c>
      <c r="C105" s="81" t="s">
        <v>101</v>
      </c>
      <c r="D105" s="81" t="s">
        <v>260</v>
      </c>
      <c r="E105" s="81" t="s">
        <v>117</v>
      </c>
      <c r="F105" s="81" t="s">
        <v>1005</v>
      </c>
      <c r="G105" s="81">
        <v>2</v>
      </c>
      <c r="H105" s="81" t="s">
        <v>1025</v>
      </c>
      <c r="I105" s="79"/>
      <c r="J105" s="79"/>
      <c r="K105" s="79"/>
      <c r="L105" s="79"/>
    </row>
    <row r="106" ht="26" spans="1:12">
      <c r="A106" s="81" t="s">
        <v>410</v>
      </c>
      <c r="B106" s="81" t="s">
        <v>897</v>
      </c>
      <c r="C106" s="81" t="s">
        <v>415</v>
      </c>
      <c r="D106" s="81" t="s">
        <v>340</v>
      </c>
      <c r="E106" s="81" t="s">
        <v>366</v>
      </c>
      <c r="F106" s="81" t="s">
        <v>1004</v>
      </c>
      <c r="G106" s="81">
        <v>2</v>
      </c>
      <c r="H106" s="81" t="s">
        <v>1025</v>
      </c>
      <c r="I106" s="79"/>
      <c r="J106" s="79"/>
      <c r="K106" s="79"/>
      <c r="L106" s="79"/>
    </row>
    <row r="107" ht="26" spans="1:12">
      <c r="A107" s="81" t="s">
        <v>416</v>
      </c>
      <c r="B107" s="81" t="s">
        <v>897</v>
      </c>
      <c r="C107" s="81" t="s">
        <v>415</v>
      </c>
      <c r="D107" s="81" t="s">
        <v>340</v>
      </c>
      <c r="E107" s="81" t="s">
        <v>366</v>
      </c>
      <c r="F107" s="81" t="s">
        <v>1004</v>
      </c>
      <c r="G107" s="81">
        <v>2</v>
      </c>
      <c r="H107" s="81" t="s">
        <v>1025</v>
      </c>
      <c r="I107" s="79"/>
      <c r="J107" s="79"/>
      <c r="K107" s="79"/>
      <c r="L107" s="79"/>
    </row>
    <row r="108" ht="26" spans="1:12">
      <c r="A108" s="81" t="s">
        <v>418</v>
      </c>
      <c r="B108" s="81" t="s">
        <v>897</v>
      </c>
      <c r="C108" s="81" t="s">
        <v>415</v>
      </c>
      <c r="D108" s="81" t="s">
        <v>340</v>
      </c>
      <c r="E108" s="81" t="s">
        <v>366</v>
      </c>
      <c r="F108" s="81" t="s">
        <v>1004</v>
      </c>
      <c r="G108" s="81">
        <v>2</v>
      </c>
      <c r="H108" s="81" t="s">
        <v>1025</v>
      </c>
      <c r="I108" s="79"/>
      <c r="J108" s="79"/>
      <c r="K108" s="79"/>
      <c r="L108" s="79"/>
    </row>
    <row r="109" ht="26" spans="1:12">
      <c r="A109" s="81" t="s">
        <v>420</v>
      </c>
      <c r="B109" s="81" t="s">
        <v>898</v>
      </c>
      <c r="C109" s="81" t="s">
        <v>422</v>
      </c>
      <c r="D109" s="81" t="s">
        <v>260</v>
      </c>
      <c r="E109" s="81" t="s">
        <v>366</v>
      </c>
      <c r="F109" s="81" t="s">
        <v>1005</v>
      </c>
      <c r="G109" s="81">
        <v>2</v>
      </c>
      <c r="H109" s="81" t="s">
        <v>1025</v>
      </c>
      <c r="I109" s="79"/>
      <c r="J109" s="79"/>
      <c r="K109" s="79"/>
      <c r="L109" s="79"/>
    </row>
    <row r="110" ht="26" spans="1:12">
      <c r="A110" s="81" t="s">
        <v>424</v>
      </c>
      <c r="B110" s="81" t="s">
        <v>899</v>
      </c>
      <c r="C110" s="81" t="s">
        <v>425</v>
      </c>
      <c r="D110" s="81" t="s">
        <v>340</v>
      </c>
      <c r="E110" s="81" t="s">
        <v>366</v>
      </c>
      <c r="F110" s="81" t="s">
        <v>1012</v>
      </c>
      <c r="G110" s="81">
        <v>2</v>
      </c>
      <c r="H110" s="81" t="s">
        <v>1025</v>
      </c>
      <c r="I110" s="79"/>
      <c r="J110" s="79"/>
      <c r="K110" s="79"/>
      <c r="L110" s="79"/>
    </row>
    <row r="111" ht="26" spans="1:12">
      <c r="A111" s="81" t="s">
        <v>426</v>
      </c>
      <c r="B111" s="81" t="s">
        <v>900</v>
      </c>
      <c r="C111" s="81" t="s">
        <v>422</v>
      </c>
      <c r="D111" s="81" t="s">
        <v>340</v>
      </c>
      <c r="E111" s="81" t="s">
        <v>366</v>
      </c>
      <c r="F111" s="81" t="s">
        <v>1002</v>
      </c>
      <c r="G111" s="81">
        <v>2</v>
      </c>
      <c r="H111" s="81" t="s">
        <v>1025</v>
      </c>
      <c r="I111" s="79"/>
      <c r="J111" s="79"/>
      <c r="K111" s="79"/>
      <c r="L111" s="79"/>
    </row>
    <row r="112" ht="26" spans="1:12">
      <c r="A112" s="81" t="s">
        <v>427</v>
      </c>
      <c r="B112" s="81" t="s">
        <v>901</v>
      </c>
      <c r="C112" s="81" t="s">
        <v>415</v>
      </c>
      <c r="D112" s="81" t="s">
        <v>340</v>
      </c>
      <c r="E112" s="81" t="s">
        <v>117</v>
      </c>
      <c r="F112" s="81" t="s">
        <v>1004</v>
      </c>
      <c r="G112" s="81">
        <v>4</v>
      </c>
      <c r="H112" s="81" t="s">
        <v>1025</v>
      </c>
      <c r="I112" s="79"/>
      <c r="J112" s="79"/>
      <c r="K112" s="79"/>
      <c r="L112" s="79"/>
    </row>
    <row r="113" ht="26" spans="1:12">
      <c r="A113" s="81" t="s">
        <v>429</v>
      </c>
      <c r="B113" s="81" t="s">
        <v>902</v>
      </c>
      <c r="C113" s="81" t="s">
        <v>101</v>
      </c>
      <c r="D113" s="81" t="s">
        <v>260</v>
      </c>
      <c r="E113" s="81" t="s">
        <v>117</v>
      </c>
      <c r="F113" s="81" t="s">
        <v>1005</v>
      </c>
      <c r="G113" s="81">
        <v>2</v>
      </c>
      <c r="H113" s="81" t="s">
        <v>1025</v>
      </c>
      <c r="I113" s="79"/>
      <c r="J113" s="79"/>
      <c r="K113" s="79"/>
      <c r="L113" s="79"/>
    </row>
    <row r="114" ht="26" spans="1:12">
      <c r="A114" s="81" t="s">
        <v>432</v>
      </c>
      <c r="B114" s="81" t="s">
        <v>902</v>
      </c>
      <c r="C114" s="81" t="s">
        <v>101</v>
      </c>
      <c r="D114" s="81" t="s">
        <v>260</v>
      </c>
      <c r="E114" s="81" t="s">
        <v>117</v>
      </c>
      <c r="F114" s="81" t="s">
        <v>1005</v>
      </c>
      <c r="G114" s="81">
        <v>2</v>
      </c>
      <c r="H114" s="81" t="s">
        <v>1025</v>
      </c>
      <c r="I114" s="79"/>
      <c r="J114" s="79"/>
      <c r="K114" s="79"/>
      <c r="L114" s="79"/>
    </row>
    <row r="115" ht="26" spans="1:12">
      <c r="A115" s="81" t="s">
        <v>433</v>
      </c>
      <c r="B115" s="81" t="s">
        <v>902</v>
      </c>
      <c r="C115" s="81" t="s">
        <v>101</v>
      </c>
      <c r="D115" s="81" t="s">
        <v>260</v>
      </c>
      <c r="E115" s="81" t="s">
        <v>117</v>
      </c>
      <c r="F115" s="81" t="s">
        <v>1005</v>
      </c>
      <c r="G115" s="81">
        <v>2</v>
      </c>
      <c r="H115" s="81" t="s">
        <v>1025</v>
      </c>
      <c r="I115" s="79"/>
      <c r="J115" s="79"/>
      <c r="K115" s="79"/>
      <c r="L115" s="79"/>
    </row>
    <row r="116" ht="26" spans="1:12">
      <c r="A116" s="81" t="s">
        <v>434</v>
      </c>
      <c r="B116" s="81" t="s">
        <v>903</v>
      </c>
      <c r="C116" s="81" t="s">
        <v>436</v>
      </c>
      <c r="D116" s="81" t="s">
        <v>260</v>
      </c>
      <c r="E116" s="81" t="s">
        <v>366</v>
      </c>
      <c r="F116" s="81" t="s">
        <v>1009</v>
      </c>
      <c r="G116" s="81">
        <v>2</v>
      </c>
      <c r="H116" s="81" t="s">
        <v>1025</v>
      </c>
      <c r="I116" s="79"/>
      <c r="J116" s="79"/>
      <c r="K116" s="79"/>
      <c r="L116" s="79"/>
    </row>
    <row r="117" ht="26" spans="1:12">
      <c r="A117" s="81" t="s">
        <v>439</v>
      </c>
      <c r="B117" s="81" t="s">
        <v>903</v>
      </c>
      <c r="C117" s="81" t="s">
        <v>436</v>
      </c>
      <c r="D117" s="81" t="s">
        <v>260</v>
      </c>
      <c r="E117" s="81" t="s">
        <v>366</v>
      </c>
      <c r="F117" s="81" t="s">
        <v>1009</v>
      </c>
      <c r="G117" s="81">
        <v>2</v>
      </c>
      <c r="H117" s="81" t="s">
        <v>1025</v>
      </c>
      <c r="I117" s="79"/>
      <c r="J117" s="79"/>
      <c r="K117" s="79"/>
      <c r="L117" s="79"/>
    </row>
    <row r="118" ht="26" spans="1:12">
      <c r="A118" s="81" t="s">
        <v>441</v>
      </c>
      <c r="B118" s="81" t="s">
        <v>903</v>
      </c>
      <c r="C118" s="81" t="s">
        <v>436</v>
      </c>
      <c r="D118" s="81" t="s">
        <v>260</v>
      </c>
      <c r="E118" s="81" t="s">
        <v>366</v>
      </c>
      <c r="F118" s="81" t="s">
        <v>1009</v>
      </c>
      <c r="G118" s="81">
        <v>2</v>
      </c>
      <c r="H118" s="81" t="s">
        <v>1025</v>
      </c>
      <c r="I118" s="79"/>
      <c r="J118" s="79"/>
      <c r="K118" s="79"/>
      <c r="L118" s="79"/>
    </row>
    <row r="119" ht="26" spans="1:12">
      <c r="A119" s="81" t="s">
        <v>443</v>
      </c>
      <c r="B119" s="81" t="s">
        <v>903</v>
      </c>
      <c r="C119" s="81" t="s">
        <v>436</v>
      </c>
      <c r="D119" s="81" t="s">
        <v>260</v>
      </c>
      <c r="E119" s="81" t="s">
        <v>366</v>
      </c>
      <c r="F119" s="81" t="s">
        <v>1009</v>
      </c>
      <c r="G119" s="81">
        <v>2</v>
      </c>
      <c r="H119" s="81" t="s">
        <v>1025</v>
      </c>
      <c r="I119" s="79"/>
      <c r="J119" s="79"/>
      <c r="K119" s="79"/>
      <c r="L119" s="79"/>
    </row>
    <row r="120" ht="26" spans="1:12">
      <c r="A120" s="81" t="s">
        <v>444</v>
      </c>
      <c r="B120" s="81" t="s">
        <v>903</v>
      </c>
      <c r="C120" s="81" t="s">
        <v>436</v>
      </c>
      <c r="D120" s="81" t="s">
        <v>260</v>
      </c>
      <c r="E120" s="81" t="s">
        <v>366</v>
      </c>
      <c r="F120" s="81" t="s">
        <v>1009</v>
      </c>
      <c r="G120" s="81">
        <v>2</v>
      </c>
      <c r="H120" s="81" t="s">
        <v>1025</v>
      </c>
      <c r="I120" s="79"/>
      <c r="J120" s="79"/>
      <c r="K120" s="79"/>
      <c r="L120" s="79"/>
    </row>
    <row r="121" ht="26" spans="1:12">
      <c r="A121" s="81" t="s">
        <v>445</v>
      </c>
      <c r="B121" s="81" t="s">
        <v>903</v>
      </c>
      <c r="C121" s="81" t="s">
        <v>436</v>
      </c>
      <c r="D121" s="81" t="s">
        <v>260</v>
      </c>
      <c r="E121" s="81" t="s">
        <v>366</v>
      </c>
      <c r="F121" s="81" t="s">
        <v>1009</v>
      </c>
      <c r="G121" s="81">
        <v>2</v>
      </c>
      <c r="H121" s="81" t="s">
        <v>1025</v>
      </c>
      <c r="I121" s="79"/>
      <c r="J121" s="79"/>
      <c r="K121" s="79"/>
      <c r="L121" s="79"/>
    </row>
    <row r="122" ht="26" spans="1:12">
      <c r="A122" s="81" t="s">
        <v>446</v>
      </c>
      <c r="B122" s="81" t="s">
        <v>904</v>
      </c>
      <c r="C122" s="81" t="s">
        <v>436</v>
      </c>
      <c r="D122" s="81" t="s">
        <v>260</v>
      </c>
      <c r="E122" s="81" t="s">
        <v>366</v>
      </c>
      <c r="F122" s="81" t="s">
        <v>1009</v>
      </c>
      <c r="G122" s="81">
        <v>2</v>
      </c>
      <c r="H122" s="81" t="s">
        <v>1025</v>
      </c>
      <c r="I122" s="79"/>
      <c r="J122" s="79"/>
      <c r="K122" s="79"/>
      <c r="L122" s="79"/>
    </row>
    <row r="123" ht="26" spans="1:12">
      <c r="A123" s="81" t="s">
        <v>447</v>
      </c>
      <c r="B123" s="81" t="s">
        <v>903</v>
      </c>
      <c r="C123" s="81" t="s">
        <v>436</v>
      </c>
      <c r="D123" s="81" t="s">
        <v>260</v>
      </c>
      <c r="E123" s="81" t="s">
        <v>366</v>
      </c>
      <c r="F123" s="81" t="s">
        <v>1009</v>
      </c>
      <c r="G123" s="81">
        <v>2</v>
      </c>
      <c r="H123" s="81" t="s">
        <v>1025</v>
      </c>
      <c r="I123" s="79"/>
      <c r="J123" s="79"/>
      <c r="K123" s="79"/>
      <c r="L123" s="79"/>
    </row>
    <row r="124" ht="26" spans="1:12">
      <c r="A124" s="81" t="s">
        <v>448</v>
      </c>
      <c r="B124" s="81" t="s">
        <v>905</v>
      </c>
      <c r="C124" s="81" t="s">
        <v>368</v>
      </c>
      <c r="D124" s="81" t="s">
        <v>340</v>
      </c>
      <c r="E124" s="81" t="s">
        <v>138</v>
      </c>
      <c r="F124" s="81" t="s">
        <v>1007</v>
      </c>
      <c r="G124" s="81">
        <v>2</v>
      </c>
      <c r="H124" s="81" t="s">
        <v>1025</v>
      </c>
      <c r="I124" s="79"/>
      <c r="J124" s="79"/>
      <c r="K124" s="79"/>
      <c r="L124" s="79"/>
    </row>
    <row r="125" ht="26" spans="1:12">
      <c r="A125" s="81" t="s">
        <v>451</v>
      </c>
      <c r="B125" s="81" t="s">
        <v>906</v>
      </c>
      <c r="C125" s="81" t="s">
        <v>368</v>
      </c>
      <c r="D125" s="81" t="s">
        <v>340</v>
      </c>
      <c r="E125" s="81" t="s">
        <v>138</v>
      </c>
      <c r="F125" s="81" t="s">
        <v>1007</v>
      </c>
      <c r="G125" s="81">
        <v>2</v>
      </c>
      <c r="H125" s="81" t="s">
        <v>1025</v>
      </c>
      <c r="I125" s="79"/>
      <c r="J125" s="79"/>
      <c r="K125" s="79"/>
      <c r="L125" s="79"/>
    </row>
    <row r="126" ht="26" spans="1:12">
      <c r="A126" s="81" t="s">
        <v>452</v>
      </c>
      <c r="B126" s="81" t="s">
        <v>905</v>
      </c>
      <c r="C126" s="81" t="s">
        <v>368</v>
      </c>
      <c r="D126" s="81" t="s">
        <v>340</v>
      </c>
      <c r="E126" s="81" t="s">
        <v>138</v>
      </c>
      <c r="F126" s="81" t="s">
        <v>1007</v>
      </c>
      <c r="G126" s="81">
        <v>2</v>
      </c>
      <c r="H126" s="81" t="s">
        <v>1025</v>
      </c>
      <c r="I126" s="79"/>
      <c r="J126" s="79"/>
      <c r="K126" s="79"/>
      <c r="L126" s="79"/>
    </row>
    <row r="127" ht="26" spans="1:12">
      <c r="A127" s="81" t="s">
        <v>454</v>
      </c>
      <c r="B127" s="81" t="s">
        <v>905</v>
      </c>
      <c r="C127" s="81" t="s">
        <v>368</v>
      </c>
      <c r="D127" s="81" t="s">
        <v>340</v>
      </c>
      <c r="E127" s="81" t="s">
        <v>138</v>
      </c>
      <c r="F127" s="81" t="s">
        <v>1007</v>
      </c>
      <c r="G127" s="81">
        <v>2</v>
      </c>
      <c r="H127" s="81" t="s">
        <v>1025</v>
      </c>
      <c r="I127" s="79"/>
      <c r="J127" s="79"/>
      <c r="K127" s="79"/>
      <c r="L127" s="79"/>
    </row>
    <row r="128" ht="26" spans="1:12">
      <c r="A128" s="81" t="s">
        <v>455</v>
      </c>
      <c r="B128" s="81" t="s">
        <v>907</v>
      </c>
      <c r="C128" s="81" t="s">
        <v>456</v>
      </c>
      <c r="D128" s="81" t="s">
        <v>260</v>
      </c>
      <c r="E128" s="81" t="s">
        <v>366</v>
      </c>
      <c r="F128" s="81" t="s">
        <v>1014</v>
      </c>
      <c r="G128" s="81">
        <v>1</v>
      </c>
      <c r="H128" s="81" t="s">
        <v>1025</v>
      </c>
      <c r="I128" s="79"/>
      <c r="J128" s="79"/>
      <c r="K128" s="79"/>
      <c r="L128" s="79"/>
    </row>
    <row r="129" ht="26" spans="1:12">
      <c r="A129" s="81" t="s">
        <v>457</v>
      </c>
      <c r="B129" s="81" t="s">
        <v>903</v>
      </c>
      <c r="C129" s="81" t="s">
        <v>436</v>
      </c>
      <c r="D129" s="81" t="s">
        <v>260</v>
      </c>
      <c r="E129" s="81" t="s">
        <v>366</v>
      </c>
      <c r="F129" s="81" t="s">
        <v>1009</v>
      </c>
      <c r="G129" s="81">
        <v>2</v>
      </c>
      <c r="H129" s="81" t="s">
        <v>1025</v>
      </c>
      <c r="I129" s="79"/>
      <c r="J129" s="79"/>
      <c r="K129" s="79"/>
      <c r="L129" s="79"/>
    </row>
    <row r="130" ht="26" spans="1:12">
      <c r="A130" s="81" t="s">
        <v>458</v>
      </c>
      <c r="B130" s="81" t="s">
        <v>908</v>
      </c>
      <c r="C130" s="81" t="s">
        <v>101</v>
      </c>
      <c r="D130" s="81" t="s">
        <v>260</v>
      </c>
      <c r="E130" s="81" t="s">
        <v>366</v>
      </c>
      <c r="F130" s="81" t="s">
        <v>1005</v>
      </c>
      <c r="G130" s="81">
        <v>2</v>
      </c>
      <c r="H130" s="81" t="s">
        <v>1025</v>
      </c>
      <c r="I130" s="79"/>
      <c r="J130" s="79"/>
      <c r="K130" s="79"/>
      <c r="L130" s="79"/>
    </row>
    <row r="131" ht="26" spans="1:12">
      <c r="A131" s="81" t="s">
        <v>459</v>
      </c>
      <c r="B131" s="81" t="s">
        <v>903</v>
      </c>
      <c r="C131" s="81" t="s">
        <v>436</v>
      </c>
      <c r="D131" s="81" t="s">
        <v>260</v>
      </c>
      <c r="E131" s="81" t="s">
        <v>366</v>
      </c>
      <c r="F131" s="81" t="s">
        <v>1009</v>
      </c>
      <c r="G131" s="81">
        <v>2</v>
      </c>
      <c r="H131" s="81" t="s">
        <v>1025</v>
      </c>
      <c r="I131" s="79"/>
      <c r="J131" s="79"/>
      <c r="K131" s="79"/>
      <c r="L131" s="79"/>
    </row>
    <row r="132" ht="26" spans="1:12">
      <c r="A132" s="81" t="s">
        <v>461</v>
      </c>
      <c r="B132" s="81" t="s">
        <v>909</v>
      </c>
      <c r="C132" s="81" t="s">
        <v>368</v>
      </c>
      <c r="D132" s="81" t="s">
        <v>340</v>
      </c>
      <c r="E132" s="81" t="s">
        <v>366</v>
      </c>
      <c r="F132" s="81" t="s">
        <v>1007</v>
      </c>
      <c r="G132" s="81">
        <v>2</v>
      </c>
      <c r="H132" s="81" t="s">
        <v>1025</v>
      </c>
      <c r="I132" s="79"/>
      <c r="J132" s="79"/>
      <c r="K132" s="79"/>
      <c r="L132" s="79"/>
    </row>
    <row r="133" ht="26" spans="1:12">
      <c r="A133" s="81" t="s">
        <v>463</v>
      </c>
      <c r="B133" s="81" t="s">
        <v>909</v>
      </c>
      <c r="C133" s="81" t="s">
        <v>368</v>
      </c>
      <c r="D133" s="81" t="s">
        <v>340</v>
      </c>
      <c r="E133" s="81" t="s">
        <v>366</v>
      </c>
      <c r="F133" s="81" t="s">
        <v>1007</v>
      </c>
      <c r="G133" s="81">
        <v>2</v>
      </c>
      <c r="H133" s="81" t="s">
        <v>1025</v>
      </c>
      <c r="I133" s="79"/>
      <c r="J133" s="79"/>
      <c r="K133" s="79"/>
      <c r="L133" s="79"/>
    </row>
    <row r="134" ht="26" spans="1:12">
      <c r="A134" s="81" t="s">
        <v>464</v>
      </c>
      <c r="B134" s="81" t="s">
        <v>909</v>
      </c>
      <c r="C134" s="81" t="s">
        <v>368</v>
      </c>
      <c r="D134" s="81" t="s">
        <v>340</v>
      </c>
      <c r="E134" s="81" t="s">
        <v>366</v>
      </c>
      <c r="F134" s="81" t="s">
        <v>1007</v>
      </c>
      <c r="G134" s="81">
        <v>2</v>
      </c>
      <c r="H134" s="81" t="s">
        <v>1025</v>
      </c>
      <c r="I134" s="79"/>
      <c r="J134" s="79"/>
      <c r="K134" s="79"/>
      <c r="L134" s="79"/>
    </row>
    <row r="135" ht="26" spans="1:12">
      <c r="A135" s="81" t="s">
        <v>465</v>
      </c>
      <c r="B135" s="81" t="s">
        <v>903</v>
      </c>
      <c r="C135" s="81" t="s">
        <v>436</v>
      </c>
      <c r="D135" s="81" t="s">
        <v>260</v>
      </c>
      <c r="E135" s="81" t="s">
        <v>366</v>
      </c>
      <c r="F135" s="81" t="s">
        <v>1009</v>
      </c>
      <c r="G135" s="81">
        <v>2</v>
      </c>
      <c r="H135" s="81" t="s">
        <v>1025</v>
      </c>
      <c r="I135" s="79"/>
      <c r="J135" s="79"/>
      <c r="K135" s="79"/>
      <c r="L135" s="79"/>
    </row>
    <row r="136" ht="26" spans="1:12">
      <c r="A136" s="81" t="s">
        <v>466</v>
      </c>
      <c r="B136" s="81" t="s">
        <v>909</v>
      </c>
      <c r="C136" s="81" t="s">
        <v>368</v>
      </c>
      <c r="D136" s="81" t="s">
        <v>340</v>
      </c>
      <c r="E136" s="81" t="s">
        <v>366</v>
      </c>
      <c r="F136" s="81" t="s">
        <v>1007</v>
      </c>
      <c r="G136" s="81">
        <v>2</v>
      </c>
      <c r="H136" s="81" t="s">
        <v>1025</v>
      </c>
      <c r="I136" s="79"/>
      <c r="J136" s="79"/>
      <c r="K136" s="79"/>
      <c r="L136" s="79"/>
    </row>
    <row r="137" ht="26" spans="1:12">
      <c r="A137" s="81" t="s">
        <v>467</v>
      </c>
      <c r="B137" s="81" t="s">
        <v>905</v>
      </c>
      <c r="C137" s="81" t="s">
        <v>368</v>
      </c>
      <c r="D137" s="81" t="s">
        <v>340</v>
      </c>
      <c r="E137" s="81" t="s">
        <v>138</v>
      </c>
      <c r="F137" s="81" t="s">
        <v>1007</v>
      </c>
      <c r="G137" s="81">
        <v>2</v>
      </c>
      <c r="H137" s="81" t="s">
        <v>1025</v>
      </c>
      <c r="I137" s="79"/>
      <c r="J137" s="79"/>
      <c r="K137" s="79"/>
      <c r="L137" s="79"/>
    </row>
    <row r="138" ht="26" spans="1:12">
      <c r="A138" s="81" t="s">
        <v>468</v>
      </c>
      <c r="B138" s="81" t="s">
        <v>905</v>
      </c>
      <c r="C138" s="81" t="s">
        <v>368</v>
      </c>
      <c r="D138" s="81" t="s">
        <v>340</v>
      </c>
      <c r="E138" s="81" t="s">
        <v>138</v>
      </c>
      <c r="F138" s="81" t="s">
        <v>1007</v>
      </c>
      <c r="G138" s="81">
        <v>2</v>
      </c>
      <c r="H138" s="81" t="s">
        <v>1025</v>
      </c>
      <c r="I138" s="79"/>
      <c r="J138" s="79"/>
      <c r="K138" s="79"/>
      <c r="L138" s="79"/>
    </row>
    <row r="139" ht="26" spans="1:12">
      <c r="A139" s="81" t="s">
        <v>469</v>
      </c>
      <c r="B139" s="81" t="s">
        <v>903</v>
      </c>
      <c r="C139" s="81" t="s">
        <v>436</v>
      </c>
      <c r="D139" s="81" t="s">
        <v>260</v>
      </c>
      <c r="E139" s="81" t="s">
        <v>366</v>
      </c>
      <c r="F139" s="81" t="s">
        <v>1009</v>
      </c>
      <c r="G139" s="81">
        <v>2</v>
      </c>
      <c r="H139" s="81" t="s">
        <v>1025</v>
      </c>
      <c r="I139" s="79"/>
      <c r="J139" s="79"/>
      <c r="K139" s="79"/>
      <c r="L139" s="79"/>
    </row>
    <row r="140" ht="26" spans="1:12">
      <c r="A140" s="81" t="s">
        <v>470</v>
      </c>
      <c r="B140" s="81" t="s">
        <v>903</v>
      </c>
      <c r="C140" s="81" t="s">
        <v>436</v>
      </c>
      <c r="D140" s="81" t="s">
        <v>260</v>
      </c>
      <c r="E140" s="81" t="s">
        <v>366</v>
      </c>
      <c r="F140" s="81" t="s">
        <v>1009</v>
      </c>
      <c r="G140" s="81">
        <v>2</v>
      </c>
      <c r="H140" s="81" t="s">
        <v>1025</v>
      </c>
      <c r="I140" s="79"/>
      <c r="J140" s="79"/>
      <c r="K140" s="79"/>
      <c r="L140" s="79"/>
    </row>
    <row r="141" ht="26" spans="1:12">
      <c r="A141" s="81" t="s">
        <v>471</v>
      </c>
      <c r="B141" s="81" t="s">
        <v>907</v>
      </c>
      <c r="C141" s="81" t="s">
        <v>456</v>
      </c>
      <c r="D141" s="81" t="s">
        <v>260</v>
      </c>
      <c r="E141" s="81" t="s">
        <v>366</v>
      </c>
      <c r="F141" s="81" t="s">
        <v>1014</v>
      </c>
      <c r="G141" s="81">
        <v>1</v>
      </c>
      <c r="H141" s="81" t="s">
        <v>1025</v>
      </c>
      <c r="I141" s="79"/>
      <c r="J141" s="79"/>
      <c r="K141" s="79"/>
      <c r="L141" s="79"/>
    </row>
    <row r="142" ht="26" spans="1:12">
      <c r="A142" s="81" t="s">
        <v>472</v>
      </c>
      <c r="B142" s="81" t="s">
        <v>903</v>
      </c>
      <c r="C142" s="81" t="s">
        <v>436</v>
      </c>
      <c r="D142" s="81" t="s">
        <v>260</v>
      </c>
      <c r="E142" s="81" t="s">
        <v>366</v>
      </c>
      <c r="F142" s="81" t="s">
        <v>1009</v>
      </c>
      <c r="G142" s="81">
        <v>2</v>
      </c>
      <c r="H142" s="81" t="s">
        <v>1025</v>
      </c>
      <c r="I142" s="79"/>
      <c r="J142" s="79"/>
      <c r="K142" s="79"/>
      <c r="L142" s="79"/>
    </row>
    <row r="143" ht="26" spans="1:12">
      <c r="A143" s="81" t="s">
        <v>473</v>
      </c>
      <c r="B143" s="81" t="s">
        <v>903</v>
      </c>
      <c r="C143" s="81" t="s">
        <v>436</v>
      </c>
      <c r="D143" s="81" t="s">
        <v>260</v>
      </c>
      <c r="E143" s="81" t="s">
        <v>366</v>
      </c>
      <c r="F143" s="81" t="s">
        <v>1009</v>
      </c>
      <c r="G143" s="81">
        <v>2</v>
      </c>
      <c r="H143" s="81" t="s">
        <v>1025</v>
      </c>
      <c r="I143" s="79"/>
      <c r="J143" s="79"/>
      <c r="K143" s="79"/>
      <c r="L143" s="79"/>
    </row>
    <row r="144" ht="26" spans="1:12">
      <c r="A144" s="81" t="s">
        <v>474</v>
      </c>
      <c r="B144" s="81" t="s">
        <v>909</v>
      </c>
      <c r="C144" s="81" t="s">
        <v>368</v>
      </c>
      <c r="D144" s="81" t="s">
        <v>340</v>
      </c>
      <c r="E144" s="81" t="s">
        <v>366</v>
      </c>
      <c r="F144" s="81" t="s">
        <v>1007</v>
      </c>
      <c r="G144" s="81">
        <v>2</v>
      </c>
      <c r="H144" s="81" t="s">
        <v>1025</v>
      </c>
      <c r="I144" s="79"/>
      <c r="J144" s="79"/>
      <c r="K144" s="79"/>
      <c r="L144" s="79"/>
    </row>
    <row r="145" ht="26" spans="1:12">
      <c r="A145" s="81" t="s">
        <v>476</v>
      </c>
      <c r="B145" s="81" t="s">
        <v>909</v>
      </c>
      <c r="C145" s="81" t="s">
        <v>368</v>
      </c>
      <c r="D145" s="81" t="s">
        <v>340</v>
      </c>
      <c r="E145" s="81" t="s">
        <v>366</v>
      </c>
      <c r="F145" s="81" t="s">
        <v>1007</v>
      </c>
      <c r="G145" s="81">
        <v>2</v>
      </c>
      <c r="H145" s="81" t="s">
        <v>1025</v>
      </c>
      <c r="I145" s="79"/>
      <c r="J145" s="79"/>
      <c r="K145" s="79"/>
      <c r="L145" s="79"/>
    </row>
    <row r="146" ht="26" spans="1:12">
      <c r="A146" s="81" t="s">
        <v>477</v>
      </c>
      <c r="B146" s="81" t="s">
        <v>909</v>
      </c>
      <c r="C146" s="81" t="s">
        <v>368</v>
      </c>
      <c r="D146" s="81" t="s">
        <v>340</v>
      </c>
      <c r="E146" s="81" t="s">
        <v>366</v>
      </c>
      <c r="F146" s="81" t="s">
        <v>1007</v>
      </c>
      <c r="G146" s="81">
        <v>2</v>
      </c>
      <c r="H146" s="81" t="s">
        <v>1025</v>
      </c>
      <c r="I146" s="79"/>
      <c r="J146" s="79"/>
      <c r="K146" s="79"/>
      <c r="L146" s="79"/>
    </row>
    <row r="147" ht="26" spans="1:12">
      <c r="A147" s="81" t="s">
        <v>478</v>
      </c>
      <c r="B147" s="81" t="s">
        <v>909</v>
      </c>
      <c r="C147" s="81" t="s">
        <v>368</v>
      </c>
      <c r="D147" s="81" t="s">
        <v>340</v>
      </c>
      <c r="E147" s="81" t="s">
        <v>366</v>
      </c>
      <c r="F147" s="81" t="s">
        <v>1007</v>
      </c>
      <c r="G147" s="81">
        <v>2</v>
      </c>
      <c r="H147" s="81" t="s">
        <v>1025</v>
      </c>
      <c r="I147" s="79"/>
      <c r="J147" s="79"/>
      <c r="K147" s="79"/>
      <c r="L147" s="79"/>
    </row>
    <row r="148" ht="26" spans="1:12">
      <c r="A148" s="81" t="s">
        <v>479</v>
      </c>
      <c r="B148" s="81" t="s">
        <v>903</v>
      </c>
      <c r="C148" s="81" t="s">
        <v>436</v>
      </c>
      <c r="D148" s="81" t="s">
        <v>260</v>
      </c>
      <c r="E148" s="81" t="s">
        <v>366</v>
      </c>
      <c r="F148" s="81" t="s">
        <v>1009</v>
      </c>
      <c r="G148" s="81">
        <v>2</v>
      </c>
      <c r="H148" s="81" t="s">
        <v>1025</v>
      </c>
      <c r="I148" s="79"/>
      <c r="J148" s="79"/>
      <c r="K148" s="79"/>
      <c r="L148" s="79"/>
    </row>
    <row r="149" ht="26" spans="1:12">
      <c r="A149" s="81" t="s">
        <v>481</v>
      </c>
      <c r="B149" s="81" t="s">
        <v>903</v>
      </c>
      <c r="C149" s="81" t="s">
        <v>436</v>
      </c>
      <c r="D149" s="81" t="s">
        <v>260</v>
      </c>
      <c r="E149" s="81" t="s">
        <v>366</v>
      </c>
      <c r="F149" s="81" t="s">
        <v>1009</v>
      </c>
      <c r="G149" s="81">
        <v>2</v>
      </c>
      <c r="H149" s="81" t="s">
        <v>1025</v>
      </c>
      <c r="I149" s="79"/>
      <c r="J149" s="79"/>
      <c r="K149" s="79"/>
      <c r="L149" s="79"/>
    </row>
    <row r="150" ht="26" spans="1:12">
      <c r="A150" s="81" t="s">
        <v>482</v>
      </c>
      <c r="B150" s="81" t="s">
        <v>910</v>
      </c>
      <c r="C150" s="81" t="s">
        <v>368</v>
      </c>
      <c r="D150" s="81" t="s">
        <v>340</v>
      </c>
      <c r="E150" s="81" t="s">
        <v>138</v>
      </c>
      <c r="F150" s="81" t="s">
        <v>1007</v>
      </c>
      <c r="G150" s="81">
        <v>2</v>
      </c>
      <c r="H150" s="81" t="s">
        <v>1025</v>
      </c>
      <c r="I150" s="79"/>
      <c r="J150" s="79"/>
      <c r="K150" s="79"/>
      <c r="L150" s="79"/>
    </row>
    <row r="151" ht="26" spans="1:12">
      <c r="A151" s="81" t="s">
        <v>486</v>
      </c>
      <c r="B151" s="81" t="s">
        <v>910</v>
      </c>
      <c r="C151" s="81" t="s">
        <v>368</v>
      </c>
      <c r="D151" s="81" t="s">
        <v>340</v>
      </c>
      <c r="E151" s="81" t="s">
        <v>138</v>
      </c>
      <c r="F151" s="81" t="s">
        <v>1007</v>
      </c>
      <c r="G151" s="81">
        <v>2</v>
      </c>
      <c r="H151" s="81" t="s">
        <v>1025</v>
      </c>
      <c r="I151" s="79"/>
      <c r="J151" s="79"/>
      <c r="K151" s="79"/>
      <c r="L151" s="79"/>
    </row>
    <row r="152" ht="26" spans="1:12">
      <c r="A152" s="81" t="s">
        <v>487</v>
      </c>
      <c r="B152" s="81" t="s">
        <v>911</v>
      </c>
      <c r="C152" s="81" t="s">
        <v>456</v>
      </c>
      <c r="D152" s="81" t="s">
        <v>260</v>
      </c>
      <c r="E152" s="81" t="s">
        <v>366</v>
      </c>
      <c r="F152" s="81" t="s">
        <v>1014</v>
      </c>
      <c r="G152" s="81">
        <v>1</v>
      </c>
      <c r="H152" s="81" t="s">
        <v>1025</v>
      </c>
      <c r="I152" s="79"/>
      <c r="J152" s="79"/>
      <c r="K152" s="79"/>
      <c r="L152" s="79"/>
    </row>
    <row r="153" ht="26" spans="1:12">
      <c r="A153" s="81" t="s">
        <v>490</v>
      </c>
      <c r="B153" s="81" t="s">
        <v>912</v>
      </c>
      <c r="C153" s="81" t="s">
        <v>368</v>
      </c>
      <c r="D153" s="81" t="s">
        <v>340</v>
      </c>
      <c r="E153" s="81" t="s">
        <v>366</v>
      </c>
      <c r="F153" s="81" t="s">
        <v>1007</v>
      </c>
      <c r="G153" s="81">
        <v>2</v>
      </c>
      <c r="H153" s="81" t="s">
        <v>1025</v>
      </c>
      <c r="I153" s="79"/>
      <c r="J153" s="79"/>
      <c r="K153" s="79"/>
      <c r="L153" s="79"/>
    </row>
    <row r="154" ht="26" spans="1:12">
      <c r="A154" s="81" t="s">
        <v>491</v>
      </c>
      <c r="B154" s="81" t="s">
        <v>891</v>
      </c>
      <c r="C154" s="81" t="s">
        <v>368</v>
      </c>
      <c r="D154" s="81" t="s">
        <v>340</v>
      </c>
      <c r="E154" s="81" t="s">
        <v>366</v>
      </c>
      <c r="F154" s="81" t="s">
        <v>1007</v>
      </c>
      <c r="G154" s="81">
        <v>2</v>
      </c>
      <c r="H154" s="81" t="s">
        <v>1025</v>
      </c>
      <c r="I154" s="79"/>
      <c r="J154" s="79"/>
      <c r="K154" s="79"/>
      <c r="L154" s="79"/>
    </row>
    <row r="155" ht="26" spans="1:12">
      <c r="A155" s="81" t="s">
        <v>494</v>
      </c>
      <c r="B155" s="81" t="s">
        <v>891</v>
      </c>
      <c r="C155" s="81" t="s">
        <v>368</v>
      </c>
      <c r="D155" s="81" t="s">
        <v>340</v>
      </c>
      <c r="E155" s="81" t="s">
        <v>366</v>
      </c>
      <c r="F155" s="81" t="s">
        <v>1007</v>
      </c>
      <c r="G155" s="81">
        <v>2</v>
      </c>
      <c r="H155" s="81" t="s">
        <v>1025</v>
      </c>
      <c r="I155" s="79"/>
      <c r="J155" s="79"/>
      <c r="K155" s="79"/>
      <c r="L155" s="79"/>
    </row>
    <row r="156" ht="26" spans="1:12">
      <c r="A156" s="81" t="s">
        <v>495</v>
      </c>
      <c r="B156" s="81" t="s">
        <v>913</v>
      </c>
      <c r="C156" s="81" t="s">
        <v>339</v>
      </c>
      <c r="D156" s="81" t="s">
        <v>340</v>
      </c>
      <c r="E156" s="81" t="s">
        <v>117</v>
      </c>
      <c r="F156" s="81" t="s">
        <v>1004</v>
      </c>
      <c r="G156" s="81">
        <v>4</v>
      </c>
      <c r="H156" s="81" t="s">
        <v>1025</v>
      </c>
      <c r="I156" s="79"/>
      <c r="J156" s="79"/>
      <c r="K156" s="79"/>
      <c r="L156" s="79"/>
    </row>
    <row r="157" ht="26" spans="1:12">
      <c r="A157" s="81" t="s">
        <v>496</v>
      </c>
      <c r="B157" s="81" t="s">
        <v>913</v>
      </c>
      <c r="C157" s="81" t="s">
        <v>339</v>
      </c>
      <c r="D157" s="81" t="s">
        <v>340</v>
      </c>
      <c r="E157" s="81" t="s">
        <v>117</v>
      </c>
      <c r="F157" s="81" t="s">
        <v>1004</v>
      </c>
      <c r="G157" s="81">
        <v>4</v>
      </c>
      <c r="H157" s="81" t="s">
        <v>1025</v>
      </c>
      <c r="I157" s="79"/>
      <c r="J157" s="79"/>
      <c r="K157" s="79"/>
      <c r="L157" s="79"/>
    </row>
    <row r="158" ht="26" spans="1:12">
      <c r="A158" s="81" t="s">
        <v>498</v>
      </c>
      <c r="B158" s="81" t="s">
        <v>891</v>
      </c>
      <c r="C158" s="81" t="s">
        <v>368</v>
      </c>
      <c r="D158" s="81" t="s">
        <v>340</v>
      </c>
      <c r="E158" s="81" t="s">
        <v>366</v>
      </c>
      <c r="F158" s="81" t="s">
        <v>1007</v>
      </c>
      <c r="G158" s="81">
        <v>2</v>
      </c>
      <c r="H158" s="81" t="s">
        <v>1025</v>
      </c>
      <c r="I158" s="79"/>
      <c r="J158" s="79"/>
      <c r="K158" s="79"/>
      <c r="L158" s="79"/>
    </row>
    <row r="159" ht="26" spans="1:12">
      <c r="A159" s="81" t="s">
        <v>502</v>
      </c>
      <c r="B159" s="81" t="s">
        <v>891</v>
      </c>
      <c r="C159" s="81" t="s">
        <v>368</v>
      </c>
      <c r="D159" s="81" t="s">
        <v>340</v>
      </c>
      <c r="E159" s="81" t="s">
        <v>366</v>
      </c>
      <c r="F159" s="81" t="s">
        <v>1007</v>
      </c>
      <c r="G159" s="81">
        <v>2</v>
      </c>
      <c r="H159" s="81" t="s">
        <v>1025</v>
      </c>
      <c r="I159" s="79"/>
      <c r="J159" s="79"/>
      <c r="K159" s="79"/>
      <c r="L159" s="79"/>
    </row>
    <row r="160" ht="26" spans="1:12">
      <c r="A160" s="81" t="s">
        <v>503</v>
      </c>
      <c r="B160" s="81" t="s">
        <v>891</v>
      </c>
      <c r="C160" s="81" t="s">
        <v>368</v>
      </c>
      <c r="D160" s="81" t="s">
        <v>340</v>
      </c>
      <c r="E160" s="81" t="s">
        <v>366</v>
      </c>
      <c r="F160" s="81" t="s">
        <v>1007</v>
      </c>
      <c r="G160" s="81">
        <v>2</v>
      </c>
      <c r="H160" s="81" t="s">
        <v>1025</v>
      </c>
      <c r="I160" s="79"/>
      <c r="J160" s="79"/>
      <c r="K160" s="79"/>
      <c r="L160" s="79"/>
    </row>
    <row r="161" ht="26" spans="1:12">
      <c r="A161" s="81" t="s">
        <v>504</v>
      </c>
      <c r="B161" s="81" t="s">
        <v>891</v>
      </c>
      <c r="C161" s="81" t="s">
        <v>368</v>
      </c>
      <c r="D161" s="81" t="s">
        <v>340</v>
      </c>
      <c r="E161" s="81" t="s">
        <v>366</v>
      </c>
      <c r="F161" s="81" t="s">
        <v>1007</v>
      </c>
      <c r="G161" s="81">
        <v>2</v>
      </c>
      <c r="H161" s="81" t="s">
        <v>1025</v>
      </c>
      <c r="I161" s="79"/>
      <c r="J161" s="79"/>
      <c r="K161" s="79"/>
      <c r="L161" s="79"/>
    </row>
    <row r="162" ht="26" spans="1:12">
      <c r="A162" s="81" t="s">
        <v>505</v>
      </c>
      <c r="B162" s="81" t="s">
        <v>891</v>
      </c>
      <c r="C162" s="81" t="s">
        <v>368</v>
      </c>
      <c r="D162" s="81" t="s">
        <v>340</v>
      </c>
      <c r="E162" s="81" t="s">
        <v>366</v>
      </c>
      <c r="F162" s="81" t="s">
        <v>1007</v>
      </c>
      <c r="G162" s="81">
        <v>2</v>
      </c>
      <c r="H162" s="81" t="s">
        <v>1025</v>
      </c>
      <c r="I162" s="79"/>
      <c r="J162" s="79"/>
      <c r="K162" s="79"/>
      <c r="L162" s="79"/>
    </row>
    <row r="163" ht="26" spans="1:12">
      <c r="A163" s="81" t="s">
        <v>507</v>
      </c>
      <c r="B163" s="81" t="s">
        <v>891</v>
      </c>
      <c r="C163" s="81" t="s">
        <v>368</v>
      </c>
      <c r="D163" s="81" t="s">
        <v>340</v>
      </c>
      <c r="E163" s="81" t="s">
        <v>366</v>
      </c>
      <c r="F163" s="81" t="s">
        <v>1007</v>
      </c>
      <c r="G163" s="81">
        <v>2</v>
      </c>
      <c r="H163" s="81" t="s">
        <v>1025</v>
      </c>
      <c r="I163" s="79"/>
      <c r="J163" s="79"/>
      <c r="K163" s="79"/>
      <c r="L163" s="79"/>
    </row>
    <row r="164" ht="26" spans="1:12">
      <c r="A164" s="81" t="s">
        <v>508</v>
      </c>
      <c r="B164" s="81" t="s">
        <v>891</v>
      </c>
      <c r="C164" s="81" t="s">
        <v>368</v>
      </c>
      <c r="D164" s="81" t="s">
        <v>340</v>
      </c>
      <c r="E164" s="81" t="s">
        <v>366</v>
      </c>
      <c r="F164" s="81" t="s">
        <v>1007</v>
      </c>
      <c r="G164" s="81">
        <v>2</v>
      </c>
      <c r="H164" s="81" t="s">
        <v>1025</v>
      </c>
      <c r="I164" s="79"/>
      <c r="J164" s="79"/>
      <c r="K164" s="79"/>
      <c r="L164" s="79"/>
    </row>
    <row r="165" ht="26" spans="1:12">
      <c r="A165" s="81" t="s">
        <v>509</v>
      </c>
      <c r="B165" s="81" t="s">
        <v>891</v>
      </c>
      <c r="C165" s="81" t="s">
        <v>368</v>
      </c>
      <c r="D165" s="81" t="s">
        <v>340</v>
      </c>
      <c r="E165" s="81" t="s">
        <v>366</v>
      </c>
      <c r="F165" s="81" t="s">
        <v>1007</v>
      </c>
      <c r="G165" s="81">
        <v>2</v>
      </c>
      <c r="H165" s="81" t="s">
        <v>1025</v>
      </c>
      <c r="I165" s="79"/>
      <c r="J165" s="79"/>
      <c r="K165" s="79"/>
      <c r="L165" s="79"/>
    </row>
    <row r="166" ht="26" spans="1:12">
      <c r="A166" s="81" t="s">
        <v>510</v>
      </c>
      <c r="B166" s="81" t="s">
        <v>891</v>
      </c>
      <c r="C166" s="81" t="s">
        <v>368</v>
      </c>
      <c r="D166" s="81" t="s">
        <v>340</v>
      </c>
      <c r="E166" s="81" t="s">
        <v>366</v>
      </c>
      <c r="F166" s="81" t="s">
        <v>1007</v>
      </c>
      <c r="G166" s="81">
        <v>2</v>
      </c>
      <c r="H166" s="81" t="s">
        <v>1025</v>
      </c>
      <c r="I166" s="79"/>
      <c r="J166" s="79"/>
      <c r="K166" s="79"/>
      <c r="L166" s="79"/>
    </row>
    <row r="167" ht="26" spans="1:12">
      <c r="A167" s="81" t="s">
        <v>511</v>
      </c>
      <c r="B167" s="81" t="s">
        <v>891</v>
      </c>
      <c r="C167" s="81" t="s">
        <v>368</v>
      </c>
      <c r="D167" s="81" t="s">
        <v>340</v>
      </c>
      <c r="E167" s="81" t="s">
        <v>366</v>
      </c>
      <c r="F167" s="81" t="s">
        <v>1007</v>
      </c>
      <c r="G167" s="81">
        <v>2</v>
      </c>
      <c r="H167" s="81" t="s">
        <v>1025</v>
      </c>
      <c r="I167" s="79"/>
      <c r="J167" s="79"/>
      <c r="K167" s="79"/>
      <c r="L167" s="79"/>
    </row>
    <row r="168" ht="26" spans="1:12">
      <c r="A168" s="81" t="s">
        <v>512</v>
      </c>
      <c r="B168" s="81" t="s">
        <v>914</v>
      </c>
      <c r="C168" s="81" t="s">
        <v>513</v>
      </c>
      <c r="D168" s="81" t="s">
        <v>340</v>
      </c>
      <c r="E168" s="81" t="s">
        <v>366</v>
      </c>
      <c r="F168" s="81" t="s">
        <v>1004</v>
      </c>
      <c r="G168" s="81">
        <v>2</v>
      </c>
      <c r="H168" s="81" t="s">
        <v>1025</v>
      </c>
      <c r="I168" s="79"/>
      <c r="J168" s="79"/>
      <c r="K168" s="79"/>
      <c r="L168" s="79"/>
    </row>
    <row r="169" ht="26" spans="1:12">
      <c r="A169" s="81" t="s">
        <v>514</v>
      </c>
      <c r="B169" s="81" t="s">
        <v>914</v>
      </c>
      <c r="C169" s="81" t="s">
        <v>513</v>
      </c>
      <c r="D169" s="81" t="s">
        <v>340</v>
      </c>
      <c r="E169" s="81" t="s">
        <v>366</v>
      </c>
      <c r="F169" s="81" t="s">
        <v>1004</v>
      </c>
      <c r="G169" s="81">
        <v>2</v>
      </c>
      <c r="H169" s="81" t="s">
        <v>1025</v>
      </c>
      <c r="I169" s="79"/>
      <c r="J169" s="79"/>
      <c r="K169" s="79"/>
      <c r="L169" s="79"/>
    </row>
    <row r="170" ht="26" spans="1:12">
      <c r="A170" s="81" t="s">
        <v>515</v>
      </c>
      <c r="B170" s="81" t="s">
        <v>905</v>
      </c>
      <c r="C170" s="81" t="s">
        <v>368</v>
      </c>
      <c r="D170" s="81" t="s">
        <v>340</v>
      </c>
      <c r="E170" s="81" t="s">
        <v>138</v>
      </c>
      <c r="F170" s="81" t="s">
        <v>1007</v>
      </c>
      <c r="G170" s="81">
        <v>2</v>
      </c>
      <c r="H170" s="81" t="s">
        <v>1025</v>
      </c>
      <c r="I170" s="79"/>
      <c r="J170" s="79"/>
      <c r="K170" s="79"/>
      <c r="L170" s="79"/>
    </row>
    <row r="171" ht="26" spans="1:12">
      <c r="A171" s="81" t="s">
        <v>517</v>
      </c>
      <c r="B171" s="81" t="s">
        <v>891</v>
      </c>
      <c r="C171" s="81" t="s">
        <v>368</v>
      </c>
      <c r="D171" s="81" t="s">
        <v>340</v>
      </c>
      <c r="E171" s="81" t="s">
        <v>366</v>
      </c>
      <c r="F171" s="81" t="s">
        <v>1007</v>
      </c>
      <c r="G171" s="81">
        <v>2</v>
      </c>
      <c r="H171" s="81" t="s">
        <v>1025</v>
      </c>
      <c r="I171" s="79"/>
      <c r="J171" s="79"/>
      <c r="K171" s="79"/>
      <c r="L171" s="79"/>
    </row>
    <row r="172" ht="26" spans="1:12">
      <c r="A172" s="81" t="s">
        <v>518</v>
      </c>
      <c r="B172" s="81" t="s">
        <v>891</v>
      </c>
      <c r="C172" s="81" t="s">
        <v>368</v>
      </c>
      <c r="D172" s="81" t="s">
        <v>340</v>
      </c>
      <c r="E172" s="81" t="s">
        <v>366</v>
      </c>
      <c r="F172" s="81" t="s">
        <v>1007</v>
      </c>
      <c r="G172" s="81">
        <v>2</v>
      </c>
      <c r="H172" s="81" t="s">
        <v>1025</v>
      </c>
      <c r="I172" s="79"/>
      <c r="J172" s="79"/>
      <c r="K172" s="79"/>
      <c r="L172" s="79"/>
    </row>
    <row r="173" ht="26" spans="1:12">
      <c r="A173" s="81" t="s">
        <v>519</v>
      </c>
      <c r="B173" s="81" t="s">
        <v>891</v>
      </c>
      <c r="C173" s="81" t="s">
        <v>368</v>
      </c>
      <c r="D173" s="81" t="s">
        <v>340</v>
      </c>
      <c r="E173" s="81" t="s">
        <v>366</v>
      </c>
      <c r="F173" s="81" t="s">
        <v>1007</v>
      </c>
      <c r="G173" s="81">
        <v>2</v>
      </c>
      <c r="H173" s="81" t="s">
        <v>1025</v>
      </c>
      <c r="I173" s="79"/>
      <c r="J173" s="79"/>
      <c r="K173" s="79"/>
      <c r="L173" s="79"/>
    </row>
    <row r="174" ht="26" spans="1:12">
      <c r="A174" s="81" t="s">
        <v>520</v>
      </c>
      <c r="B174" s="81" t="s">
        <v>891</v>
      </c>
      <c r="C174" s="81" t="s">
        <v>368</v>
      </c>
      <c r="D174" s="81" t="s">
        <v>340</v>
      </c>
      <c r="E174" s="81" t="s">
        <v>366</v>
      </c>
      <c r="F174" s="81" t="s">
        <v>1007</v>
      </c>
      <c r="G174" s="81">
        <v>2</v>
      </c>
      <c r="H174" s="81" t="s">
        <v>1025</v>
      </c>
      <c r="I174" s="79"/>
      <c r="J174" s="79"/>
      <c r="K174" s="79"/>
      <c r="L174" s="79"/>
    </row>
    <row r="175" ht="26" spans="1:12">
      <c r="A175" s="81" t="s">
        <v>521</v>
      </c>
      <c r="B175" s="81" t="s">
        <v>915</v>
      </c>
      <c r="C175" s="81" t="s">
        <v>522</v>
      </c>
      <c r="D175" s="81" t="s">
        <v>260</v>
      </c>
      <c r="E175" s="81" t="s">
        <v>366</v>
      </c>
      <c r="F175" s="81" t="s">
        <v>1014</v>
      </c>
      <c r="G175" s="81">
        <v>1</v>
      </c>
      <c r="H175" s="81" t="s">
        <v>1025</v>
      </c>
      <c r="I175" s="79"/>
      <c r="J175" s="79"/>
      <c r="K175" s="79"/>
      <c r="L175" s="79"/>
    </row>
    <row r="176" ht="26" spans="1:12">
      <c r="A176" s="81" t="s">
        <v>523</v>
      </c>
      <c r="B176" s="81" t="s">
        <v>916</v>
      </c>
      <c r="C176" s="81" t="s">
        <v>522</v>
      </c>
      <c r="D176" s="81" t="s">
        <v>260</v>
      </c>
      <c r="E176" s="81" t="s">
        <v>366</v>
      </c>
      <c r="F176" s="81" t="s">
        <v>1014</v>
      </c>
      <c r="G176" s="81">
        <v>1</v>
      </c>
      <c r="H176" s="81" t="s">
        <v>1025</v>
      </c>
      <c r="I176" s="79"/>
      <c r="J176" s="79"/>
      <c r="K176" s="79"/>
      <c r="L176" s="79"/>
    </row>
    <row r="177" ht="26" spans="1:12">
      <c r="A177" s="81" t="s">
        <v>524</v>
      </c>
      <c r="B177" s="81" t="s">
        <v>905</v>
      </c>
      <c r="C177" s="81" t="s">
        <v>368</v>
      </c>
      <c r="D177" s="81" t="s">
        <v>340</v>
      </c>
      <c r="E177" s="81" t="s">
        <v>138</v>
      </c>
      <c r="F177" s="81" t="s">
        <v>1007</v>
      </c>
      <c r="G177" s="81">
        <v>2</v>
      </c>
      <c r="H177" s="81" t="s">
        <v>1025</v>
      </c>
      <c r="I177" s="79"/>
      <c r="J177" s="79"/>
      <c r="K177" s="79"/>
      <c r="L177" s="79"/>
    </row>
    <row r="178" ht="26" spans="1:12">
      <c r="A178" s="81" t="s">
        <v>525</v>
      </c>
      <c r="B178" s="81" t="s">
        <v>891</v>
      </c>
      <c r="C178" s="81" t="s">
        <v>368</v>
      </c>
      <c r="D178" s="81" t="s">
        <v>340</v>
      </c>
      <c r="E178" s="81" t="s">
        <v>366</v>
      </c>
      <c r="F178" s="81" t="s">
        <v>1007</v>
      </c>
      <c r="G178" s="81">
        <v>2</v>
      </c>
      <c r="H178" s="81" t="s">
        <v>1025</v>
      </c>
      <c r="I178" s="79"/>
      <c r="J178" s="79"/>
      <c r="K178" s="79"/>
      <c r="L178" s="79"/>
    </row>
    <row r="179" ht="26" spans="1:12">
      <c r="A179" s="81" t="s">
        <v>526</v>
      </c>
      <c r="B179" s="81" t="s">
        <v>903</v>
      </c>
      <c r="C179" s="81" t="s">
        <v>436</v>
      </c>
      <c r="D179" s="81" t="s">
        <v>260</v>
      </c>
      <c r="E179" s="81" t="s">
        <v>366</v>
      </c>
      <c r="F179" s="81" t="s">
        <v>1009</v>
      </c>
      <c r="G179" s="81">
        <v>2</v>
      </c>
      <c r="H179" s="81" t="s">
        <v>1025</v>
      </c>
      <c r="I179" s="79"/>
      <c r="J179" s="79"/>
      <c r="K179" s="79"/>
      <c r="L179" s="79"/>
    </row>
    <row r="180" ht="26" spans="1:12">
      <c r="A180" s="81" t="s">
        <v>528</v>
      </c>
      <c r="B180" s="81" t="s">
        <v>903</v>
      </c>
      <c r="C180" s="81" t="s">
        <v>436</v>
      </c>
      <c r="D180" s="81" t="s">
        <v>260</v>
      </c>
      <c r="E180" s="81" t="s">
        <v>366</v>
      </c>
      <c r="F180" s="81" t="s">
        <v>1009</v>
      </c>
      <c r="G180" s="81">
        <v>2</v>
      </c>
      <c r="H180" s="81" t="s">
        <v>1025</v>
      </c>
      <c r="I180" s="79"/>
      <c r="J180" s="79"/>
      <c r="K180" s="79"/>
      <c r="L180" s="79"/>
    </row>
    <row r="181" ht="26" spans="1:12">
      <c r="A181" s="81" t="s">
        <v>529</v>
      </c>
      <c r="B181" s="81" t="s">
        <v>903</v>
      </c>
      <c r="C181" s="81" t="s">
        <v>436</v>
      </c>
      <c r="D181" s="81" t="s">
        <v>260</v>
      </c>
      <c r="E181" s="81" t="s">
        <v>366</v>
      </c>
      <c r="F181" s="81" t="s">
        <v>1009</v>
      </c>
      <c r="G181" s="81">
        <v>2</v>
      </c>
      <c r="H181" s="81" t="s">
        <v>1025</v>
      </c>
      <c r="I181" s="79"/>
      <c r="J181" s="79"/>
      <c r="K181" s="79"/>
      <c r="L181" s="79"/>
    </row>
    <row r="182" ht="26" spans="1:12">
      <c r="A182" s="81" t="s">
        <v>530</v>
      </c>
      <c r="B182" s="81" t="s">
        <v>903</v>
      </c>
      <c r="C182" s="81" t="s">
        <v>436</v>
      </c>
      <c r="D182" s="81" t="s">
        <v>260</v>
      </c>
      <c r="E182" s="81" t="s">
        <v>366</v>
      </c>
      <c r="F182" s="81" t="s">
        <v>1009</v>
      </c>
      <c r="G182" s="81">
        <v>2</v>
      </c>
      <c r="H182" s="81" t="s">
        <v>1025</v>
      </c>
      <c r="I182" s="79"/>
      <c r="J182" s="79"/>
      <c r="K182" s="79"/>
      <c r="L182" s="79"/>
    </row>
    <row r="183" ht="26" spans="1:12">
      <c r="A183" s="81" t="s">
        <v>531</v>
      </c>
      <c r="B183" s="81" t="s">
        <v>903</v>
      </c>
      <c r="C183" s="81" t="s">
        <v>436</v>
      </c>
      <c r="D183" s="81" t="s">
        <v>260</v>
      </c>
      <c r="E183" s="81" t="s">
        <v>366</v>
      </c>
      <c r="F183" s="81" t="s">
        <v>1009</v>
      </c>
      <c r="G183" s="81">
        <v>2</v>
      </c>
      <c r="H183" s="81" t="s">
        <v>1025</v>
      </c>
      <c r="I183" s="79"/>
      <c r="J183" s="79"/>
      <c r="K183" s="79"/>
      <c r="L183" s="79"/>
    </row>
    <row r="184" ht="26" spans="1:12">
      <c r="A184" s="81" t="s">
        <v>532</v>
      </c>
      <c r="B184" s="81" t="s">
        <v>903</v>
      </c>
      <c r="C184" s="81" t="s">
        <v>436</v>
      </c>
      <c r="D184" s="81" t="s">
        <v>260</v>
      </c>
      <c r="E184" s="81" t="s">
        <v>366</v>
      </c>
      <c r="F184" s="81" t="s">
        <v>1009</v>
      </c>
      <c r="G184" s="81">
        <v>2</v>
      </c>
      <c r="H184" s="81" t="s">
        <v>1025</v>
      </c>
      <c r="I184" s="79"/>
      <c r="J184" s="79"/>
      <c r="K184" s="79"/>
      <c r="L184" s="79"/>
    </row>
    <row r="185" ht="26" spans="1:12">
      <c r="A185" s="81" t="s">
        <v>533</v>
      </c>
      <c r="B185" s="81" t="s">
        <v>917</v>
      </c>
      <c r="C185" s="81" t="s">
        <v>339</v>
      </c>
      <c r="D185" s="81" t="s">
        <v>340</v>
      </c>
      <c r="E185" s="81" t="s">
        <v>138</v>
      </c>
      <c r="F185" s="81" t="s">
        <v>1004</v>
      </c>
      <c r="G185" s="81">
        <v>2</v>
      </c>
      <c r="H185" s="81" t="s">
        <v>1025</v>
      </c>
      <c r="I185" s="79"/>
      <c r="J185" s="79"/>
      <c r="K185" s="79"/>
      <c r="L185" s="79"/>
    </row>
    <row r="186" ht="26" spans="1:12">
      <c r="A186" s="81" t="s">
        <v>534</v>
      </c>
      <c r="B186" s="81" t="s">
        <v>917</v>
      </c>
      <c r="C186" s="81" t="s">
        <v>339</v>
      </c>
      <c r="D186" s="81" t="s">
        <v>340</v>
      </c>
      <c r="E186" s="81" t="s">
        <v>138</v>
      </c>
      <c r="F186" s="81" t="s">
        <v>1004</v>
      </c>
      <c r="G186" s="81">
        <v>2</v>
      </c>
      <c r="H186" s="81" t="s">
        <v>1025</v>
      </c>
      <c r="I186" s="79"/>
      <c r="J186" s="79"/>
      <c r="K186" s="79"/>
      <c r="L186" s="79"/>
    </row>
    <row r="187" ht="26" spans="1:12">
      <c r="A187" s="81" t="s">
        <v>535</v>
      </c>
      <c r="B187" s="81" t="s">
        <v>917</v>
      </c>
      <c r="C187" s="81" t="s">
        <v>339</v>
      </c>
      <c r="D187" s="81" t="s">
        <v>340</v>
      </c>
      <c r="E187" s="81" t="s">
        <v>138</v>
      </c>
      <c r="F187" s="81" t="s">
        <v>1004</v>
      </c>
      <c r="G187" s="81">
        <v>2</v>
      </c>
      <c r="H187" s="81" t="s">
        <v>1025</v>
      </c>
      <c r="I187" s="79"/>
      <c r="J187" s="79"/>
      <c r="K187" s="79"/>
      <c r="L187" s="79"/>
    </row>
    <row r="188" ht="26" spans="1:12">
      <c r="A188" s="81" t="s">
        <v>536</v>
      </c>
      <c r="B188" s="81" t="s">
        <v>917</v>
      </c>
      <c r="C188" s="81" t="s">
        <v>339</v>
      </c>
      <c r="D188" s="81" t="s">
        <v>340</v>
      </c>
      <c r="E188" s="81" t="s">
        <v>138</v>
      </c>
      <c r="F188" s="81" t="s">
        <v>1004</v>
      </c>
      <c r="G188" s="81">
        <v>2</v>
      </c>
      <c r="H188" s="81" t="s">
        <v>1025</v>
      </c>
      <c r="I188" s="79"/>
      <c r="J188" s="79"/>
      <c r="K188" s="79"/>
      <c r="L188" s="79"/>
    </row>
    <row r="189" ht="26" spans="1:12">
      <c r="A189" s="81" t="s">
        <v>537</v>
      </c>
      <c r="B189" s="81" t="s">
        <v>917</v>
      </c>
      <c r="C189" s="81" t="s">
        <v>339</v>
      </c>
      <c r="D189" s="81" t="s">
        <v>340</v>
      </c>
      <c r="E189" s="81" t="s">
        <v>138</v>
      </c>
      <c r="F189" s="81" t="s">
        <v>1004</v>
      </c>
      <c r="G189" s="81">
        <v>2</v>
      </c>
      <c r="H189" s="81" t="s">
        <v>1025</v>
      </c>
      <c r="I189" s="79"/>
      <c r="J189" s="79"/>
      <c r="K189" s="79"/>
      <c r="L189" s="79"/>
    </row>
    <row r="190" ht="26" spans="1:12">
      <c r="A190" s="81" t="s">
        <v>538</v>
      </c>
      <c r="B190" s="81" t="s">
        <v>917</v>
      </c>
      <c r="C190" s="81" t="s">
        <v>339</v>
      </c>
      <c r="D190" s="81" t="s">
        <v>340</v>
      </c>
      <c r="E190" s="81" t="s">
        <v>138</v>
      </c>
      <c r="F190" s="81" t="s">
        <v>1004</v>
      </c>
      <c r="G190" s="81">
        <v>2</v>
      </c>
      <c r="H190" s="81" t="s">
        <v>1025</v>
      </c>
      <c r="I190" s="79"/>
      <c r="J190" s="79"/>
      <c r="K190" s="79"/>
      <c r="L190" s="79"/>
    </row>
    <row r="191" ht="26" spans="1:12">
      <c r="A191" s="81" t="s">
        <v>539</v>
      </c>
      <c r="B191" s="81" t="s">
        <v>917</v>
      </c>
      <c r="C191" s="81" t="s">
        <v>339</v>
      </c>
      <c r="D191" s="81" t="s">
        <v>340</v>
      </c>
      <c r="E191" s="81" t="s">
        <v>138</v>
      </c>
      <c r="F191" s="81" t="s">
        <v>1004</v>
      </c>
      <c r="G191" s="81">
        <v>2</v>
      </c>
      <c r="H191" s="81" t="s">
        <v>1025</v>
      </c>
      <c r="I191" s="79"/>
      <c r="J191" s="79"/>
      <c r="K191" s="79"/>
      <c r="L191" s="79"/>
    </row>
    <row r="192" ht="26" spans="1:12">
      <c r="A192" s="81" t="s">
        <v>540</v>
      </c>
      <c r="B192" s="81" t="s">
        <v>918</v>
      </c>
      <c r="C192" s="81" t="s">
        <v>339</v>
      </c>
      <c r="D192" s="81" t="s">
        <v>340</v>
      </c>
      <c r="E192" s="81" t="s">
        <v>541</v>
      </c>
      <c r="F192" s="81" t="s">
        <v>1004</v>
      </c>
      <c r="G192" s="81">
        <v>2</v>
      </c>
      <c r="H192" s="81" t="s">
        <v>1025</v>
      </c>
      <c r="I192" s="79"/>
      <c r="J192" s="79"/>
      <c r="K192" s="79"/>
      <c r="L192" s="79"/>
    </row>
    <row r="193" ht="26" spans="1:12">
      <c r="A193" s="81" t="s">
        <v>546</v>
      </c>
      <c r="B193" s="81" t="s">
        <v>910</v>
      </c>
      <c r="C193" s="81" t="s">
        <v>368</v>
      </c>
      <c r="D193" s="81" t="s">
        <v>340</v>
      </c>
      <c r="E193" s="81" t="s">
        <v>138</v>
      </c>
      <c r="F193" s="81" t="s">
        <v>1007</v>
      </c>
      <c r="G193" s="81">
        <v>2</v>
      </c>
      <c r="H193" s="81" t="s">
        <v>1025</v>
      </c>
      <c r="I193" s="79"/>
      <c r="J193" s="79"/>
      <c r="K193" s="79"/>
      <c r="L193" s="79"/>
    </row>
    <row r="194" ht="26" spans="1:12">
      <c r="A194" s="81" t="s">
        <v>547</v>
      </c>
      <c r="B194" s="81" t="s">
        <v>910</v>
      </c>
      <c r="C194" s="81" t="s">
        <v>368</v>
      </c>
      <c r="D194" s="81" t="s">
        <v>340</v>
      </c>
      <c r="E194" s="81" t="s">
        <v>138</v>
      </c>
      <c r="F194" s="81" t="s">
        <v>1007</v>
      </c>
      <c r="G194" s="81">
        <v>2</v>
      </c>
      <c r="H194" s="81" t="s">
        <v>1025</v>
      </c>
      <c r="I194" s="79"/>
      <c r="J194" s="79"/>
      <c r="K194" s="79"/>
      <c r="L194" s="79"/>
    </row>
    <row r="195" ht="26" spans="1:12">
      <c r="A195" s="81" t="s">
        <v>548</v>
      </c>
      <c r="B195" s="81" t="s">
        <v>919</v>
      </c>
      <c r="C195" s="81" t="s">
        <v>368</v>
      </c>
      <c r="D195" s="81" t="s">
        <v>340</v>
      </c>
      <c r="E195" s="81" t="s">
        <v>541</v>
      </c>
      <c r="F195" s="81" t="s">
        <v>1010</v>
      </c>
      <c r="G195" s="81">
        <v>2</v>
      </c>
      <c r="H195" s="81" t="s">
        <v>1025</v>
      </c>
      <c r="I195" s="79"/>
      <c r="J195" s="79"/>
      <c r="K195" s="79"/>
      <c r="L195" s="79"/>
    </row>
    <row r="196" ht="26" spans="1:12">
      <c r="A196" s="81" t="s">
        <v>549</v>
      </c>
      <c r="B196" s="81" t="s">
        <v>910</v>
      </c>
      <c r="C196" s="81" t="s">
        <v>368</v>
      </c>
      <c r="D196" s="81" t="s">
        <v>340</v>
      </c>
      <c r="E196" s="81" t="s">
        <v>138</v>
      </c>
      <c r="F196" s="81" t="s">
        <v>1007</v>
      </c>
      <c r="G196" s="81">
        <v>2</v>
      </c>
      <c r="H196" s="81" t="s">
        <v>1025</v>
      </c>
      <c r="I196" s="79"/>
      <c r="J196" s="79"/>
      <c r="K196" s="79"/>
      <c r="L196" s="79"/>
    </row>
    <row r="197" ht="26" spans="1:12">
      <c r="A197" s="81" t="s">
        <v>550</v>
      </c>
      <c r="B197" s="81" t="s">
        <v>910</v>
      </c>
      <c r="C197" s="81" t="s">
        <v>368</v>
      </c>
      <c r="D197" s="81" t="s">
        <v>340</v>
      </c>
      <c r="E197" s="81" t="s">
        <v>138</v>
      </c>
      <c r="F197" s="81" t="s">
        <v>1007</v>
      </c>
      <c r="G197" s="81">
        <v>2</v>
      </c>
      <c r="H197" s="81" t="s">
        <v>1025</v>
      </c>
      <c r="I197" s="79"/>
      <c r="J197" s="79"/>
      <c r="K197" s="79"/>
      <c r="L197" s="79"/>
    </row>
    <row r="198" ht="26" spans="1:12">
      <c r="A198" s="81" t="s">
        <v>551</v>
      </c>
      <c r="B198" s="81" t="s">
        <v>920</v>
      </c>
      <c r="C198" s="81" t="s">
        <v>368</v>
      </c>
      <c r="D198" s="81" t="s">
        <v>340</v>
      </c>
      <c r="E198" s="81" t="s">
        <v>117</v>
      </c>
      <c r="F198" s="81" t="s">
        <v>1007</v>
      </c>
      <c r="G198" s="81">
        <v>3</v>
      </c>
      <c r="H198" s="81" t="s">
        <v>1025</v>
      </c>
      <c r="I198" s="79"/>
      <c r="J198" s="79"/>
      <c r="K198" s="79"/>
      <c r="L198" s="79"/>
    </row>
    <row r="199" ht="26" spans="1:12">
      <c r="A199" s="81" t="s">
        <v>555</v>
      </c>
      <c r="B199" s="81" t="s">
        <v>921</v>
      </c>
      <c r="C199" s="81" t="s">
        <v>339</v>
      </c>
      <c r="D199" s="81" t="s">
        <v>340</v>
      </c>
      <c r="E199" s="81" t="s">
        <v>366</v>
      </c>
      <c r="F199" s="81" t="s">
        <v>1004</v>
      </c>
      <c r="G199" s="81">
        <v>2</v>
      </c>
      <c r="H199" s="81" t="s">
        <v>1025</v>
      </c>
      <c r="I199" s="79"/>
      <c r="J199" s="79"/>
      <c r="K199" s="79"/>
      <c r="L199" s="79"/>
    </row>
    <row r="200" ht="26" spans="1:12">
      <c r="A200" s="81" t="s">
        <v>557</v>
      </c>
      <c r="B200" s="81" t="s">
        <v>922</v>
      </c>
      <c r="C200" s="81" t="s">
        <v>368</v>
      </c>
      <c r="D200" s="81" t="s">
        <v>340</v>
      </c>
      <c r="E200" s="81" t="s">
        <v>366</v>
      </c>
      <c r="F200" s="81" t="s">
        <v>1007</v>
      </c>
      <c r="G200" s="81">
        <v>2</v>
      </c>
      <c r="H200" s="81" t="s">
        <v>1025</v>
      </c>
      <c r="I200" s="79"/>
      <c r="J200" s="79"/>
      <c r="K200" s="79"/>
      <c r="L200" s="79"/>
    </row>
    <row r="201" ht="26" spans="1:12">
      <c r="A201" s="81" t="s">
        <v>559</v>
      </c>
      <c r="B201" s="81" t="s">
        <v>923</v>
      </c>
      <c r="C201" s="81" t="s">
        <v>368</v>
      </c>
      <c r="D201" s="81" t="s">
        <v>340</v>
      </c>
      <c r="E201" s="81" t="s">
        <v>366</v>
      </c>
      <c r="F201" s="81" t="s">
        <v>1007</v>
      </c>
      <c r="G201" s="81">
        <v>2</v>
      </c>
      <c r="H201" s="81" t="s">
        <v>1025</v>
      </c>
      <c r="I201" s="79"/>
      <c r="J201" s="79"/>
      <c r="K201" s="79"/>
      <c r="L201" s="79"/>
    </row>
    <row r="202" ht="26" spans="1:12">
      <c r="A202" s="81" t="s">
        <v>562</v>
      </c>
      <c r="B202" s="81" t="s">
        <v>924</v>
      </c>
      <c r="C202" s="81" t="s">
        <v>368</v>
      </c>
      <c r="D202" s="81" t="s">
        <v>340</v>
      </c>
      <c r="E202" s="81" t="s">
        <v>366</v>
      </c>
      <c r="F202" s="81" t="s">
        <v>1007</v>
      </c>
      <c r="G202" s="81">
        <v>2</v>
      </c>
      <c r="H202" s="81" t="s">
        <v>1025</v>
      </c>
      <c r="I202" s="79"/>
      <c r="J202" s="79"/>
      <c r="K202" s="79"/>
      <c r="L202" s="79"/>
    </row>
    <row r="203" ht="26" spans="1:12">
      <c r="A203" s="81" t="s">
        <v>563</v>
      </c>
      <c r="B203" s="81" t="s">
        <v>923</v>
      </c>
      <c r="C203" s="81" t="s">
        <v>368</v>
      </c>
      <c r="D203" s="81" t="s">
        <v>340</v>
      </c>
      <c r="E203" s="81" t="s">
        <v>366</v>
      </c>
      <c r="F203" s="81" t="s">
        <v>1007</v>
      </c>
      <c r="G203" s="81">
        <v>2</v>
      </c>
      <c r="H203" s="81" t="s">
        <v>1025</v>
      </c>
      <c r="I203" s="79"/>
      <c r="J203" s="79"/>
      <c r="K203" s="79"/>
      <c r="L203" s="79"/>
    </row>
    <row r="204" ht="26" spans="1:12">
      <c r="A204" s="81" t="s">
        <v>564</v>
      </c>
      <c r="B204" s="81" t="s">
        <v>922</v>
      </c>
      <c r="C204" s="81" t="s">
        <v>368</v>
      </c>
      <c r="D204" s="81" t="s">
        <v>340</v>
      </c>
      <c r="E204" s="81" t="s">
        <v>366</v>
      </c>
      <c r="F204" s="81" t="s">
        <v>1007</v>
      </c>
      <c r="G204" s="81">
        <v>2</v>
      </c>
      <c r="H204" s="81" t="s">
        <v>1025</v>
      </c>
      <c r="I204" s="79"/>
      <c r="J204" s="79"/>
      <c r="K204" s="79"/>
      <c r="L204" s="79"/>
    </row>
    <row r="205" ht="26" spans="1:12">
      <c r="A205" s="81" t="s">
        <v>565</v>
      </c>
      <c r="B205" s="81" t="s">
        <v>922</v>
      </c>
      <c r="C205" s="81" t="s">
        <v>368</v>
      </c>
      <c r="D205" s="81" t="s">
        <v>340</v>
      </c>
      <c r="E205" s="81" t="s">
        <v>366</v>
      </c>
      <c r="F205" s="81" t="s">
        <v>1007</v>
      </c>
      <c r="G205" s="81">
        <v>2</v>
      </c>
      <c r="H205" s="81" t="s">
        <v>1025</v>
      </c>
      <c r="I205" s="79"/>
      <c r="J205" s="79"/>
      <c r="K205" s="79"/>
      <c r="L205" s="79"/>
    </row>
    <row r="206" ht="26" spans="1:12">
      <c r="A206" s="81" t="s">
        <v>566</v>
      </c>
      <c r="B206" s="81" t="s">
        <v>922</v>
      </c>
      <c r="C206" s="81" t="s">
        <v>368</v>
      </c>
      <c r="D206" s="81" t="s">
        <v>340</v>
      </c>
      <c r="E206" s="81" t="s">
        <v>366</v>
      </c>
      <c r="F206" s="81" t="s">
        <v>1007</v>
      </c>
      <c r="G206" s="81">
        <v>2</v>
      </c>
      <c r="H206" s="81" t="s">
        <v>1025</v>
      </c>
      <c r="I206" s="79"/>
      <c r="J206" s="79"/>
      <c r="K206" s="79"/>
      <c r="L206" s="79"/>
    </row>
    <row r="207" ht="26" spans="1:12">
      <c r="A207" s="81" t="s">
        <v>567</v>
      </c>
      <c r="B207" s="81" t="s">
        <v>924</v>
      </c>
      <c r="C207" s="81" t="s">
        <v>368</v>
      </c>
      <c r="D207" s="81" t="s">
        <v>340</v>
      </c>
      <c r="E207" s="81" t="s">
        <v>366</v>
      </c>
      <c r="F207" s="81" t="s">
        <v>1007</v>
      </c>
      <c r="G207" s="81">
        <v>2</v>
      </c>
      <c r="H207" s="81" t="s">
        <v>1025</v>
      </c>
      <c r="I207" s="79"/>
      <c r="J207" s="79"/>
      <c r="K207" s="79"/>
      <c r="L207" s="79"/>
    </row>
    <row r="208" ht="26" spans="1:12">
      <c r="A208" s="81" t="s">
        <v>569</v>
      </c>
      <c r="B208" s="81" t="s">
        <v>923</v>
      </c>
      <c r="C208" s="81" t="s">
        <v>368</v>
      </c>
      <c r="D208" s="81" t="s">
        <v>340</v>
      </c>
      <c r="E208" s="81" t="s">
        <v>366</v>
      </c>
      <c r="F208" s="81" t="s">
        <v>1007</v>
      </c>
      <c r="G208" s="81">
        <v>2</v>
      </c>
      <c r="H208" s="81" t="s">
        <v>1025</v>
      </c>
      <c r="I208" s="79"/>
      <c r="J208" s="79"/>
      <c r="K208" s="79"/>
      <c r="L208" s="79"/>
    </row>
    <row r="209" ht="26" spans="1:12">
      <c r="A209" s="81" t="s">
        <v>570</v>
      </c>
      <c r="B209" s="81" t="s">
        <v>925</v>
      </c>
      <c r="C209" s="81" t="s">
        <v>572</v>
      </c>
      <c r="D209" s="81" t="s">
        <v>340</v>
      </c>
      <c r="E209" s="81" t="s">
        <v>366</v>
      </c>
      <c r="F209" s="81" t="s">
        <v>1012</v>
      </c>
      <c r="G209" s="81">
        <v>2</v>
      </c>
      <c r="H209" s="81" t="s">
        <v>1025</v>
      </c>
      <c r="I209" s="79"/>
      <c r="J209" s="79"/>
      <c r="K209" s="79"/>
      <c r="L209" s="79"/>
    </row>
    <row r="210" ht="26" spans="1:12">
      <c r="A210" s="81" t="s">
        <v>573</v>
      </c>
      <c r="B210" s="81" t="s">
        <v>925</v>
      </c>
      <c r="C210" s="81" t="s">
        <v>572</v>
      </c>
      <c r="D210" s="81" t="s">
        <v>340</v>
      </c>
      <c r="E210" s="81" t="s">
        <v>366</v>
      </c>
      <c r="F210" s="81" t="s">
        <v>1012</v>
      </c>
      <c r="G210" s="81">
        <v>2</v>
      </c>
      <c r="H210" s="81" t="s">
        <v>1025</v>
      </c>
      <c r="I210" s="79"/>
      <c r="J210" s="79"/>
      <c r="K210" s="79"/>
      <c r="L210" s="79"/>
    </row>
    <row r="211" ht="26" spans="1:12">
      <c r="A211" s="81" t="s">
        <v>574</v>
      </c>
      <c r="B211" s="81" t="s">
        <v>925</v>
      </c>
      <c r="C211" s="81" t="s">
        <v>572</v>
      </c>
      <c r="D211" s="81" t="s">
        <v>340</v>
      </c>
      <c r="E211" s="81" t="s">
        <v>366</v>
      </c>
      <c r="F211" s="81" t="s">
        <v>1012</v>
      </c>
      <c r="G211" s="81">
        <v>2</v>
      </c>
      <c r="H211" s="81" t="s">
        <v>1025</v>
      </c>
      <c r="I211" s="79"/>
      <c r="J211" s="79"/>
      <c r="K211" s="79"/>
      <c r="L211" s="79"/>
    </row>
    <row r="212" ht="26" spans="1:12">
      <c r="A212" s="81" t="s">
        <v>575</v>
      </c>
      <c r="B212" s="81" t="s">
        <v>905</v>
      </c>
      <c r="C212" s="81" t="s">
        <v>368</v>
      </c>
      <c r="D212" s="81" t="s">
        <v>340</v>
      </c>
      <c r="E212" s="81" t="s">
        <v>138</v>
      </c>
      <c r="F212" s="81" t="s">
        <v>1007</v>
      </c>
      <c r="G212" s="81">
        <v>2</v>
      </c>
      <c r="H212" s="81" t="s">
        <v>1025</v>
      </c>
      <c r="I212" s="79"/>
      <c r="J212" s="79"/>
      <c r="K212" s="79"/>
      <c r="L212" s="79"/>
    </row>
    <row r="213" ht="26" spans="1:12">
      <c r="A213" s="81" t="s">
        <v>577</v>
      </c>
      <c r="B213" s="81" t="s">
        <v>905</v>
      </c>
      <c r="C213" s="81" t="s">
        <v>368</v>
      </c>
      <c r="D213" s="81" t="s">
        <v>340</v>
      </c>
      <c r="E213" s="81" t="s">
        <v>138</v>
      </c>
      <c r="F213" s="81" t="s">
        <v>1007</v>
      </c>
      <c r="G213" s="81">
        <v>2</v>
      </c>
      <c r="H213" s="81" t="s">
        <v>1025</v>
      </c>
      <c r="I213" s="79"/>
      <c r="J213" s="79"/>
      <c r="K213" s="79"/>
      <c r="L213" s="79"/>
    </row>
    <row r="214" ht="26" spans="1:12">
      <c r="A214" s="81" t="s">
        <v>578</v>
      </c>
      <c r="B214" s="81" t="s">
        <v>905</v>
      </c>
      <c r="C214" s="81" t="s">
        <v>368</v>
      </c>
      <c r="D214" s="81" t="s">
        <v>340</v>
      </c>
      <c r="E214" s="81" t="s">
        <v>138</v>
      </c>
      <c r="F214" s="81" t="s">
        <v>1007</v>
      </c>
      <c r="G214" s="81">
        <v>2</v>
      </c>
      <c r="H214" s="81" t="s">
        <v>1025</v>
      </c>
      <c r="I214" s="79"/>
      <c r="J214" s="79"/>
      <c r="K214" s="79"/>
      <c r="L214" s="79"/>
    </row>
    <row r="215" ht="26" spans="1:12">
      <c r="A215" s="81" t="s">
        <v>579</v>
      </c>
      <c r="B215" s="81" t="s">
        <v>905</v>
      </c>
      <c r="C215" s="81" t="s">
        <v>368</v>
      </c>
      <c r="D215" s="81" t="s">
        <v>340</v>
      </c>
      <c r="E215" s="81" t="s">
        <v>138</v>
      </c>
      <c r="F215" s="81" t="s">
        <v>1007</v>
      </c>
      <c r="G215" s="81">
        <v>2</v>
      </c>
      <c r="H215" s="81" t="s">
        <v>1025</v>
      </c>
      <c r="I215" s="79"/>
      <c r="J215" s="79"/>
      <c r="K215" s="79"/>
      <c r="L215" s="79"/>
    </row>
    <row r="216" ht="26" spans="1:12">
      <c r="A216" s="81" t="s">
        <v>580</v>
      </c>
      <c r="B216" s="81" t="s">
        <v>905</v>
      </c>
      <c r="C216" s="81" t="s">
        <v>368</v>
      </c>
      <c r="D216" s="81" t="s">
        <v>340</v>
      </c>
      <c r="E216" s="81" t="s">
        <v>138</v>
      </c>
      <c r="F216" s="81" t="s">
        <v>1007</v>
      </c>
      <c r="G216" s="81">
        <v>2</v>
      </c>
      <c r="H216" s="81" t="s">
        <v>1025</v>
      </c>
      <c r="I216" s="79"/>
      <c r="J216" s="79"/>
      <c r="K216" s="79"/>
      <c r="L216" s="79"/>
    </row>
    <row r="217" ht="26" spans="1:12">
      <c r="A217" s="81" t="s">
        <v>581</v>
      </c>
      <c r="B217" s="81" t="s">
        <v>905</v>
      </c>
      <c r="C217" s="81" t="s">
        <v>368</v>
      </c>
      <c r="D217" s="81" t="s">
        <v>340</v>
      </c>
      <c r="E217" s="81" t="s">
        <v>138</v>
      </c>
      <c r="F217" s="81" t="s">
        <v>1007</v>
      </c>
      <c r="G217" s="81">
        <v>2</v>
      </c>
      <c r="H217" s="81" t="s">
        <v>1025</v>
      </c>
      <c r="I217" s="79"/>
      <c r="J217" s="79"/>
      <c r="K217" s="79"/>
      <c r="L217" s="79"/>
    </row>
    <row r="218" ht="26" spans="1:12">
      <c r="A218" s="81" t="s">
        <v>582</v>
      </c>
      <c r="B218" s="81" t="s">
        <v>905</v>
      </c>
      <c r="C218" s="81" t="s">
        <v>368</v>
      </c>
      <c r="D218" s="81" t="s">
        <v>340</v>
      </c>
      <c r="E218" s="81" t="s">
        <v>138</v>
      </c>
      <c r="F218" s="81" t="s">
        <v>1007</v>
      </c>
      <c r="G218" s="81">
        <v>2</v>
      </c>
      <c r="H218" s="81" t="s">
        <v>1025</v>
      </c>
      <c r="I218" s="79"/>
      <c r="J218" s="79"/>
      <c r="K218" s="79"/>
      <c r="L218" s="79"/>
    </row>
    <row r="219" ht="26" spans="1:12">
      <c r="A219" s="81" t="s">
        <v>583</v>
      </c>
      <c r="B219" s="81" t="s">
        <v>926</v>
      </c>
      <c r="C219" s="81" t="s">
        <v>368</v>
      </c>
      <c r="D219" s="81" t="s">
        <v>340</v>
      </c>
      <c r="E219" s="81" t="s">
        <v>541</v>
      </c>
      <c r="F219" s="81" t="s">
        <v>1010</v>
      </c>
      <c r="G219" s="81">
        <v>2</v>
      </c>
      <c r="H219" s="81" t="s">
        <v>1025</v>
      </c>
      <c r="I219" s="79"/>
      <c r="J219" s="79"/>
      <c r="K219" s="79"/>
      <c r="L219" s="79"/>
    </row>
    <row r="220" ht="26" spans="1:12">
      <c r="A220" s="81" t="s">
        <v>584</v>
      </c>
      <c r="B220" s="81" t="s">
        <v>905</v>
      </c>
      <c r="C220" s="81" t="s">
        <v>368</v>
      </c>
      <c r="D220" s="81" t="s">
        <v>340</v>
      </c>
      <c r="E220" s="81" t="s">
        <v>138</v>
      </c>
      <c r="F220" s="81" t="s">
        <v>1007</v>
      </c>
      <c r="G220" s="81">
        <v>2</v>
      </c>
      <c r="H220" s="81" t="s">
        <v>1025</v>
      </c>
      <c r="I220" s="79"/>
      <c r="J220" s="79"/>
      <c r="K220" s="79"/>
      <c r="L220" s="79"/>
    </row>
    <row r="221" ht="26" spans="1:12">
      <c r="A221" s="81" t="s">
        <v>585</v>
      </c>
      <c r="B221" s="81" t="s">
        <v>905</v>
      </c>
      <c r="C221" s="81" t="s">
        <v>368</v>
      </c>
      <c r="D221" s="81" t="s">
        <v>340</v>
      </c>
      <c r="E221" s="81" t="s">
        <v>138</v>
      </c>
      <c r="F221" s="81" t="s">
        <v>1007</v>
      </c>
      <c r="G221" s="81">
        <v>2</v>
      </c>
      <c r="H221" s="81" t="s">
        <v>1025</v>
      </c>
      <c r="I221" s="79"/>
      <c r="J221" s="79"/>
      <c r="K221" s="79"/>
      <c r="L221" s="79"/>
    </row>
    <row r="222" ht="26" spans="1:12">
      <c r="A222" s="81" t="s">
        <v>586</v>
      </c>
      <c r="B222" s="81" t="s">
        <v>926</v>
      </c>
      <c r="C222" s="81" t="s">
        <v>368</v>
      </c>
      <c r="D222" s="81" t="s">
        <v>340</v>
      </c>
      <c r="E222" s="81" t="s">
        <v>541</v>
      </c>
      <c r="F222" s="81" t="s">
        <v>1010</v>
      </c>
      <c r="G222" s="81">
        <v>2</v>
      </c>
      <c r="H222" s="81" t="s">
        <v>1025</v>
      </c>
      <c r="I222" s="79"/>
      <c r="J222" s="79"/>
      <c r="K222" s="79"/>
      <c r="L222" s="79"/>
    </row>
    <row r="223" ht="26" spans="1:12">
      <c r="A223" s="81" t="s">
        <v>587</v>
      </c>
      <c r="B223" s="81" t="s">
        <v>905</v>
      </c>
      <c r="C223" s="81" t="s">
        <v>368</v>
      </c>
      <c r="D223" s="81" t="s">
        <v>340</v>
      </c>
      <c r="E223" s="81" t="s">
        <v>138</v>
      </c>
      <c r="F223" s="81" t="s">
        <v>1007</v>
      </c>
      <c r="G223" s="81">
        <v>2</v>
      </c>
      <c r="H223" s="81" t="s">
        <v>1025</v>
      </c>
      <c r="I223" s="79"/>
      <c r="J223" s="79"/>
      <c r="K223" s="79"/>
      <c r="L223" s="79"/>
    </row>
    <row r="224" ht="26" spans="1:12">
      <c r="A224" s="81" t="s">
        <v>588</v>
      </c>
      <c r="B224" s="81" t="s">
        <v>926</v>
      </c>
      <c r="C224" s="81" t="s">
        <v>368</v>
      </c>
      <c r="D224" s="81" t="s">
        <v>340</v>
      </c>
      <c r="E224" s="81" t="s">
        <v>541</v>
      </c>
      <c r="F224" s="81" t="s">
        <v>1010</v>
      </c>
      <c r="G224" s="81">
        <v>2</v>
      </c>
      <c r="H224" s="81" t="s">
        <v>1025</v>
      </c>
      <c r="I224" s="79"/>
      <c r="J224" s="79"/>
      <c r="K224" s="79"/>
      <c r="L224" s="79"/>
    </row>
    <row r="225" ht="26" spans="1:12">
      <c r="A225" s="81" t="s">
        <v>589</v>
      </c>
      <c r="B225" s="81" t="s">
        <v>926</v>
      </c>
      <c r="C225" s="81" t="s">
        <v>368</v>
      </c>
      <c r="D225" s="81" t="s">
        <v>340</v>
      </c>
      <c r="E225" s="81" t="s">
        <v>541</v>
      </c>
      <c r="F225" s="81" t="s">
        <v>1010</v>
      </c>
      <c r="G225" s="81">
        <v>2</v>
      </c>
      <c r="H225" s="81" t="s">
        <v>1025</v>
      </c>
      <c r="I225" s="79"/>
      <c r="J225" s="79"/>
      <c r="K225" s="79"/>
      <c r="L225" s="79"/>
    </row>
    <row r="226" ht="26" spans="1:12">
      <c r="A226" s="81" t="s">
        <v>590</v>
      </c>
      <c r="B226" s="81" t="s">
        <v>926</v>
      </c>
      <c r="C226" s="81" t="s">
        <v>368</v>
      </c>
      <c r="D226" s="81" t="s">
        <v>340</v>
      </c>
      <c r="E226" s="81" t="s">
        <v>541</v>
      </c>
      <c r="F226" s="81" t="s">
        <v>1010</v>
      </c>
      <c r="G226" s="81">
        <v>2</v>
      </c>
      <c r="H226" s="81" t="s">
        <v>1025</v>
      </c>
      <c r="I226" s="79"/>
      <c r="J226" s="79"/>
      <c r="K226" s="79"/>
      <c r="L226" s="79"/>
    </row>
    <row r="227" ht="26" spans="1:12">
      <c r="A227" s="81" t="s">
        <v>591</v>
      </c>
      <c r="B227" s="81" t="s">
        <v>926</v>
      </c>
      <c r="C227" s="81" t="s">
        <v>368</v>
      </c>
      <c r="D227" s="81" t="s">
        <v>340</v>
      </c>
      <c r="E227" s="81" t="s">
        <v>541</v>
      </c>
      <c r="F227" s="81" t="s">
        <v>1010</v>
      </c>
      <c r="G227" s="81">
        <v>2</v>
      </c>
      <c r="H227" s="81" t="s">
        <v>1025</v>
      </c>
      <c r="I227" s="79"/>
      <c r="J227" s="79"/>
      <c r="K227" s="79"/>
      <c r="L227" s="79"/>
    </row>
    <row r="228" ht="26" spans="1:12">
      <c r="A228" s="81" t="s">
        <v>592</v>
      </c>
      <c r="B228" s="81" t="s">
        <v>926</v>
      </c>
      <c r="C228" s="81" t="s">
        <v>368</v>
      </c>
      <c r="D228" s="81" t="s">
        <v>340</v>
      </c>
      <c r="E228" s="81" t="s">
        <v>541</v>
      </c>
      <c r="F228" s="81" t="s">
        <v>1010</v>
      </c>
      <c r="G228" s="81">
        <v>2</v>
      </c>
      <c r="H228" s="81" t="s">
        <v>1025</v>
      </c>
      <c r="I228" s="79"/>
      <c r="J228" s="79"/>
      <c r="K228" s="79"/>
      <c r="L228" s="79"/>
    </row>
    <row r="229" ht="26" spans="1:12">
      <c r="A229" s="81" t="s">
        <v>593</v>
      </c>
      <c r="B229" s="81" t="s">
        <v>926</v>
      </c>
      <c r="C229" s="81" t="s">
        <v>368</v>
      </c>
      <c r="D229" s="81" t="s">
        <v>340</v>
      </c>
      <c r="E229" s="81" t="s">
        <v>541</v>
      </c>
      <c r="F229" s="81" t="s">
        <v>1010</v>
      </c>
      <c r="G229" s="81">
        <v>2</v>
      </c>
      <c r="H229" s="81" t="s">
        <v>1025</v>
      </c>
      <c r="I229" s="79"/>
      <c r="J229" s="79"/>
      <c r="K229" s="79"/>
      <c r="L229" s="79"/>
    </row>
    <row r="230" ht="26" spans="1:12">
      <c r="A230" s="81" t="s">
        <v>594</v>
      </c>
      <c r="B230" s="81" t="s">
        <v>905</v>
      </c>
      <c r="C230" s="81" t="s">
        <v>368</v>
      </c>
      <c r="D230" s="81" t="s">
        <v>340</v>
      </c>
      <c r="E230" s="81" t="s">
        <v>138</v>
      </c>
      <c r="F230" s="81" t="s">
        <v>1007</v>
      </c>
      <c r="G230" s="81">
        <v>2</v>
      </c>
      <c r="H230" s="81" t="s">
        <v>1025</v>
      </c>
      <c r="I230" s="79"/>
      <c r="J230" s="79"/>
      <c r="K230" s="79"/>
      <c r="L230" s="79"/>
    </row>
    <row r="231" ht="26" spans="1:12">
      <c r="A231" s="81" t="s">
        <v>595</v>
      </c>
      <c r="B231" s="81" t="s">
        <v>905</v>
      </c>
      <c r="C231" s="81" t="s">
        <v>368</v>
      </c>
      <c r="D231" s="81" t="s">
        <v>340</v>
      </c>
      <c r="E231" s="81" t="s">
        <v>138</v>
      </c>
      <c r="F231" s="81" t="s">
        <v>1007</v>
      </c>
      <c r="G231" s="81">
        <v>2</v>
      </c>
      <c r="H231" s="81" t="s">
        <v>1025</v>
      </c>
      <c r="I231" s="79"/>
      <c r="J231" s="79"/>
      <c r="K231" s="79"/>
      <c r="L231" s="79"/>
    </row>
    <row r="232" ht="26" spans="1:12">
      <c r="A232" s="81" t="s">
        <v>596</v>
      </c>
      <c r="B232" s="81" t="s">
        <v>905</v>
      </c>
      <c r="C232" s="81" t="s">
        <v>368</v>
      </c>
      <c r="D232" s="81" t="s">
        <v>340</v>
      </c>
      <c r="E232" s="81" t="s">
        <v>138</v>
      </c>
      <c r="F232" s="81" t="s">
        <v>1007</v>
      </c>
      <c r="G232" s="81">
        <v>2</v>
      </c>
      <c r="H232" s="81" t="s">
        <v>1025</v>
      </c>
      <c r="I232" s="79"/>
      <c r="J232" s="79"/>
      <c r="K232" s="79"/>
      <c r="L232" s="79"/>
    </row>
    <row r="233" ht="26" spans="1:12">
      <c r="A233" s="81" t="s">
        <v>597</v>
      </c>
      <c r="B233" s="81" t="s">
        <v>905</v>
      </c>
      <c r="C233" s="81" t="s">
        <v>368</v>
      </c>
      <c r="D233" s="81" t="s">
        <v>340</v>
      </c>
      <c r="E233" s="81" t="s">
        <v>138</v>
      </c>
      <c r="F233" s="81" t="s">
        <v>1007</v>
      </c>
      <c r="G233" s="81">
        <v>2</v>
      </c>
      <c r="H233" s="81" t="s">
        <v>1025</v>
      </c>
      <c r="I233" s="79"/>
      <c r="J233" s="79"/>
      <c r="K233" s="79"/>
      <c r="L233" s="79"/>
    </row>
    <row r="234" ht="26" spans="1:12">
      <c r="A234" s="81" t="s">
        <v>598</v>
      </c>
      <c r="B234" s="81" t="s">
        <v>905</v>
      </c>
      <c r="C234" s="81" t="s">
        <v>368</v>
      </c>
      <c r="D234" s="81" t="s">
        <v>340</v>
      </c>
      <c r="E234" s="81" t="s">
        <v>138</v>
      </c>
      <c r="F234" s="81" t="s">
        <v>1007</v>
      </c>
      <c r="G234" s="81">
        <v>2</v>
      </c>
      <c r="H234" s="81" t="s">
        <v>1025</v>
      </c>
      <c r="I234" s="79"/>
      <c r="J234" s="79"/>
      <c r="K234" s="79"/>
      <c r="L234" s="79"/>
    </row>
    <row r="235" ht="26" spans="1:12">
      <c r="A235" s="81" t="s">
        <v>599</v>
      </c>
      <c r="B235" s="81" t="s">
        <v>905</v>
      </c>
      <c r="C235" s="81" t="s">
        <v>368</v>
      </c>
      <c r="D235" s="81" t="s">
        <v>340</v>
      </c>
      <c r="E235" s="81" t="s">
        <v>138</v>
      </c>
      <c r="F235" s="81" t="s">
        <v>1007</v>
      </c>
      <c r="G235" s="81">
        <v>2</v>
      </c>
      <c r="H235" s="81" t="s">
        <v>1025</v>
      </c>
      <c r="I235" s="79"/>
      <c r="J235" s="79"/>
      <c r="K235" s="79"/>
      <c r="L235" s="79"/>
    </row>
    <row r="236" ht="26" spans="1:12">
      <c r="A236" s="81" t="s">
        <v>600</v>
      </c>
      <c r="B236" s="81" t="s">
        <v>905</v>
      </c>
      <c r="C236" s="81" t="s">
        <v>368</v>
      </c>
      <c r="D236" s="81" t="s">
        <v>340</v>
      </c>
      <c r="E236" s="81" t="s">
        <v>138</v>
      </c>
      <c r="F236" s="81" t="s">
        <v>1007</v>
      </c>
      <c r="G236" s="81">
        <v>2</v>
      </c>
      <c r="H236" s="81" t="s">
        <v>1025</v>
      </c>
      <c r="I236" s="79"/>
      <c r="J236" s="79"/>
      <c r="K236" s="79"/>
      <c r="L236" s="79"/>
    </row>
    <row r="237" ht="26" spans="1:12">
      <c r="A237" s="81" t="s">
        <v>601</v>
      </c>
      <c r="B237" s="81" t="s">
        <v>905</v>
      </c>
      <c r="C237" s="81" t="s">
        <v>368</v>
      </c>
      <c r="D237" s="81" t="s">
        <v>340</v>
      </c>
      <c r="E237" s="81" t="s">
        <v>138</v>
      </c>
      <c r="F237" s="81" t="s">
        <v>1007</v>
      </c>
      <c r="G237" s="81">
        <v>2</v>
      </c>
      <c r="H237" s="81" t="s">
        <v>1025</v>
      </c>
      <c r="I237" s="79"/>
      <c r="J237" s="79"/>
      <c r="K237" s="79"/>
      <c r="L237" s="79"/>
    </row>
    <row r="238" ht="26" spans="1:12">
      <c r="A238" s="81" t="s">
        <v>602</v>
      </c>
      <c r="B238" s="81" t="s">
        <v>905</v>
      </c>
      <c r="C238" s="81" t="s">
        <v>368</v>
      </c>
      <c r="D238" s="81" t="s">
        <v>340</v>
      </c>
      <c r="E238" s="81" t="s">
        <v>138</v>
      </c>
      <c r="F238" s="81" t="s">
        <v>1007</v>
      </c>
      <c r="G238" s="81">
        <v>2</v>
      </c>
      <c r="H238" s="81" t="s">
        <v>1025</v>
      </c>
      <c r="I238" s="79"/>
      <c r="J238" s="79"/>
      <c r="K238" s="79"/>
      <c r="L238" s="79"/>
    </row>
    <row r="239" ht="26" spans="1:12">
      <c r="A239" s="81" t="s">
        <v>604</v>
      </c>
      <c r="B239" s="81" t="s">
        <v>894</v>
      </c>
      <c r="C239" s="81" t="s">
        <v>339</v>
      </c>
      <c r="D239" s="81" t="s">
        <v>340</v>
      </c>
      <c r="E239" s="81" t="s">
        <v>117</v>
      </c>
      <c r="F239" s="81" t="s">
        <v>1004</v>
      </c>
      <c r="G239" s="81">
        <v>4</v>
      </c>
      <c r="H239" s="81" t="s">
        <v>1025</v>
      </c>
      <c r="I239" s="79"/>
      <c r="J239" s="79"/>
      <c r="K239" s="79"/>
      <c r="L239" s="79"/>
    </row>
    <row r="240" ht="26" spans="1:12">
      <c r="A240" s="81" t="s">
        <v>607</v>
      </c>
      <c r="B240" s="81" t="s">
        <v>894</v>
      </c>
      <c r="C240" s="81" t="s">
        <v>339</v>
      </c>
      <c r="D240" s="81" t="s">
        <v>340</v>
      </c>
      <c r="E240" s="81" t="s">
        <v>117</v>
      </c>
      <c r="F240" s="81" t="s">
        <v>1004</v>
      </c>
      <c r="G240" s="81">
        <v>4</v>
      </c>
      <c r="H240" s="81" t="s">
        <v>1025</v>
      </c>
      <c r="I240" s="79"/>
      <c r="J240" s="79"/>
      <c r="K240" s="79"/>
      <c r="L240" s="79"/>
    </row>
    <row r="241" ht="26" spans="1:12">
      <c r="A241" s="81" t="s">
        <v>608</v>
      </c>
      <c r="B241" s="81" t="s">
        <v>894</v>
      </c>
      <c r="C241" s="81" t="s">
        <v>339</v>
      </c>
      <c r="D241" s="81" t="s">
        <v>340</v>
      </c>
      <c r="E241" s="81" t="s">
        <v>117</v>
      </c>
      <c r="F241" s="81" t="s">
        <v>1004</v>
      </c>
      <c r="G241" s="81">
        <v>4</v>
      </c>
      <c r="H241" s="81" t="s">
        <v>1025</v>
      </c>
      <c r="I241" s="79"/>
      <c r="J241" s="79"/>
      <c r="K241" s="79"/>
      <c r="L241" s="79"/>
    </row>
    <row r="242" ht="26" spans="1:12">
      <c r="A242" s="81" t="s">
        <v>609</v>
      </c>
      <c r="B242" s="81" t="s">
        <v>894</v>
      </c>
      <c r="C242" s="81" t="s">
        <v>339</v>
      </c>
      <c r="D242" s="81" t="s">
        <v>340</v>
      </c>
      <c r="E242" s="81" t="s">
        <v>117</v>
      </c>
      <c r="F242" s="81" t="s">
        <v>1004</v>
      </c>
      <c r="G242" s="81">
        <v>4</v>
      </c>
      <c r="H242" s="81" t="s">
        <v>1025</v>
      </c>
      <c r="I242" s="79"/>
      <c r="J242" s="79"/>
      <c r="K242" s="79"/>
      <c r="L242" s="79"/>
    </row>
    <row r="243" ht="26" spans="1:12">
      <c r="A243" s="81" t="s">
        <v>610</v>
      </c>
      <c r="B243" s="81" t="s">
        <v>894</v>
      </c>
      <c r="C243" s="81" t="s">
        <v>339</v>
      </c>
      <c r="D243" s="81" t="s">
        <v>340</v>
      </c>
      <c r="E243" s="81" t="s">
        <v>117</v>
      </c>
      <c r="F243" s="81" t="s">
        <v>1004</v>
      </c>
      <c r="G243" s="81">
        <v>4</v>
      </c>
      <c r="H243" s="81" t="s">
        <v>1025</v>
      </c>
      <c r="I243" s="79"/>
      <c r="J243" s="79"/>
      <c r="K243" s="79"/>
      <c r="L243" s="79"/>
    </row>
    <row r="244" ht="26" spans="1:12">
      <c r="A244" s="81" t="s">
        <v>611</v>
      </c>
      <c r="B244" s="81" t="s">
        <v>894</v>
      </c>
      <c r="C244" s="81" t="s">
        <v>339</v>
      </c>
      <c r="D244" s="81" t="s">
        <v>340</v>
      </c>
      <c r="E244" s="81" t="s">
        <v>117</v>
      </c>
      <c r="F244" s="81" t="s">
        <v>1004</v>
      </c>
      <c r="G244" s="81">
        <v>4</v>
      </c>
      <c r="H244" s="81" t="s">
        <v>1025</v>
      </c>
      <c r="I244" s="79"/>
      <c r="J244" s="79"/>
      <c r="K244" s="79"/>
      <c r="L244" s="79"/>
    </row>
    <row r="245" ht="26" spans="1:12">
      <c r="A245" s="81" t="s">
        <v>612</v>
      </c>
      <c r="B245" s="81" t="s">
        <v>894</v>
      </c>
      <c r="C245" s="81" t="s">
        <v>339</v>
      </c>
      <c r="D245" s="81" t="s">
        <v>340</v>
      </c>
      <c r="E245" s="81" t="s">
        <v>117</v>
      </c>
      <c r="F245" s="81" t="s">
        <v>1004</v>
      </c>
      <c r="G245" s="81">
        <v>4</v>
      </c>
      <c r="H245" s="81" t="s">
        <v>1025</v>
      </c>
      <c r="I245" s="79"/>
      <c r="J245" s="79"/>
      <c r="K245" s="79"/>
      <c r="L245" s="79"/>
    </row>
    <row r="246" ht="26" spans="1:12">
      <c r="A246" s="81" t="s">
        <v>613</v>
      </c>
      <c r="B246" s="81" t="s">
        <v>927</v>
      </c>
      <c r="C246" s="81" t="s">
        <v>339</v>
      </c>
      <c r="D246" s="81" t="s">
        <v>340</v>
      </c>
      <c r="E246" s="81" t="s">
        <v>366</v>
      </c>
      <c r="F246" s="81" t="s">
        <v>1004</v>
      </c>
      <c r="G246" s="81">
        <v>2</v>
      </c>
      <c r="H246" s="81" t="s">
        <v>1025</v>
      </c>
      <c r="I246" s="79"/>
      <c r="J246" s="79"/>
      <c r="K246" s="79"/>
      <c r="L246" s="79"/>
    </row>
    <row r="247" ht="26" spans="1:12">
      <c r="A247" s="81" t="s">
        <v>614</v>
      </c>
      <c r="B247" s="81" t="s">
        <v>921</v>
      </c>
      <c r="C247" s="81" t="s">
        <v>339</v>
      </c>
      <c r="D247" s="81" t="s">
        <v>340</v>
      </c>
      <c r="E247" s="81" t="s">
        <v>366</v>
      </c>
      <c r="F247" s="81" t="s">
        <v>1004</v>
      </c>
      <c r="G247" s="81">
        <v>2</v>
      </c>
      <c r="H247" s="81" t="s">
        <v>1025</v>
      </c>
      <c r="I247" s="79"/>
      <c r="J247" s="79"/>
      <c r="K247" s="79"/>
      <c r="L247" s="79"/>
    </row>
    <row r="248" ht="26" spans="1:12">
      <c r="A248" s="81" t="s">
        <v>615</v>
      </c>
      <c r="B248" s="81" t="s">
        <v>894</v>
      </c>
      <c r="C248" s="81" t="s">
        <v>339</v>
      </c>
      <c r="D248" s="81" t="s">
        <v>340</v>
      </c>
      <c r="E248" s="81" t="s">
        <v>117</v>
      </c>
      <c r="F248" s="81" t="s">
        <v>1004</v>
      </c>
      <c r="G248" s="81">
        <v>4</v>
      </c>
      <c r="H248" s="81" t="s">
        <v>1025</v>
      </c>
      <c r="I248" s="79"/>
      <c r="J248" s="79"/>
      <c r="K248" s="79"/>
      <c r="L248" s="79"/>
    </row>
    <row r="249" ht="26" spans="1:12">
      <c r="A249" s="81" t="s">
        <v>617</v>
      </c>
      <c r="B249" s="81" t="s">
        <v>894</v>
      </c>
      <c r="C249" s="81" t="s">
        <v>339</v>
      </c>
      <c r="D249" s="81" t="s">
        <v>340</v>
      </c>
      <c r="E249" s="81" t="s">
        <v>117</v>
      </c>
      <c r="F249" s="81" t="s">
        <v>1004</v>
      </c>
      <c r="G249" s="81">
        <v>4</v>
      </c>
      <c r="H249" s="81" t="s">
        <v>1025</v>
      </c>
      <c r="I249" s="79"/>
      <c r="J249" s="79"/>
      <c r="K249" s="79"/>
      <c r="L249" s="79"/>
    </row>
    <row r="250" ht="26" spans="1:12">
      <c r="A250" s="81" t="s">
        <v>618</v>
      </c>
      <c r="B250" s="81" t="s">
        <v>894</v>
      </c>
      <c r="C250" s="81" t="s">
        <v>339</v>
      </c>
      <c r="D250" s="81" t="s">
        <v>340</v>
      </c>
      <c r="E250" s="81" t="s">
        <v>117</v>
      </c>
      <c r="F250" s="81" t="s">
        <v>1004</v>
      </c>
      <c r="G250" s="81">
        <v>4</v>
      </c>
      <c r="H250" s="81" t="s">
        <v>1025</v>
      </c>
      <c r="I250" s="79"/>
      <c r="J250" s="79"/>
      <c r="K250" s="79"/>
      <c r="L250" s="79"/>
    </row>
    <row r="251" ht="26" spans="1:12">
      <c r="A251" s="81" t="s">
        <v>619</v>
      </c>
      <c r="B251" s="81" t="s">
        <v>894</v>
      </c>
      <c r="C251" s="81" t="s">
        <v>339</v>
      </c>
      <c r="D251" s="81" t="s">
        <v>340</v>
      </c>
      <c r="E251" s="81" t="s">
        <v>117</v>
      </c>
      <c r="F251" s="81" t="s">
        <v>1004</v>
      </c>
      <c r="G251" s="81">
        <v>4</v>
      </c>
      <c r="H251" s="81" t="s">
        <v>1025</v>
      </c>
      <c r="I251" s="79"/>
      <c r="J251" s="79"/>
      <c r="K251" s="79"/>
      <c r="L251" s="79"/>
    </row>
    <row r="252" ht="26" spans="1:12">
      <c r="A252" s="81" t="s">
        <v>620</v>
      </c>
      <c r="B252" s="81" t="s">
        <v>894</v>
      </c>
      <c r="C252" s="81" t="s">
        <v>339</v>
      </c>
      <c r="D252" s="81" t="s">
        <v>340</v>
      </c>
      <c r="E252" s="81" t="s">
        <v>117</v>
      </c>
      <c r="F252" s="81" t="s">
        <v>1004</v>
      </c>
      <c r="G252" s="81">
        <v>4</v>
      </c>
      <c r="H252" s="81" t="s">
        <v>1025</v>
      </c>
      <c r="I252" s="79"/>
      <c r="J252" s="79"/>
      <c r="K252" s="79"/>
      <c r="L252" s="79"/>
    </row>
    <row r="253" ht="26" spans="1:12">
      <c r="A253" s="81" t="s">
        <v>621</v>
      </c>
      <c r="B253" s="81" t="s">
        <v>894</v>
      </c>
      <c r="C253" s="81" t="s">
        <v>339</v>
      </c>
      <c r="D253" s="81" t="s">
        <v>340</v>
      </c>
      <c r="E253" s="81" t="s">
        <v>117</v>
      </c>
      <c r="F253" s="81" t="s">
        <v>1004</v>
      </c>
      <c r="G253" s="81">
        <v>4</v>
      </c>
      <c r="H253" s="81" t="s">
        <v>1025</v>
      </c>
      <c r="I253" s="79"/>
      <c r="J253" s="79"/>
      <c r="K253" s="79"/>
      <c r="L253" s="79"/>
    </row>
    <row r="254" ht="26" spans="1:12">
      <c r="A254" s="81" t="s">
        <v>622</v>
      </c>
      <c r="B254" s="81" t="s">
        <v>894</v>
      </c>
      <c r="C254" s="81" t="s">
        <v>339</v>
      </c>
      <c r="D254" s="81" t="s">
        <v>340</v>
      </c>
      <c r="E254" s="81" t="s">
        <v>117</v>
      </c>
      <c r="F254" s="81" t="s">
        <v>1004</v>
      </c>
      <c r="G254" s="81">
        <v>4</v>
      </c>
      <c r="H254" s="81" t="s">
        <v>1025</v>
      </c>
      <c r="I254" s="79"/>
      <c r="J254" s="79"/>
      <c r="K254" s="79"/>
      <c r="L254" s="79"/>
    </row>
    <row r="255" ht="26" spans="1:12">
      <c r="A255" s="81" t="s">
        <v>623</v>
      </c>
      <c r="B255" s="81" t="s">
        <v>894</v>
      </c>
      <c r="C255" s="81" t="s">
        <v>339</v>
      </c>
      <c r="D255" s="81" t="s">
        <v>340</v>
      </c>
      <c r="E255" s="81" t="s">
        <v>117</v>
      </c>
      <c r="F255" s="81" t="s">
        <v>1004</v>
      </c>
      <c r="G255" s="81">
        <v>4</v>
      </c>
      <c r="H255" s="81" t="s">
        <v>1025</v>
      </c>
      <c r="I255" s="79"/>
      <c r="J255" s="79"/>
      <c r="K255" s="79"/>
      <c r="L255" s="79"/>
    </row>
    <row r="256" ht="26" spans="1:12">
      <c r="A256" s="81" t="s">
        <v>624</v>
      </c>
      <c r="B256" s="81" t="s">
        <v>894</v>
      </c>
      <c r="C256" s="81" t="s">
        <v>339</v>
      </c>
      <c r="D256" s="81" t="s">
        <v>340</v>
      </c>
      <c r="E256" s="81" t="s">
        <v>117</v>
      </c>
      <c r="F256" s="81" t="s">
        <v>1004</v>
      </c>
      <c r="G256" s="81">
        <v>4</v>
      </c>
      <c r="H256" s="81" t="s">
        <v>1025</v>
      </c>
      <c r="I256" s="79"/>
      <c r="J256" s="79"/>
      <c r="K256" s="79"/>
      <c r="L256" s="79"/>
    </row>
    <row r="257" ht="26" spans="1:12">
      <c r="A257" s="81" t="s">
        <v>625</v>
      </c>
      <c r="B257" s="81" t="s">
        <v>894</v>
      </c>
      <c r="C257" s="81" t="s">
        <v>339</v>
      </c>
      <c r="D257" s="81" t="s">
        <v>340</v>
      </c>
      <c r="E257" s="81" t="s">
        <v>117</v>
      </c>
      <c r="F257" s="81" t="s">
        <v>1004</v>
      </c>
      <c r="G257" s="81">
        <v>4</v>
      </c>
      <c r="H257" s="81" t="s">
        <v>1025</v>
      </c>
      <c r="I257" s="79"/>
      <c r="J257" s="79"/>
      <c r="K257" s="79"/>
      <c r="L257" s="79"/>
    </row>
    <row r="258" ht="26" spans="1:12">
      <c r="A258" s="81" t="s">
        <v>626</v>
      </c>
      <c r="B258" s="81" t="s">
        <v>928</v>
      </c>
      <c r="C258" s="81" t="s">
        <v>339</v>
      </c>
      <c r="D258" s="81" t="s">
        <v>340</v>
      </c>
      <c r="E258" s="81" t="s">
        <v>138</v>
      </c>
      <c r="F258" s="81" t="s">
        <v>1004</v>
      </c>
      <c r="G258" s="81">
        <v>2</v>
      </c>
      <c r="H258" s="81" t="s">
        <v>1025</v>
      </c>
      <c r="I258" s="79"/>
      <c r="J258" s="79"/>
      <c r="K258" s="79"/>
      <c r="L258" s="79"/>
    </row>
    <row r="259" ht="26" spans="1:12">
      <c r="A259" s="81" t="s">
        <v>627</v>
      </c>
      <c r="B259" s="81" t="s">
        <v>928</v>
      </c>
      <c r="C259" s="81" t="s">
        <v>339</v>
      </c>
      <c r="D259" s="81" t="s">
        <v>340</v>
      </c>
      <c r="E259" s="81" t="s">
        <v>138</v>
      </c>
      <c r="F259" s="81" t="s">
        <v>1004</v>
      </c>
      <c r="G259" s="81">
        <v>2</v>
      </c>
      <c r="H259" s="81" t="s">
        <v>1025</v>
      </c>
      <c r="I259" s="79"/>
      <c r="J259" s="79"/>
      <c r="K259" s="79"/>
      <c r="L259" s="79"/>
    </row>
    <row r="260" ht="26" spans="1:12">
      <c r="A260" s="81" t="s">
        <v>628</v>
      </c>
      <c r="B260" s="81" t="s">
        <v>929</v>
      </c>
      <c r="C260" s="81" t="s">
        <v>456</v>
      </c>
      <c r="D260" s="81" t="s">
        <v>260</v>
      </c>
      <c r="E260" s="81" t="s">
        <v>632</v>
      </c>
      <c r="F260" s="81" t="s">
        <v>1014</v>
      </c>
      <c r="G260" s="81">
        <v>1</v>
      </c>
      <c r="H260" s="81" t="s">
        <v>1025</v>
      </c>
      <c r="I260" s="79"/>
      <c r="J260" s="79"/>
      <c r="K260" s="79"/>
      <c r="L260" s="79"/>
    </row>
    <row r="261" ht="26" spans="1:12">
      <c r="A261" s="81" t="s">
        <v>635</v>
      </c>
      <c r="B261" s="81" t="s">
        <v>929</v>
      </c>
      <c r="C261" s="81" t="s">
        <v>456</v>
      </c>
      <c r="D261" s="81" t="s">
        <v>260</v>
      </c>
      <c r="E261" s="81" t="s">
        <v>632</v>
      </c>
      <c r="F261" s="81" t="s">
        <v>1014</v>
      </c>
      <c r="G261" s="81">
        <v>1</v>
      </c>
      <c r="H261" s="81" t="s">
        <v>1025</v>
      </c>
      <c r="I261" s="79"/>
      <c r="J261" s="79"/>
      <c r="K261" s="79"/>
      <c r="L261" s="79"/>
    </row>
    <row r="262" ht="26" spans="1:12">
      <c r="A262" s="81" t="s">
        <v>636</v>
      </c>
      <c r="B262" s="81" t="s">
        <v>929</v>
      </c>
      <c r="C262" s="81" t="s">
        <v>456</v>
      </c>
      <c r="D262" s="81" t="s">
        <v>260</v>
      </c>
      <c r="E262" s="81" t="s">
        <v>632</v>
      </c>
      <c r="F262" s="81" t="s">
        <v>1014</v>
      </c>
      <c r="G262" s="81">
        <v>1</v>
      </c>
      <c r="H262" s="81" t="s">
        <v>1025</v>
      </c>
      <c r="I262" s="79"/>
      <c r="J262" s="79"/>
      <c r="K262" s="79"/>
      <c r="L262" s="79"/>
    </row>
    <row r="263" ht="26" spans="1:12">
      <c r="A263" s="81" t="s">
        <v>637</v>
      </c>
      <c r="B263" s="81" t="s">
        <v>929</v>
      </c>
      <c r="C263" s="81" t="s">
        <v>456</v>
      </c>
      <c r="D263" s="81" t="s">
        <v>260</v>
      </c>
      <c r="E263" s="81" t="s">
        <v>632</v>
      </c>
      <c r="F263" s="81" t="s">
        <v>1014</v>
      </c>
      <c r="G263" s="81">
        <v>1</v>
      </c>
      <c r="H263" s="81" t="s">
        <v>1025</v>
      </c>
      <c r="I263" s="79"/>
      <c r="J263" s="79"/>
      <c r="K263" s="79"/>
      <c r="L263" s="79"/>
    </row>
    <row r="264" ht="26" spans="1:12">
      <c r="A264" s="81" t="s">
        <v>638</v>
      </c>
      <c r="B264" s="81" t="s">
        <v>929</v>
      </c>
      <c r="C264" s="81" t="s">
        <v>456</v>
      </c>
      <c r="D264" s="81" t="s">
        <v>260</v>
      </c>
      <c r="E264" s="81" t="s">
        <v>632</v>
      </c>
      <c r="F264" s="81" t="s">
        <v>1014</v>
      </c>
      <c r="G264" s="81">
        <v>1</v>
      </c>
      <c r="H264" s="81" t="s">
        <v>1025</v>
      </c>
      <c r="I264" s="79"/>
      <c r="J264" s="79"/>
      <c r="K264" s="79"/>
      <c r="L264" s="79"/>
    </row>
    <row r="265" ht="26" spans="1:12">
      <c r="A265" s="81" t="s">
        <v>639</v>
      </c>
      <c r="B265" s="81" t="s">
        <v>929</v>
      </c>
      <c r="C265" s="81" t="s">
        <v>456</v>
      </c>
      <c r="D265" s="81" t="s">
        <v>260</v>
      </c>
      <c r="E265" s="81" t="s">
        <v>632</v>
      </c>
      <c r="F265" s="81" t="s">
        <v>1014</v>
      </c>
      <c r="G265" s="81">
        <v>1</v>
      </c>
      <c r="H265" s="81" t="s">
        <v>1025</v>
      </c>
      <c r="I265" s="79"/>
      <c r="J265" s="79"/>
      <c r="K265" s="79"/>
      <c r="L265" s="79"/>
    </row>
    <row r="266" ht="26" spans="1:12">
      <c r="A266" s="81" t="s">
        <v>640</v>
      </c>
      <c r="B266" s="81" t="s">
        <v>930</v>
      </c>
      <c r="C266" s="81" t="s">
        <v>456</v>
      </c>
      <c r="D266" s="81" t="s">
        <v>260</v>
      </c>
      <c r="E266" s="81" t="s">
        <v>632</v>
      </c>
      <c r="F266" s="81" t="s">
        <v>1014</v>
      </c>
      <c r="G266" s="81">
        <v>1</v>
      </c>
      <c r="H266" s="81" t="s">
        <v>1025</v>
      </c>
      <c r="I266" s="79"/>
      <c r="J266" s="79"/>
      <c r="K266" s="79"/>
      <c r="L266" s="79"/>
    </row>
    <row r="267" ht="26" spans="1:12">
      <c r="A267" s="81" t="s">
        <v>643</v>
      </c>
      <c r="B267" s="81" t="s">
        <v>931</v>
      </c>
      <c r="C267" s="81" t="s">
        <v>456</v>
      </c>
      <c r="D267" s="81" t="s">
        <v>260</v>
      </c>
      <c r="E267" s="81" t="s">
        <v>632</v>
      </c>
      <c r="F267" s="81" t="s">
        <v>1014</v>
      </c>
      <c r="G267" s="81">
        <v>1</v>
      </c>
      <c r="H267" s="81" t="s">
        <v>1025</v>
      </c>
      <c r="I267" s="79"/>
      <c r="J267" s="79"/>
      <c r="K267" s="79"/>
      <c r="L267" s="79"/>
    </row>
    <row r="268" ht="26" spans="1:12">
      <c r="A268" s="81" t="s">
        <v>644</v>
      </c>
      <c r="B268" s="81" t="s">
        <v>905</v>
      </c>
      <c r="C268" s="81" t="s">
        <v>368</v>
      </c>
      <c r="D268" s="81" t="s">
        <v>340</v>
      </c>
      <c r="E268" s="81" t="s">
        <v>138</v>
      </c>
      <c r="F268" s="81" t="s">
        <v>1007</v>
      </c>
      <c r="G268" s="81">
        <v>2</v>
      </c>
      <c r="H268" s="81" t="s">
        <v>1025</v>
      </c>
      <c r="I268" s="79"/>
      <c r="J268" s="79"/>
      <c r="K268" s="79"/>
      <c r="L268" s="79"/>
    </row>
    <row r="269" ht="26" spans="1:12">
      <c r="A269" s="81" t="s">
        <v>645</v>
      </c>
      <c r="B269" s="81" t="s">
        <v>905</v>
      </c>
      <c r="C269" s="81" t="s">
        <v>368</v>
      </c>
      <c r="D269" s="81" t="s">
        <v>340</v>
      </c>
      <c r="E269" s="81" t="s">
        <v>138</v>
      </c>
      <c r="F269" s="81" t="s">
        <v>1007</v>
      </c>
      <c r="G269" s="81">
        <v>2</v>
      </c>
      <c r="H269" s="81" t="s">
        <v>1025</v>
      </c>
      <c r="I269" s="79"/>
      <c r="J269" s="79"/>
      <c r="K269" s="79"/>
      <c r="L269" s="79"/>
    </row>
    <row r="270" ht="26" spans="1:12">
      <c r="A270" s="81" t="s">
        <v>646</v>
      </c>
      <c r="B270" s="81" t="s">
        <v>930</v>
      </c>
      <c r="C270" s="81" t="s">
        <v>456</v>
      </c>
      <c r="D270" s="81" t="s">
        <v>260</v>
      </c>
      <c r="E270" s="81" t="s">
        <v>632</v>
      </c>
      <c r="F270" s="81" t="s">
        <v>1014</v>
      </c>
      <c r="G270" s="81">
        <v>1</v>
      </c>
      <c r="H270" s="81" t="s">
        <v>1025</v>
      </c>
      <c r="I270" s="79"/>
      <c r="J270" s="79"/>
      <c r="K270" s="79"/>
      <c r="L270" s="79"/>
    </row>
    <row r="271" ht="26" spans="1:12">
      <c r="A271" s="81" t="s">
        <v>648</v>
      </c>
      <c r="B271" s="81" t="s">
        <v>930</v>
      </c>
      <c r="C271" s="81" t="s">
        <v>456</v>
      </c>
      <c r="D271" s="81" t="s">
        <v>260</v>
      </c>
      <c r="E271" s="81" t="s">
        <v>632</v>
      </c>
      <c r="F271" s="81" t="s">
        <v>1014</v>
      </c>
      <c r="G271" s="81">
        <v>1</v>
      </c>
      <c r="H271" s="81" t="s">
        <v>1025</v>
      </c>
      <c r="I271" s="79"/>
      <c r="J271" s="79"/>
      <c r="K271" s="79"/>
      <c r="L271" s="79"/>
    </row>
    <row r="272" ht="26" spans="1:12">
      <c r="A272" s="81" t="s">
        <v>649</v>
      </c>
      <c r="B272" s="81" t="s">
        <v>930</v>
      </c>
      <c r="C272" s="81" t="s">
        <v>456</v>
      </c>
      <c r="D272" s="81" t="s">
        <v>260</v>
      </c>
      <c r="E272" s="81" t="s">
        <v>632</v>
      </c>
      <c r="F272" s="81" t="s">
        <v>1014</v>
      </c>
      <c r="G272" s="81">
        <v>1</v>
      </c>
      <c r="H272" s="81" t="s">
        <v>1025</v>
      </c>
      <c r="I272" s="79"/>
      <c r="J272" s="79"/>
      <c r="K272" s="79"/>
      <c r="L272" s="79"/>
    </row>
    <row r="273" ht="26" spans="1:12">
      <c r="A273" s="81" t="s">
        <v>650</v>
      </c>
      <c r="B273" s="81" t="s">
        <v>930</v>
      </c>
      <c r="C273" s="81" t="s">
        <v>456</v>
      </c>
      <c r="D273" s="81" t="s">
        <v>260</v>
      </c>
      <c r="E273" s="81" t="s">
        <v>632</v>
      </c>
      <c r="F273" s="81" t="s">
        <v>1014</v>
      </c>
      <c r="G273" s="81">
        <v>1</v>
      </c>
      <c r="H273" s="81" t="s">
        <v>1025</v>
      </c>
      <c r="I273" s="79"/>
      <c r="J273" s="79"/>
      <c r="K273" s="79"/>
      <c r="L273" s="79"/>
    </row>
    <row r="274" ht="26" spans="1:12">
      <c r="A274" s="81" t="s">
        <v>651</v>
      </c>
      <c r="B274" s="81" t="s">
        <v>930</v>
      </c>
      <c r="C274" s="81" t="s">
        <v>456</v>
      </c>
      <c r="D274" s="81" t="s">
        <v>260</v>
      </c>
      <c r="E274" s="81" t="s">
        <v>632</v>
      </c>
      <c r="F274" s="81" t="s">
        <v>1014</v>
      </c>
      <c r="G274" s="81">
        <v>1</v>
      </c>
      <c r="H274" s="81" t="s">
        <v>1025</v>
      </c>
      <c r="I274" s="79"/>
      <c r="J274" s="79"/>
      <c r="K274" s="79"/>
      <c r="L274" s="79"/>
    </row>
    <row r="275" ht="26" spans="1:12">
      <c r="A275" s="81" t="s">
        <v>652</v>
      </c>
      <c r="B275" s="81" t="s">
        <v>930</v>
      </c>
      <c r="C275" s="81" t="s">
        <v>456</v>
      </c>
      <c r="D275" s="81" t="s">
        <v>260</v>
      </c>
      <c r="E275" s="81" t="s">
        <v>632</v>
      </c>
      <c r="F275" s="81" t="s">
        <v>1014</v>
      </c>
      <c r="G275" s="81">
        <v>1</v>
      </c>
      <c r="H275" s="81" t="s">
        <v>1025</v>
      </c>
      <c r="I275" s="79"/>
      <c r="J275" s="79"/>
      <c r="K275" s="79"/>
      <c r="L275" s="79"/>
    </row>
    <row r="276" ht="26" spans="1:12">
      <c r="A276" s="81" t="s">
        <v>653</v>
      </c>
      <c r="B276" s="81" t="s">
        <v>930</v>
      </c>
      <c r="C276" s="81" t="s">
        <v>456</v>
      </c>
      <c r="D276" s="81" t="s">
        <v>260</v>
      </c>
      <c r="E276" s="81" t="s">
        <v>632</v>
      </c>
      <c r="F276" s="81" t="s">
        <v>1014</v>
      </c>
      <c r="G276" s="81">
        <v>1</v>
      </c>
      <c r="H276" s="81" t="s">
        <v>1025</v>
      </c>
      <c r="I276" s="79"/>
      <c r="J276" s="79"/>
      <c r="K276" s="79"/>
      <c r="L276" s="79"/>
    </row>
    <row r="277" ht="26" spans="1:12">
      <c r="A277" s="81" t="s">
        <v>654</v>
      </c>
      <c r="B277" s="81" t="s">
        <v>930</v>
      </c>
      <c r="C277" s="81" t="s">
        <v>456</v>
      </c>
      <c r="D277" s="81" t="s">
        <v>260</v>
      </c>
      <c r="E277" s="81" t="s">
        <v>632</v>
      </c>
      <c r="F277" s="81" t="s">
        <v>1014</v>
      </c>
      <c r="G277" s="81">
        <v>1</v>
      </c>
      <c r="H277" s="81" t="s">
        <v>1025</v>
      </c>
      <c r="I277" s="79"/>
      <c r="J277" s="79"/>
      <c r="K277" s="79"/>
      <c r="L277" s="79"/>
    </row>
    <row r="278" ht="26" spans="1:12">
      <c r="A278" s="81" t="s">
        <v>655</v>
      </c>
      <c r="B278" s="81" t="s">
        <v>930</v>
      </c>
      <c r="C278" s="81" t="s">
        <v>456</v>
      </c>
      <c r="D278" s="81" t="s">
        <v>260</v>
      </c>
      <c r="E278" s="81" t="s">
        <v>632</v>
      </c>
      <c r="F278" s="81" t="s">
        <v>1014</v>
      </c>
      <c r="G278" s="81">
        <v>1</v>
      </c>
      <c r="H278" s="81" t="s">
        <v>1025</v>
      </c>
      <c r="I278" s="79"/>
      <c r="J278" s="79"/>
      <c r="K278" s="79"/>
      <c r="L278" s="79"/>
    </row>
    <row r="279" ht="26" spans="1:12">
      <c r="A279" s="81" t="s">
        <v>656</v>
      </c>
      <c r="B279" s="81" t="s">
        <v>930</v>
      </c>
      <c r="C279" s="81" t="s">
        <v>456</v>
      </c>
      <c r="D279" s="81" t="s">
        <v>260</v>
      </c>
      <c r="E279" s="81" t="s">
        <v>632</v>
      </c>
      <c r="F279" s="81" t="s">
        <v>1014</v>
      </c>
      <c r="G279" s="81">
        <v>1</v>
      </c>
      <c r="H279" s="81" t="s">
        <v>1025</v>
      </c>
      <c r="I279" s="79"/>
      <c r="J279" s="79"/>
      <c r="K279" s="79"/>
      <c r="L279" s="79"/>
    </row>
    <row r="280" ht="26" spans="1:12">
      <c r="A280" s="81" t="s">
        <v>657</v>
      </c>
      <c r="B280" s="81" t="s">
        <v>930</v>
      </c>
      <c r="C280" s="81" t="s">
        <v>456</v>
      </c>
      <c r="D280" s="81" t="s">
        <v>260</v>
      </c>
      <c r="E280" s="81" t="s">
        <v>632</v>
      </c>
      <c r="F280" s="81" t="s">
        <v>1014</v>
      </c>
      <c r="G280" s="81">
        <v>1</v>
      </c>
      <c r="H280" s="81" t="s">
        <v>1025</v>
      </c>
      <c r="I280" s="79"/>
      <c r="J280" s="79"/>
      <c r="K280" s="79"/>
      <c r="L280" s="79"/>
    </row>
    <row r="281" ht="26" spans="1:12">
      <c r="A281" s="81" t="s">
        <v>658</v>
      </c>
      <c r="B281" s="81" t="s">
        <v>930</v>
      </c>
      <c r="C281" s="81" t="s">
        <v>456</v>
      </c>
      <c r="D281" s="81" t="s">
        <v>260</v>
      </c>
      <c r="E281" s="81" t="s">
        <v>632</v>
      </c>
      <c r="F281" s="81" t="s">
        <v>1014</v>
      </c>
      <c r="G281" s="81">
        <v>1</v>
      </c>
      <c r="H281" s="81" t="s">
        <v>1025</v>
      </c>
      <c r="I281" s="79"/>
      <c r="J281" s="79"/>
      <c r="K281" s="79"/>
      <c r="L281" s="79"/>
    </row>
    <row r="282" ht="26" spans="1:12">
      <c r="A282" s="81" t="s">
        <v>659</v>
      </c>
      <c r="B282" s="81" t="s">
        <v>930</v>
      </c>
      <c r="C282" s="81" t="s">
        <v>456</v>
      </c>
      <c r="D282" s="81" t="s">
        <v>260</v>
      </c>
      <c r="E282" s="81" t="s">
        <v>632</v>
      </c>
      <c r="F282" s="81" t="s">
        <v>1014</v>
      </c>
      <c r="G282" s="81">
        <v>1</v>
      </c>
      <c r="H282" s="81" t="s">
        <v>1025</v>
      </c>
      <c r="I282" s="79"/>
      <c r="J282" s="79"/>
      <c r="K282" s="79"/>
      <c r="L282" s="79"/>
    </row>
    <row r="283" ht="26" spans="1:12">
      <c r="A283" s="81" t="s">
        <v>660</v>
      </c>
      <c r="B283" s="81" t="s">
        <v>930</v>
      </c>
      <c r="C283" s="81" t="s">
        <v>456</v>
      </c>
      <c r="D283" s="81" t="s">
        <v>260</v>
      </c>
      <c r="E283" s="81" t="s">
        <v>632</v>
      </c>
      <c r="F283" s="81" t="s">
        <v>1014</v>
      </c>
      <c r="G283" s="81">
        <v>1</v>
      </c>
      <c r="H283" s="81" t="s">
        <v>1025</v>
      </c>
      <c r="I283" s="79"/>
      <c r="J283" s="79"/>
      <c r="K283" s="79"/>
      <c r="L283" s="79"/>
    </row>
    <row r="284" ht="26" spans="1:12">
      <c r="A284" s="81" t="s">
        <v>661</v>
      </c>
      <c r="B284" s="81" t="s">
        <v>930</v>
      </c>
      <c r="C284" s="81" t="s">
        <v>456</v>
      </c>
      <c r="D284" s="81" t="s">
        <v>260</v>
      </c>
      <c r="E284" s="81" t="s">
        <v>632</v>
      </c>
      <c r="F284" s="81" t="s">
        <v>1014</v>
      </c>
      <c r="G284" s="81">
        <v>1</v>
      </c>
      <c r="H284" s="81" t="s">
        <v>1025</v>
      </c>
      <c r="I284" s="79"/>
      <c r="J284" s="79"/>
      <c r="K284" s="79"/>
      <c r="L284" s="79"/>
    </row>
    <row r="285" ht="26" spans="1:12">
      <c r="A285" s="81" t="s">
        <v>662</v>
      </c>
      <c r="B285" s="81" t="s">
        <v>930</v>
      </c>
      <c r="C285" s="81" t="s">
        <v>456</v>
      </c>
      <c r="D285" s="81" t="s">
        <v>260</v>
      </c>
      <c r="E285" s="81" t="s">
        <v>632</v>
      </c>
      <c r="F285" s="81" t="s">
        <v>1014</v>
      </c>
      <c r="G285" s="81">
        <v>1</v>
      </c>
      <c r="H285" s="81" t="s">
        <v>1025</v>
      </c>
      <c r="I285" s="79"/>
      <c r="J285" s="79"/>
      <c r="K285" s="79"/>
      <c r="L285" s="79"/>
    </row>
    <row r="286" ht="26" spans="1:12">
      <c r="A286" s="81" t="s">
        <v>663</v>
      </c>
      <c r="B286" s="81" t="s">
        <v>930</v>
      </c>
      <c r="C286" s="81" t="s">
        <v>456</v>
      </c>
      <c r="D286" s="81" t="s">
        <v>260</v>
      </c>
      <c r="E286" s="81" t="s">
        <v>632</v>
      </c>
      <c r="F286" s="81" t="s">
        <v>1014</v>
      </c>
      <c r="G286" s="81">
        <v>1</v>
      </c>
      <c r="H286" s="81" t="s">
        <v>1025</v>
      </c>
      <c r="I286" s="79"/>
      <c r="J286" s="79"/>
      <c r="K286" s="79"/>
      <c r="L286" s="79"/>
    </row>
    <row r="287" ht="26" spans="1:12">
      <c r="A287" s="81" t="s">
        <v>664</v>
      </c>
      <c r="B287" s="81" t="s">
        <v>930</v>
      </c>
      <c r="C287" s="81" t="s">
        <v>456</v>
      </c>
      <c r="D287" s="81" t="s">
        <v>260</v>
      </c>
      <c r="E287" s="81" t="s">
        <v>632</v>
      </c>
      <c r="F287" s="81" t="s">
        <v>1014</v>
      </c>
      <c r="G287" s="81">
        <v>1</v>
      </c>
      <c r="H287" s="81" t="s">
        <v>1025</v>
      </c>
      <c r="I287" s="79"/>
      <c r="J287" s="79"/>
      <c r="K287" s="79"/>
      <c r="L287" s="79"/>
    </row>
    <row r="288" ht="26" spans="1:12">
      <c r="A288" s="81" t="s">
        <v>665</v>
      </c>
      <c r="B288" s="81" t="s">
        <v>930</v>
      </c>
      <c r="C288" s="81" t="s">
        <v>456</v>
      </c>
      <c r="D288" s="81" t="s">
        <v>260</v>
      </c>
      <c r="E288" s="81" t="s">
        <v>632</v>
      </c>
      <c r="F288" s="81" t="s">
        <v>1014</v>
      </c>
      <c r="G288" s="81">
        <v>1</v>
      </c>
      <c r="H288" s="81" t="s">
        <v>1025</v>
      </c>
      <c r="I288" s="79"/>
      <c r="J288" s="79"/>
      <c r="K288" s="79"/>
      <c r="L288" s="79"/>
    </row>
    <row r="289" ht="26" spans="1:12">
      <c r="A289" s="81" t="s">
        <v>666</v>
      </c>
      <c r="B289" s="81" t="s">
        <v>930</v>
      </c>
      <c r="C289" s="81" t="s">
        <v>456</v>
      </c>
      <c r="D289" s="81" t="s">
        <v>260</v>
      </c>
      <c r="E289" s="81" t="s">
        <v>632</v>
      </c>
      <c r="F289" s="81" t="s">
        <v>1014</v>
      </c>
      <c r="G289" s="81">
        <v>1</v>
      </c>
      <c r="H289" s="81" t="s">
        <v>1025</v>
      </c>
      <c r="I289" s="79"/>
      <c r="J289" s="79"/>
      <c r="K289" s="79"/>
      <c r="L289" s="79"/>
    </row>
    <row r="290" ht="26" spans="1:12">
      <c r="A290" s="81" t="s">
        <v>667</v>
      </c>
      <c r="B290" s="81" t="s">
        <v>930</v>
      </c>
      <c r="C290" s="81" t="s">
        <v>456</v>
      </c>
      <c r="D290" s="81" t="s">
        <v>260</v>
      </c>
      <c r="E290" s="81" t="s">
        <v>632</v>
      </c>
      <c r="F290" s="81" t="s">
        <v>1014</v>
      </c>
      <c r="G290" s="81">
        <v>1</v>
      </c>
      <c r="H290" s="81" t="s">
        <v>1025</v>
      </c>
      <c r="I290" s="79"/>
      <c r="J290" s="79"/>
      <c r="K290" s="79"/>
      <c r="L290" s="79"/>
    </row>
    <row r="291" ht="26" spans="1:12">
      <c r="A291" s="81" t="s">
        <v>668</v>
      </c>
      <c r="B291" s="81" t="s">
        <v>930</v>
      </c>
      <c r="C291" s="81" t="s">
        <v>456</v>
      </c>
      <c r="D291" s="81" t="s">
        <v>260</v>
      </c>
      <c r="E291" s="81" t="s">
        <v>632</v>
      </c>
      <c r="F291" s="81" t="s">
        <v>1014</v>
      </c>
      <c r="G291" s="81">
        <v>1</v>
      </c>
      <c r="H291" s="81" t="s">
        <v>1025</v>
      </c>
      <c r="I291" s="79"/>
      <c r="J291" s="79"/>
      <c r="K291" s="79"/>
      <c r="L291" s="79"/>
    </row>
    <row r="292" ht="26" spans="1:12">
      <c r="A292" s="81" t="s">
        <v>669</v>
      </c>
      <c r="B292" s="81" t="s">
        <v>930</v>
      </c>
      <c r="C292" s="81" t="s">
        <v>456</v>
      </c>
      <c r="D292" s="81" t="s">
        <v>260</v>
      </c>
      <c r="E292" s="81" t="s">
        <v>632</v>
      </c>
      <c r="F292" s="81" t="s">
        <v>1014</v>
      </c>
      <c r="G292" s="81">
        <v>1</v>
      </c>
      <c r="H292" s="81" t="s">
        <v>1025</v>
      </c>
      <c r="I292" s="79"/>
      <c r="J292" s="79"/>
      <c r="K292" s="79"/>
      <c r="L292" s="79"/>
    </row>
    <row r="293" ht="26" spans="1:12">
      <c r="A293" s="81" t="s">
        <v>670</v>
      </c>
      <c r="B293" s="81" t="s">
        <v>930</v>
      </c>
      <c r="C293" s="81" t="s">
        <v>456</v>
      </c>
      <c r="D293" s="81" t="s">
        <v>260</v>
      </c>
      <c r="E293" s="81" t="s">
        <v>632</v>
      </c>
      <c r="F293" s="81" t="s">
        <v>1014</v>
      </c>
      <c r="G293" s="81">
        <v>1</v>
      </c>
      <c r="H293" s="81" t="s">
        <v>1025</v>
      </c>
      <c r="I293" s="79"/>
      <c r="J293" s="79"/>
      <c r="K293" s="79"/>
      <c r="L293" s="79"/>
    </row>
    <row r="294" ht="26" spans="1:12">
      <c r="A294" s="81" t="s">
        <v>671</v>
      </c>
      <c r="B294" s="81" t="s">
        <v>930</v>
      </c>
      <c r="C294" s="81" t="s">
        <v>456</v>
      </c>
      <c r="D294" s="81" t="s">
        <v>260</v>
      </c>
      <c r="E294" s="81" t="s">
        <v>632</v>
      </c>
      <c r="F294" s="81" t="s">
        <v>1014</v>
      </c>
      <c r="G294" s="81">
        <v>1</v>
      </c>
      <c r="H294" s="81" t="s">
        <v>1025</v>
      </c>
      <c r="I294" s="79"/>
      <c r="J294" s="79"/>
      <c r="K294" s="79"/>
      <c r="L294" s="79"/>
    </row>
    <row r="295" ht="26" spans="1:12">
      <c r="A295" s="81" t="s">
        <v>672</v>
      </c>
      <c r="B295" s="81" t="s">
        <v>930</v>
      </c>
      <c r="C295" s="81" t="s">
        <v>456</v>
      </c>
      <c r="D295" s="81" t="s">
        <v>260</v>
      </c>
      <c r="E295" s="81" t="s">
        <v>632</v>
      </c>
      <c r="F295" s="81" t="s">
        <v>1014</v>
      </c>
      <c r="G295" s="81">
        <v>1</v>
      </c>
      <c r="H295" s="81" t="s">
        <v>1025</v>
      </c>
      <c r="I295" s="79"/>
      <c r="J295" s="79"/>
      <c r="K295" s="79"/>
      <c r="L295" s="79"/>
    </row>
    <row r="296" ht="26" spans="1:12">
      <c r="A296" s="81" t="s">
        <v>673</v>
      </c>
      <c r="B296" s="81" t="s">
        <v>930</v>
      </c>
      <c r="C296" s="81" t="s">
        <v>456</v>
      </c>
      <c r="D296" s="81" t="s">
        <v>260</v>
      </c>
      <c r="E296" s="81" t="s">
        <v>632</v>
      </c>
      <c r="F296" s="81" t="s">
        <v>1014</v>
      </c>
      <c r="G296" s="81">
        <v>1</v>
      </c>
      <c r="H296" s="81" t="s">
        <v>1025</v>
      </c>
      <c r="I296" s="79"/>
      <c r="J296" s="79"/>
      <c r="K296" s="79"/>
      <c r="L296" s="79"/>
    </row>
    <row r="297" ht="26" spans="1:12">
      <c r="A297" s="81" t="s">
        <v>674</v>
      </c>
      <c r="B297" s="81" t="s">
        <v>930</v>
      </c>
      <c r="C297" s="81" t="s">
        <v>456</v>
      </c>
      <c r="D297" s="81" t="s">
        <v>260</v>
      </c>
      <c r="E297" s="81" t="s">
        <v>632</v>
      </c>
      <c r="F297" s="81" t="s">
        <v>1014</v>
      </c>
      <c r="G297" s="81">
        <v>1</v>
      </c>
      <c r="H297" s="81" t="s">
        <v>1025</v>
      </c>
      <c r="I297" s="79"/>
      <c r="J297" s="79"/>
      <c r="K297" s="79"/>
      <c r="L297" s="79"/>
    </row>
    <row r="298" ht="26" spans="1:12">
      <c r="A298" s="81" t="s">
        <v>675</v>
      </c>
      <c r="B298" s="81" t="s">
        <v>930</v>
      </c>
      <c r="C298" s="81" t="s">
        <v>456</v>
      </c>
      <c r="D298" s="81" t="s">
        <v>260</v>
      </c>
      <c r="E298" s="81" t="s">
        <v>632</v>
      </c>
      <c r="F298" s="81" t="s">
        <v>1014</v>
      </c>
      <c r="G298" s="81">
        <v>1</v>
      </c>
      <c r="H298" s="81" t="s">
        <v>1025</v>
      </c>
      <c r="I298" s="79"/>
      <c r="J298" s="79"/>
      <c r="K298" s="79"/>
      <c r="L298" s="79"/>
    </row>
    <row r="299" ht="26" spans="1:12">
      <c r="A299" s="81" t="s">
        <v>676</v>
      </c>
      <c r="B299" s="81" t="s">
        <v>930</v>
      </c>
      <c r="C299" s="81" t="s">
        <v>456</v>
      </c>
      <c r="D299" s="81" t="s">
        <v>260</v>
      </c>
      <c r="E299" s="81" t="s">
        <v>632</v>
      </c>
      <c r="F299" s="81" t="s">
        <v>1014</v>
      </c>
      <c r="G299" s="81">
        <v>1</v>
      </c>
      <c r="H299" s="81" t="s">
        <v>1025</v>
      </c>
      <c r="I299" s="79"/>
      <c r="J299" s="79"/>
      <c r="K299" s="79"/>
      <c r="L299" s="79"/>
    </row>
    <row r="300" ht="26" spans="1:12">
      <c r="A300" s="81" t="s">
        <v>677</v>
      </c>
      <c r="B300" s="81" t="s">
        <v>930</v>
      </c>
      <c r="C300" s="81" t="s">
        <v>456</v>
      </c>
      <c r="D300" s="81" t="s">
        <v>260</v>
      </c>
      <c r="E300" s="81" t="s">
        <v>632</v>
      </c>
      <c r="F300" s="81" t="s">
        <v>1014</v>
      </c>
      <c r="G300" s="81">
        <v>1</v>
      </c>
      <c r="H300" s="81" t="s">
        <v>1025</v>
      </c>
      <c r="I300" s="79"/>
      <c r="J300" s="79"/>
      <c r="K300" s="79"/>
      <c r="L300" s="79"/>
    </row>
    <row r="301" ht="26" spans="1:12">
      <c r="A301" s="81" t="s">
        <v>678</v>
      </c>
      <c r="B301" s="81" t="s">
        <v>930</v>
      </c>
      <c r="C301" s="81" t="s">
        <v>456</v>
      </c>
      <c r="D301" s="81" t="s">
        <v>260</v>
      </c>
      <c r="E301" s="81" t="s">
        <v>632</v>
      </c>
      <c r="F301" s="81" t="s">
        <v>1014</v>
      </c>
      <c r="G301" s="81">
        <v>1</v>
      </c>
      <c r="H301" s="81" t="s">
        <v>1025</v>
      </c>
      <c r="I301" s="79"/>
      <c r="J301" s="79"/>
      <c r="K301" s="79"/>
      <c r="L301" s="79"/>
    </row>
    <row r="302" ht="26" spans="1:12">
      <c r="A302" s="81" t="s">
        <v>679</v>
      </c>
      <c r="B302" s="81" t="s">
        <v>930</v>
      </c>
      <c r="C302" s="81" t="s">
        <v>456</v>
      </c>
      <c r="D302" s="81" t="s">
        <v>260</v>
      </c>
      <c r="E302" s="81" t="s">
        <v>632</v>
      </c>
      <c r="F302" s="81" t="s">
        <v>1014</v>
      </c>
      <c r="G302" s="81">
        <v>1</v>
      </c>
      <c r="H302" s="81" t="s">
        <v>1025</v>
      </c>
      <c r="I302" s="79"/>
      <c r="J302" s="79"/>
      <c r="K302" s="79"/>
      <c r="L302" s="79"/>
    </row>
    <row r="303" ht="26" spans="1:12">
      <c r="A303" s="81" t="s">
        <v>680</v>
      </c>
      <c r="B303" s="81" t="s">
        <v>930</v>
      </c>
      <c r="C303" s="81" t="s">
        <v>456</v>
      </c>
      <c r="D303" s="81" t="s">
        <v>260</v>
      </c>
      <c r="E303" s="81" t="s">
        <v>632</v>
      </c>
      <c r="F303" s="81" t="s">
        <v>1014</v>
      </c>
      <c r="G303" s="81">
        <v>1</v>
      </c>
      <c r="H303" s="81" t="s">
        <v>1025</v>
      </c>
      <c r="I303" s="79"/>
      <c r="J303" s="79"/>
      <c r="K303" s="79"/>
      <c r="L303" s="79"/>
    </row>
    <row r="304" ht="26" spans="1:12">
      <c r="A304" s="81" t="s">
        <v>681</v>
      </c>
      <c r="B304" s="81" t="s">
        <v>930</v>
      </c>
      <c r="C304" s="81" t="s">
        <v>456</v>
      </c>
      <c r="D304" s="81" t="s">
        <v>260</v>
      </c>
      <c r="E304" s="81" t="s">
        <v>632</v>
      </c>
      <c r="F304" s="81" t="s">
        <v>1014</v>
      </c>
      <c r="G304" s="81">
        <v>1</v>
      </c>
      <c r="H304" s="81" t="s">
        <v>1025</v>
      </c>
      <c r="I304" s="79"/>
      <c r="J304" s="79"/>
      <c r="K304" s="79"/>
      <c r="L304" s="79"/>
    </row>
    <row r="305" ht="26" spans="1:12">
      <c r="A305" s="81" t="s">
        <v>682</v>
      </c>
      <c r="B305" s="81" t="s">
        <v>930</v>
      </c>
      <c r="C305" s="81" t="s">
        <v>456</v>
      </c>
      <c r="D305" s="81" t="s">
        <v>260</v>
      </c>
      <c r="E305" s="81" t="s">
        <v>632</v>
      </c>
      <c r="F305" s="81" t="s">
        <v>1014</v>
      </c>
      <c r="G305" s="81">
        <v>1</v>
      </c>
      <c r="H305" s="81" t="s">
        <v>1025</v>
      </c>
      <c r="I305" s="79"/>
      <c r="J305" s="79"/>
      <c r="K305" s="79"/>
      <c r="L305" s="79"/>
    </row>
    <row r="306" ht="26" spans="1:12">
      <c r="A306" s="81" t="s">
        <v>683</v>
      </c>
      <c r="B306" s="81" t="s">
        <v>930</v>
      </c>
      <c r="C306" s="81" t="s">
        <v>456</v>
      </c>
      <c r="D306" s="81" t="s">
        <v>260</v>
      </c>
      <c r="E306" s="81" t="s">
        <v>632</v>
      </c>
      <c r="F306" s="81" t="s">
        <v>1014</v>
      </c>
      <c r="G306" s="81">
        <v>1</v>
      </c>
      <c r="H306" s="81" t="s">
        <v>1025</v>
      </c>
      <c r="I306" s="79"/>
      <c r="J306" s="79"/>
      <c r="K306" s="79"/>
      <c r="L306" s="79"/>
    </row>
    <row r="307" ht="26" spans="1:12">
      <c r="A307" s="81" t="s">
        <v>684</v>
      </c>
      <c r="B307" s="81" t="s">
        <v>930</v>
      </c>
      <c r="C307" s="81" t="s">
        <v>456</v>
      </c>
      <c r="D307" s="81" t="s">
        <v>260</v>
      </c>
      <c r="E307" s="81" t="s">
        <v>632</v>
      </c>
      <c r="F307" s="81" t="s">
        <v>1014</v>
      </c>
      <c r="G307" s="81">
        <v>1</v>
      </c>
      <c r="H307" s="81" t="s">
        <v>1025</v>
      </c>
      <c r="I307" s="79"/>
      <c r="J307" s="79"/>
      <c r="K307" s="79"/>
      <c r="L307" s="79"/>
    </row>
    <row r="308" ht="26" spans="1:12">
      <c r="A308" s="81" t="s">
        <v>685</v>
      </c>
      <c r="B308" s="81" t="s">
        <v>930</v>
      </c>
      <c r="C308" s="81" t="s">
        <v>456</v>
      </c>
      <c r="D308" s="81" t="s">
        <v>260</v>
      </c>
      <c r="E308" s="81" t="s">
        <v>632</v>
      </c>
      <c r="F308" s="81" t="s">
        <v>1014</v>
      </c>
      <c r="G308" s="81">
        <v>1</v>
      </c>
      <c r="H308" s="81" t="s">
        <v>1025</v>
      </c>
      <c r="I308" s="79"/>
      <c r="J308" s="79"/>
      <c r="K308" s="79"/>
      <c r="L308" s="79"/>
    </row>
    <row r="309" ht="26" spans="1:12">
      <c r="A309" s="81" t="s">
        <v>686</v>
      </c>
      <c r="B309" s="81" t="s">
        <v>930</v>
      </c>
      <c r="C309" s="81" t="s">
        <v>456</v>
      </c>
      <c r="D309" s="81" t="s">
        <v>260</v>
      </c>
      <c r="E309" s="81" t="s">
        <v>632</v>
      </c>
      <c r="F309" s="81" t="s">
        <v>1014</v>
      </c>
      <c r="G309" s="81">
        <v>1</v>
      </c>
      <c r="H309" s="81" t="s">
        <v>1025</v>
      </c>
      <c r="I309" s="79"/>
      <c r="J309" s="79"/>
      <c r="K309" s="79"/>
      <c r="L309" s="79"/>
    </row>
    <row r="310" ht="26" spans="1:12">
      <c r="A310" s="81" t="s">
        <v>687</v>
      </c>
      <c r="B310" s="81" t="s">
        <v>930</v>
      </c>
      <c r="C310" s="81" t="s">
        <v>456</v>
      </c>
      <c r="D310" s="81" t="s">
        <v>260</v>
      </c>
      <c r="E310" s="81" t="s">
        <v>632</v>
      </c>
      <c r="F310" s="81" t="s">
        <v>1014</v>
      </c>
      <c r="G310" s="81">
        <v>1</v>
      </c>
      <c r="H310" s="81" t="s">
        <v>1025</v>
      </c>
      <c r="I310" s="79"/>
      <c r="J310" s="79"/>
      <c r="K310" s="79"/>
      <c r="L310" s="79"/>
    </row>
    <row r="311" ht="26" spans="1:12">
      <c r="A311" s="81" t="s">
        <v>688</v>
      </c>
      <c r="B311" s="81" t="s">
        <v>930</v>
      </c>
      <c r="C311" s="81" t="s">
        <v>456</v>
      </c>
      <c r="D311" s="81" t="s">
        <v>260</v>
      </c>
      <c r="E311" s="81" t="s">
        <v>632</v>
      </c>
      <c r="F311" s="81" t="s">
        <v>1014</v>
      </c>
      <c r="G311" s="81">
        <v>1</v>
      </c>
      <c r="H311" s="81" t="s">
        <v>1025</v>
      </c>
      <c r="I311" s="79"/>
      <c r="J311" s="79"/>
      <c r="K311" s="79"/>
      <c r="L311" s="79"/>
    </row>
    <row r="312" ht="26" spans="1:12">
      <c r="A312" s="81" t="s">
        <v>689</v>
      </c>
      <c r="B312" s="81" t="s">
        <v>930</v>
      </c>
      <c r="C312" s="81" t="s">
        <v>456</v>
      </c>
      <c r="D312" s="81" t="s">
        <v>260</v>
      </c>
      <c r="E312" s="81" t="s">
        <v>632</v>
      </c>
      <c r="F312" s="81" t="s">
        <v>1014</v>
      </c>
      <c r="G312" s="81">
        <v>1</v>
      </c>
      <c r="H312" s="81" t="s">
        <v>1025</v>
      </c>
      <c r="I312" s="79"/>
      <c r="J312" s="79"/>
      <c r="K312" s="79"/>
      <c r="L312" s="79"/>
    </row>
    <row r="313" ht="26" spans="1:12">
      <c r="A313" s="81" t="s">
        <v>690</v>
      </c>
      <c r="B313" s="81" t="s">
        <v>930</v>
      </c>
      <c r="C313" s="81" t="s">
        <v>456</v>
      </c>
      <c r="D313" s="81" t="s">
        <v>260</v>
      </c>
      <c r="E313" s="81" t="s">
        <v>632</v>
      </c>
      <c r="F313" s="81" t="s">
        <v>1014</v>
      </c>
      <c r="G313" s="81">
        <v>1</v>
      </c>
      <c r="H313" s="81" t="s">
        <v>1025</v>
      </c>
      <c r="I313" s="79"/>
      <c r="J313" s="79"/>
      <c r="K313" s="79"/>
      <c r="L313" s="79"/>
    </row>
    <row r="314" ht="26" spans="1:12">
      <c r="A314" s="81" t="s">
        <v>691</v>
      </c>
      <c r="B314" s="81" t="s">
        <v>932</v>
      </c>
      <c r="C314" s="81" t="s">
        <v>138</v>
      </c>
      <c r="D314" s="81"/>
      <c r="E314" s="81" t="s">
        <v>632</v>
      </c>
      <c r="F314" s="81" t="s">
        <v>1002</v>
      </c>
      <c r="G314" s="81">
        <v>3</v>
      </c>
      <c r="H314" s="81" t="s">
        <v>1025</v>
      </c>
      <c r="I314" s="79"/>
      <c r="J314" s="79"/>
      <c r="K314" s="79"/>
      <c r="L314" s="79"/>
    </row>
    <row r="315" ht="26" spans="1:12">
      <c r="A315" s="81" t="s">
        <v>696</v>
      </c>
      <c r="B315" s="81" t="s">
        <v>933</v>
      </c>
      <c r="C315" s="81" t="s">
        <v>138</v>
      </c>
      <c r="D315" s="81"/>
      <c r="E315" s="81" t="s">
        <v>117</v>
      </c>
      <c r="F315" s="81" t="s">
        <v>1002</v>
      </c>
      <c r="G315" s="81">
        <v>3</v>
      </c>
      <c r="H315" s="81" t="s">
        <v>1025</v>
      </c>
      <c r="I315" s="79"/>
      <c r="J315" s="79"/>
      <c r="K315" s="79"/>
      <c r="L315" s="79"/>
    </row>
    <row r="316" ht="26" spans="1:12">
      <c r="A316" s="81" t="s">
        <v>700</v>
      </c>
      <c r="B316" s="81" t="s">
        <v>934</v>
      </c>
      <c r="C316" s="81" t="s">
        <v>138</v>
      </c>
      <c r="D316" s="81"/>
      <c r="E316" s="81" t="s">
        <v>117</v>
      </c>
      <c r="F316" s="81" t="s">
        <v>1002</v>
      </c>
      <c r="G316" s="81">
        <v>3</v>
      </c>
      <c r="H316" s="81" t="s">
        <v>1025</v>
      </c>
      <c r="I316" s="79"/>
      <c r="J316" s="79"/>
      <c r="K316" s="79"/>
      <c r="L316" s="79"/>
    </row>
    <row r="317" ht="26" spans="1:12">
      <c r="A317" s="81" t="s">
        <v>701</v>
      </c>
      <c r="B317" s="81" t="s">
        <v>933</v>
      </c>
      <c r="C317" s="81" t="s">
        <v>138</v>
      </c>
      <c r="D317" s="81"/>
      <c r="E317" s="81" t="s">
        <v>117</v>
      </c>
      <c r="F317" s="81" t="s">
        <v>1002</v>
      </c>
      <c r="G317" s="81">
        <v>3</v>
      </c>
      <c r="H317" s="81" t="s">
        <v>1025</v>
      </c>
      <c r="I317" s="79"/>
      <c r="J317" s="79"/>
      <c r="K317" s="79"/>
      <c r="L317" s="79"/>
    </row>
    <row r="318" ht="26" spans="1:12">
      <c r="A318" s="81" t="s">
        <v>702</v>
      </c>
      <c r="B318" s="81" t="s">
        <v>934</v>
      </c>
      <c r="C318" s="81" t="s">
        <v>138</v>
      </c>
      <c r="D318" s="81"/>
      <c r="E318" s="81" t="s">
        <v>117</v>
      </c>
      <c r="F318" s="81" t="s">
        <v>1002</v>
      </c>
      <c r="G318" s="81">
        <v>3</v>
      </c>
      <c r="H318" s="81" t="s">
        <v>1025</v>
      </c>
      <c r="I318" s="79"/>
      <c r="J318" s="79"/>
      <c r="K318" s="79"/>
      <c r="L318" s="79"/>
    </row>
    <row r="319" ht="26" spans="1:12">
      <c r="A319" s="81" t="s">
        <v>703</v>
      </c>
      <c r="B319" s="81" t="s">
        <v>934</v>
      </c>
      <c r="C319" s="81" t="s">
        <v>138</v>
      </c>
      <c r="D319" s="81"/>
      <c r="E319" s="81" t="s">
        <v>117</v>
      </c>
      <c r="F319" s="81" t="s">
        <v>1002</v>
      </c>
      <c r="G319" s="81">
        <v>3</v>
      </c>
      <c r="H319" s="81" t="s">
        <v>1025</v>
      </c>
      <c r="I319" s="79"/>
      <c r="J319" s="79"/>
      <c r="K319" s="79"/>
      <c r="L319" s="79"/>
    </row>
    <row r="320" ht="26" spans="1:12">
      <c r="A320" s="81" t="s">
        <v>704</v>
      </c>
      <c r="B320" s="81" t="s">
        <v>934</v>
      </c>
      <c r="C320" s="81" t="s">
        <v>138</v>
      </c>
      <c r="D320" s="81"/>
      <c r="E320" s="81" t="s">
        <v>117</v>
      </c>
      <c r="F320" s="81" t="s">
        <v>1002</v>
      </c>
      <c r="G320" s="81">
        <v>3</v>
      </c>
      <c r="H320" s="81" t="s">
        <v>1025</v>
      </c>
      <c r="I320" s="79"/>
      <c r="J320" s="79"/>
      <c r="K320" s="79"/>
      <c r="L320" s="79"/>
    </row>
    <row r="321" ht="26" spans="1:12">
      <c r="A321" s="81" t="s">
        <v>705</v>
      </c>
      <c r="B321" s="81" t="s">
        <v>934</v>
      </c>
      <c r="C321" s="81" t="s">
        <v>138</v>
      </c>
      <c r="D321" s="81"/>
      <c r="E321" s="81" t="s">
        <v>117</v>
      </c>
      <c r="F321" s="81" t="s">
        <v>1002</v>
      </c>
      <c r="G321" s="81">
        <v>3</v>
      </c>
      <c r="H321" s="81" t="s">
        <v>1025</v>
      </c>
      <c r="I321" s="79"/>
      <c r="J321" s="79"/>
      <c r="K321" s="79"/>
      <c r="L321" s="79"/>
    </row>
    <row r="322" ht="26" spans="1:12">
      <c r="A322" s="81" t="s">
        <v>706</v>
      </c>
      <c r="B322" s="81" t="s">
        <v>934</v>
      </c>
      <c r="C322" s="81" t="s">
        <v>138</v>
      </c>
      <c r="D322" s="81"/>
      <c r="E322" s="81" t="s">
        <v>117</v>
      </c>
      <c r="F322" s="81" t="s">
        <v>1002</v>
      </c>
      <c r="G322" s="81">
        <v>3</v>
      </c>
      <c r="H322" s="81" t="s">
        <v>1025</v>
      </c>
      <c r="I322" s="79"/>
      <c r="J322" s="79"/>
      <c r="K322" s="79"/>
      <c r="L322" s="79"/>
    </row>
    <row r="323" ht="26" spans="1:12">
      <c r="A323" s="81" t="s">
        <v>708</v>
      </c>
      <c r="B323" s="81" t="s">
        <v>934</v>
      </c>
      <c r="C323" s="81" t="s">
        <v>138</v>
      </c>
      <c r="D323" s="81"/>
      <c r="E323" s="81" t="s">
        <v>117</v>
      </c>
      <c r="F323" s="81" t="s">
        <v>1002</v>
      </c>
      <c r="G323" s="81">
        <v>3</v>
      </c>
      <c r="H323" s="81" t="s">
        <v>1025</v>
      </c>
      <c r="I323" s="79"/>
      <c r="J323" s="79"/>
      <c r="K323" s="79"/>
      <c r="L323" s="79"/>
    </row>
    <row r="324" ht="26" spans="1:12">
      <c r="A324" s="81" t="s">
        <v>709</v>
      </c>
      <c r="B324" s="81" t="s">
        <v>934</v>
      </c>
      <c r="C324" s="81" t="s">
        <v>138</v>
      </c>
      <c r="D324" s="81"/>
      <c r="E324" s="81" t="s">
        <v>117</v>
      </c>
      <c r="F324" s="81" t="s">
        <v>1002</v>
      </c>
      <c r="G324" s="81">
        <v>3</v>
      </c>
      <c r="H324" s="81" t="s">
        <v>1025</v>
      </c>
      <c r="I324" s="79"/>
      <c r="J324" s="79"/>
      <c r="K324" s="79"/>
      <c r="L324" s="79"/>
    </row>
    <row r="325" ht="26" spans="1:12">
      <c r="A325" s="81" t="s">
        <v>710</v>
      </c>
      <c r="B325" s="81" t="s">
        <v>935</v>
      </c>
      <c r="C325" s="81" t="s">
        <v>138</v>
      </c>
      <c r="D325" s="81"/>
      <c r="E325" s="81" t="s">
        <v>366</v>
      </c>
      <c r="F325" s="81" t="s">
        <v>1002</v>
      </c>
      <c r="G325" s="81">
        <v>2</v>
      </c>
      <c r="H325" s="81" t="s">
        <v>1025</v>
      </c>
      <c r="I325" s="79"/>
      <c r="J325" s="79"/>
      <c r="K325" s="79"/>
      <c r="L325" s="79"/>
    </row>
    <row r="326" ht="26" spans="1:12">
      <c r="A326" s="81" t="s">
        <v>714</v>
      </c>
      <c r="B326" s="81" t="s">
        <v>936</v>
      </c>
      <c r="C326" s="81" t="s">
        <v>138</v>
      </c>
      <c r="D326" s="81"/>
      <c r="E326" s="81" t="s">
        <v>366</v>
      </c>
      <c r="F326" s="81" t="s">
        <v>1002</v>
      </c>
      <c r="G326" s="81">
        <v>2</v>
      </c>
      <c r="H326" s="81" t="s">
        <v>1025</v>
      </c>
      <c r="I326" s="79"/>
      <c r="J326" s="79"/>
      <c r="K326" s="79"/>
      <c r="L326" s="79"/>
    </row>
    <row r="327" ht="26" spans="1:12">
      <c r="A327" s="81" t="s">
        <v>715</v>
      </c>
      <c r="B327" s="81" t="s">
        <v>936</v>
      </c>
      <c r="C327" s="81" t="s">
        <v>138</v>
      </c>
      <c r="D327" s="81"/>
      <c r="E327" s="81" t="s">
        <v>366</v>
      </c>
      <c r="F327" s="81" t="s">
        <v>1002</v>
      </c>
      <c r="G327" s="81">
        <v>2</v>
      </c>
      <c r="H327" s="81" t="s">
        <v>1025</v>
      </c>
      <c r="I327" s="79"/>
      <c r="J327" s="79"/>
      <c r="K327" s="79"/>
      <c r="L327" s="79"/>
    </row>
    <row r="328" ht="26" spans="1:12">
      <c r="A328" s="81" t="s">
        <v>716</v>
      </c>
      <c r="B328" s="81" t="s">
        <v>936</v>
      </c>
      <c r="C328" s="81" t="s">
        <v>138</v>
      </c>
      <c r="D328" s="81"/>
      <c r="E328" s="81" t="s">
        <v>366</v>
      </c>
      <c r="F328" s="81" t="s">
        <v>1002</v>
      </c>
      <c r="G328" s="81">
        <v>2</v>
      </c>
      <c r="H328" s="81" t="s">
        <v>1025</v>
      </c>
      <c r="I328" s="79"/>
      <c r="J328" s="79"/>
      <c r="K328" s="79"/>
      <c r="L328" s="79"/>
    </row>
    <row r="329" ht="26" spans="1:12">
      <c r="A329" s="81" t="s">
        <v>717</v>
      </c>
      <c r="B329" s="81" t="s">
        <v>936</v>
      </c>
      <c r="C329" s="81" t="s">
        <v>138</v>
      </c>
      <c r="D329" s="81"/>
      <c r="E329" s="81" t="s">
        <v>366</v>
      </c>
      <c r="F329" s="81" t="s">
        <v>1002</v>
      </c>
      <c r="G329" s="81">
        <v>2</v>
      </c>
      <c r="H329" s="81" t="s">
        <v>1025</v>
      </c>
      <c r="I329" s="79"/>
      <c r="J329" s="79"/>
      <c r="K329" s="79"/>
      <c r="L329" s="79"/>
    </row>
    <row r="330" ht="26" spans="1:12">
      <c r="A330" s="81" t="s">
        <v>718</v>
      </c>
      <c r="B330" s="81" t="s">
        <v>936</v>
      </c>
      <c r="C330" s="81" t="s">
        <v>138</v>
      </c>
      <c r="D330" s="81"/>
      <c r="E330" s="81" t="s">
        <v>366</v>
      </c>
      <c r="F330" s="81" t="s">
        <v>1002</v>
      </c>
      <c r="G330" s="81">
        <v>2</v>
      </c>
      <c r="H330" s="81" t="s">
        <v>1025</v>
      </c>
      <c r="I330" s="79"/>
      <c r="J330" s="79"/>
      <c r="K330" s="79"/>
      <c r="L330" s="79"/>
    </row>
    <row r="331" ht="26" spans="1:12">
      <c r="A331" s="81" t="s">
        <v>719</v>
      </c>
      <c r="B331" s="81" t="s">
        <v>936</v>
      </c>
      <c r="C331" s="81" t="s">
        <v>138</v>
      </c>
      <c r="D331" s="81"/>
      <c r="E331" s="81" t="s">
        <v>366</v>
      </c>
      <c r="F331" s="81" t="s">
        <v>1002</v>
      </c>
      <c r="G331" s="81">
        <v>2</v>
      </c>
      <c r="H331" s="81" t="s">
        <v>1025</v>
      </c>
      <c r="I331" s="79"/>
      <c r="J331" s="79"/>
      <c r="K331" s="79"/>
      <c r="L331" s="79"/>
    </row>
    <row r="332" ht="26" spans="1:12">
      <c r="A332" s="81" t="s">
        <v>720</v>
      </c>
      <c r="B332" s="81" t="s">
        <v>936</v>
      </c>
      <c r="C332" s="81" t="s">
        <v>138</v>
      </c>
      <c r="D332" s="81"/>
      <c r="E332" s="81" t="s">
        <v>366</v>
      </c>
      <c r="F332" s="81" t="s">
        <v>1002</v>
      </c>
      <c r="G332" s="81">
        <v>2</v>
      </c>
      <c r="H332" s="81" t="s">
        <v>1025</v>
      </c>
      <c r="I332" s="79"/>
      <c r="J332" s="79"/>
      <c r="K332" s="79"/>
      <c r="L332" s="79"/>
    </row>
    <row r="333" ht="26" spans="1:12">
      <c r="A333" s="81" t="s">
        <v>721</v>
      </c>
      <c r="B333" s="81" t="s">
        <v>936</v>
      </c>
      <c r="C333" s="81" t="s">
        <v>138</v>
      </c>
      <c r="D333" s="81"/>
      <c r="E333" s="81" t="s">
        <v>366</v>
      </c>
      <c r="F333" s="81" t="s">
        <v>1002</v>
      </c>
      <c r="G333" s="81">
        <v>2</v>
      </c>
      <c r="H333" s="81" t="s">
        <v>1025</v>
      </c>
      <c r="I333" s="79"/>
      <c r="J333" s="79"/>
      <c r="K333" s="79"/>
      <c r="L333" s="79"/>
    </row>
    <row r="334" ht="26" spans="1:12">
      <c r="A334" s="81" t="s">
        <v>722</v>
      </c>
      <c r="B334" s="81" t="s">
        <v>936</v>
      </c>
      <c r="C334" s="81" t="s">
        <v>138</v>
      </c>
      <c r="D334" s="81"/>
      <c r="E334" s="81" t="s">
        <v>366</v>
      </c>
      <c r="F334" s="81" t="s">
        <v>1002</v>
      </c>
      <c r="G334" s="81">
        <v>2</v>
      </c>
      <c r="H334" s="81" t="s">
        <v>1025</v>
      </c>
      <c r="I334" s="79"/>
      <c r="J334" s="79"/>
      <c r="K334" s="79"/>
      <c r="L334" s="79"/>
    </row>
    <row r="335" ht="26" spans="1:12">
      <c r="A335" s="81" t="s">
        <v>723</v>
      </c>
      <c r="B335" s="81" t="s">
        <v>937</v>
      </c>
      <c r="C335" s="81" t="s">
        <v>138</v>
      </c>
      <c r="D335" s="81"/>
      <c r="E335" s="81" t="s">
        <v>117</v>
      </c>
      <c r="F335" s="81" t="s">
        <v>1002</v>
      </c>
      <c r="G335" s="81">
        <v>2</v>
      </c>
      <c r="H335" s="81" t="s">
        <v>1025</v>
      </c>
      <c r="I335" s="79"/>
      <c r="J335" s="79"/>
      <c r="K335" s="79"/>
      <c r="L335" s="79"/>
    </row>
    <row r="336" ht="26" spans="1:12">
      <c r="A336" s="81" t="s">
        <v>727</v>
      </c>
      <c r="B336" s="81" t="s">
        <v>937</v>
      </c>
      <c r="C336" s="81" t="s">
        <v>138</v>
      </c>
      <c r="D336" s="81"/>
      <c r="E336" s="81" t="s">
        <v>117</v>
      </c>
      <c r="F336" s="81" t="s">
        <v>1002</v>
      </c>
      <c r="G336" s="81">
        <v>2</v>
      </c>
      <c r="H336" s="81" t="s">
        <v>1025</v>
      </c>
      <c r="I336" s="79"/>
      <c r="J336" s="79"/>
      <c r="K336" s="79"/>
      <c r="L336" s="79"/>
    </row>
    <row r="337" ht="26" spans="1:12">
      <c r="A337" s="81" t="s">
        <v>728</v>
      </c>
      <c r="B337" s="81" t="s">
        <v>937</v>
      </c>
      <c r="C337" s="81" t="s">
        <v>138</v>
      </c>
      <c r="D337" s="81"/>
      <c r="E337" s="81" t="s">
        <v>117</v>
      </c>
      <c r="F337" s="81" t="s">
        <v>1002</v>
      </c>
      <c r="G337" s="81">
        <v>2</v>
      </c>
      <c r="H337" s="81" t="s">
        <v>1025</v>
      </c>
      <c r="I337" s="79"/>
      <c r="J337" s="79"/>
      <c r="K337" s="79"/>
      <c r="L337" s="79"/>
    </row>
    <row r="338" ht="26" spans="1:12">
      <c r="A338" s="81" t="s">
        <v>729</v>
      </c>
      <c r="B338" s="81" t="s">
        <v>938</v>
      </c>
      <c r="C338" s="81" t="s">
        <v>138</v>
      </c>
      <c r="D338" s="81"/>
      <c r="E338" s="81" t="s">
        <v>117</v>
      </c>
      <c r="F338" s="81" t="s">
        <v>1002</v>
      </c>
      <c r="G338" s="81">
        <v>2</v>
      </c>
      <c r="H338" s="81" t="s">
        <v>1025</v>
      </c>
      <c r="I338" s="79"/>
      <c r="J338" s="79"/>
      <c r="K338" s="79"/>
      <c r="L338" s="79"/>
    </row>
    <row r="339" ht="26" spans="1:12">
      <c r="A339" s="81" t="s">
        <v>732</v>
      </c>
      <c r="B339" s="81" t="s">
        <v>938</v>
      </c>
      <c r="C339" s="81" t="s">
        <v>138</v>
      </c>
      <c r="D339" s="81"/>
      <c r="E339" s="81" t="s">
        <v>117</v>
      </c>
      <c r="F339" s="81" t="s">
        <v>1002</v>
      </c>
      <c r="G339" s="81">
        <v>2</v>
      </c>
      <c r="H339" s="81" t="s">
        <v>1025</v>
      </c>
      <c r="I339" s="79"/>
      <c r="J339" s="79"/>
      <c r="K339" s="79"/>
      <c r="L339" s="79"/>
    </row>
    <row r="340" ht="26" spans="1:12">
      <c r="A340" s="81" t="s">
        <v>733</v>
      </c>
      <c r="B340" s="81" t="s">
        <v>938</v>
      </c>
      <c r="C340" s="81" t="s">
        <v>138</v>
      </c>
      <c r="D340" s="81"/>
      <c r="E340" s="81" t="s">
        <v>117</v>
      </c>
      <c r="F340" s="81" t="s">
        <v>1002</v>
      </c>
      <c r="G340" s="81">
        <v>2</v>
      </c>
      <c r="H340" s="81" t="s">
        <v>1025</v>
      </c>
      <c r="I340" s="79"/>
      <c r="J340" s="79"/>
      <c r="K340" s="79"/>
      <c r="L340" s="79"/>
    </row>
    <row r="341" ht="26" spans="1:12">
      <c r="A341" s="81" t="s">
        <v>734</v>
      </c>
      <c r="B341" s="81" t="s">
        <v>939</v>
      </c>
      <c r="C341" s="81" t="s">
        <v>522</v>
      </c>
      <c r="D341" s="81" t="s">
        <v>260</v>
      </c>
      <c r="E341" s="81" t="s">
        <v>117</v>
      </c>
      <c r="F341" s="81" t="s">
        <v>1014</v>
      </c>
      <c r="G341" s="81">
        <v>1</v>
      </c>
      <c r="H341" s="81" t="s">
        <v>1025</v>
      </c>
      <c r="I341" s="79"/>
      <c r="J341" s="79"/>
      <c r="K341" s="79"/>
      <c r="L341" s="79"/>
    </row>
    <row r="342" ht="26" spans="1:12">
      <c r="A342" s="81" t="s">
        <v>735</v>
      </c>
      <c r="B342" s="81" t="s">
        <v>929</v>
      </c>
      <c r="C342" s="81" t="s">
        <v>456</v>
      </c>
      <c r="D342" s="81" t="s">
        <v>260</v>
      </c>
      <c r="E342" s="81" t="s">
        <v>632</v>
      </c>
      <c r="F342" s="81" t="s">
        <v>1014</v>
      </c>
      <c r="G342" s="81">
        <v>1</v>
      </c>
      <c r="H342" s="81" t="s">
        <v>1025</v>
      </c>
      <c r="I342" s="79"/>
      <c r="J342" s="79"/>
      <c r="K342" s="79"/>
      <c r="L342" s="79"/>
    </row>
    <row r="343" ht="26" spans="1:12">
      <c r="A343" s="81" t="s">
        <v>737</v>
      </c>
      <c r="B343" s="81" t="s">
        <v>929</v>
      </c>
      <c r="C343" s="81" t="s">
        <v>456</v>
      </c>
      <c r="D343" s="81" t="s">
        <v>260</v>
      </c>
      <c r="E343" s="81" t="s">
        <v>632</v>
      </c>
      <c r="F343" s="81" t="s">
        <v>1014</v>
      </c>
      <c r="G343" s="81">
        <v>1</v>
      </c>
      <c r="H343" s="81" t="s">
        <v>1025</v>
      </c>
      <c r="I343" s="79"/>
      <c r="J343" s="79"/>
      <c r="K343" s="79"/>
      <c r="L343" s="79"/>
    </row>
    <row r="344" ht="26" spans="1:12">
      <c r="A344" s="81" t="s">
        <v>738</v>
      </c>
      <c r="B344" s="81" t="s">
        <v>929</v>
      </c>
      <c r="C344" s="81" t="s">
        <v>456</v>
      </c>
      <c r="D344" s="81" t="s">
        <v>260</v>
      </c>
      <c r="E344" s="81" t="s">
        <v>632</v>
      </c>
      <c r="F344" s="81" t="s">
        <v>1014</v>
      </c>
      <c r="G344" s="81">
        <v>1</v>
      </c>
      <c r="H344" s="81" t="s">
        <v>1025</v>
      </c>
      <c r="I344" s="79"/>
      <c r="J344" s="79"/>
      <c r="K344" s="79"/>
      <c r="L344" s="79"/>
    </row>
    <row r="345" ht="26" spans="1:12">
      <c r="A345" s="81" t="s">
        <v>739</v>
      </c>
      <c r="B345" s="81" t="s">
        <v>930</v>
      </c>
      <c r="C345" s="81" t="s">
        <v>456</v>
      </c>
      <c r="D345" s="81" t="s">
        <v>260</v>
      </c>
      <c r="E345" s="81" t="s">
        <v>632</v>
      </c>
      <c r="F345" s="81" t="s">
        <v>1014</v>
      </c>
      <c r="G345" s="81">
        <v>1</v>
      </c>
      <c r="H345" s="81" t="s">
        <v>1025</v>
      </c>
      <c r="I345" s="79"/>
      <c r="J345" s="79"/>
      <c r="K345" s="79"/>
      <c r="L345" s="79"/>
    </row>
    <row r="346" ht="26" spans="1:12">
      <c r="A346" s="81" t="s">
        <v>740</v>
      </c>
      <c r="B346" s="81" t="s">
        <v>940</v>
      </c>
      <c r="C346" s="81" t="s">
        <v>138</v>
      </c>
      <c r="D346" s="81"/>
      <c r="E346" s="81" t="s">
        <v>632</v>
      </c>
      <c r="F346" s="81" t="s">
        <v>1002</v>
      </c>
      <c r="G346" s="81">
        <v>2</v>
      </c>
      <c r="H346" s="81" t="s">
        <v>1025</v>
      </c>
      <c r="I346" s="79"/>
      <c r="J346" s="79"/>
      <c r="K346" s="79"/>
      <c r="L346" s="79"/>
    </row>
    <row r="347" ht="26" spans="1:12">
      <c r="A347" s="81" t="s">
        <v>741</v>
      </c>
      <c r="B347" s="81" t="s">
        <v>941</v>
      </c>
      <c r="C347" s="81" t="s">
        <v>138</v>
      </c>
      <c r="D347" s="81"/>
      <c r="E347" s="81" t="s">
        <v>632</v>
      </c>
      <c r="F347" s="81" t="s">
        <v>1002</v>
      </c>
      <c r="G347" s="81">
        <v>2</v>
      </c>
      <c r="H347" s="81" t="s">
        <v>1025</v>
      </c>
      <c r="I347" s="79"/>
      <c r="J347" s="79"/>
      <c r="K347" s="79"/>
      <c r="L347" s="79"/>
    </row>
    <row r="348" ht="26" spans="1:12">
      <c r="A348" s="81" t="s">
        <v>742</v>
      </c>
      <c r="B348" s="81" t="s">
        <v>905</v>
      </c>
      <c r="C348" s="81" t="s">
        <v>368</v>
      </c>
      <c r="D348" s="81" t="s">
        <v>340</v>
      </c>
      <c r="E348" s="81" t="s">
        <v>138</v>
      </c>
      <c r="F348" s="81" t="s">
        <v>1007</v>
      </c>
      <c r="G348" s="81">
        <v>2</v>
      </c>
      <c r="H348" s="81" t="s">
        <v>1025</v>
      </c>
      <c r="I348" s="79"/>
      <c r="J348" s="79"/>
      <c r="K348" s="79"/>
      <c r="L348" s="79"/>
    </row>
    <row r="349" ht="26" spans="1:12">
      <c r="A349" s="81" t="s">
        <v>743</v>
      </c>
      <c r="B349" s="81" t="s">
        <v>942</v>
      </c>
      <c r="C349" s="81" t="s">
        <v>138</v>
      </c>
      <c r="D349" s="81" t="s">
        <v>138</v>
      </c>
      <c r="E349" s="81" t="s">
        <v>746</v>
      </c>
      <c r="F349" s="81" t="s">
        <v>1002</v>
      </c>
      <c r="G349" s="81">
        <v>3</v>
      </c>
      <c r="H349" s="81" t="s">
        <v>1025</v>
      </c>
      <c r="I349" s="79"/>
      <c r="J349" s="79"/>
      <c r="K349" s="79"/>
      <c r="L349" s="79"/>
    </row>
    <row r="350" ht="26" spans="1:12">
      <c r="A350" s="81" t="s">
        <v>747</v>
      </c>
      <c r="B350" s="81" t="s">
        <v>943</v>
      </c>
      <c r="C350" s="81" t="s">
        <v>138</v>
      </c>
      <c r="D350" s="81" t="s">
        <v>138</v>
      </c>
      <c r="E350" s="81" t="s">
        <v>138</v>
      </c>
      <c r="F350" s="81" t="s">
        <v>1002</v>
      </c>
      <c r="G350" s="81">
        <v>2</v>
      </c>
      <c r="H350" s="81" t="s">
        <v>1025</v>
      </c>
      <c r="I350" s="79"/>
      <c r="J350" s="79"/>
      <c r="K350" s="79"/>
      <c r="L350" s="79"/>
    </row>
    <row r="351" ht="26" spans="1:12">
      <c r="A351" s="81" t="s">
        <v>749</v>
      </c>
      <c r="B351" s="81" t="s">
        <v>943</v>
      </c>
      <c r="C351" s="81" t="s">
        <v>138</v>
      </c>
      <c r="D351" s="81" t="s">
        <v>138</v>
      </c>
      <c r="E351" s="81" t="s">
        <v>138</v>
      </c>
      <c r="F351" s="81" t="s">
        <v>1002</v>
      </c>
      <c r="G351" s="81">
        <v>2</v>
      </c>
      <c r="H351" s="81" t="s">
        <v>1025</v>
      </c>
      <c r="I351" s="79"/>
      <c r="J351" s="79"/>
      <c r="K351" s="79"/>
      <c r="L351" s="79"/>
    </row>
    <row r="352" ht="26" spans="1:12">
      <c r="A352" s="81" t="s">
        <v>750</v>
      </c>
      <c r="B352" s="81" t="s">
        <v>943</v>
      </c>
      <c r="C352" s="81" t="s">
        <v>138</v>
      </c>
      <c r="D352" s="81" t="s">
        <v>138</v>
      </c>
      <c r="E352" s="81" t="s">
        <v>138</v>
      </c>
      <c r="F352" s="81" t="s">
        <v>1002</v>
      </c>
      <c r="G352" s="81">
        <v>2</v>
      </c>
      <c r="H352" s="81" t="s">
        <v>1025</v>
      </c>
      <c r="I352" s="79"/>
      <c r="J352" s="79"/>
      <c r="K352" s="79"/>
      <c r="L352" s="79"/>
    </row>
    <row r="353" ht="26" spans="1:12">
      <c r="A353" s="81" t="s">
        <v>751</v>
      </c>
      <c r="B353" s="81" t="s">
        <v>942</v>
      </c>
      <c r="C353" s="81" t="s">
        <v>138</v>
      </c>
      <c r="D353" s="81" t="s">
        <v>138</v>
      </c>
      <c r="E353" s="81" t="s">
        <v>746</v>
      </c>
      <c r="F353" s="81" t="s">
        <v>1002</v>
      </c>
      <c r="G353" s="81">
        <v>3</v>
      </c>
      <c r="H353" s="81" t="s">
        <v>1025</v>
      </c>
      <c r="I353" s="79"/>
      <c r="J353" s="79"/>
      <c r="K353" s="79"/>
      <c r="L353" s="79"/>
    </row>
    <row r="354" ht="26" spans="1:12">
      <c r="A354" s="81" t="s">
        <v>753</v>
      </c>
      <c r="B354" s="81" t="s">
        <v>944</v>
      </c>
      <c r="C354" s="81" t="s">
        <v>138</v>
      </c>
      <c r="D354" s="81" t="s">
        <v>138</v>
      </c>
      <c r="E354" s="81" t="s">
        <v>366</v>
      </c>
      <c r="F354" s="81" t="s">
        <v>1002</v>
      </c>
      <c r="G354" s="81">
        <v>3</v>
      </c>
      <c r="H354" s="81" t="s">
        <v>1025</v>
      </c>
      <c r="I354" s="79"/>
      <c r="J354" s="79"/>
      <c r="K354" s="79"/>
      <c r="L354" s="79"/>
    </row>
    <row r="355" ht="26" spans="1:12">
      <c r="A355" s="81" t="s">
        <v>757</v>
      </c>
      <c r="B355" s="81" t="s">
        <v>945</v>
      </c>
      <c r="C355" s="81" t="s">
        <v>138</v>
      </c>
      <c r="D355" s="81" t="s">
        <v>138</v>
      </c>
      <c r="E355" s="81" t="s">
        <v>138</v>
      </c>
      <c r="F355" s="81" t="s">
        <v>1002</v>
      </c>
      <c r="G355" s="81">
        <v>2</v>
      </c>
      <c r="H355" s="81" t="s">
        <v>1025</v>
      </c>
      <c r="I355" s="79"/>
      <c r="J355" s="79"/>
      <c r="K355" s="79"/>
      <c r="L355" s="79"/>
    </row>
    <row r="356" ht="26" spans="1:12">
      <c r="A356" s="81" t="s">
        <v>759</v>
      </c>
      <c r="B356" s="81" t="s">
        <v>946</v>
      </c>
      <c r="C356" s="81" t="s">
        <v>138</v>
      </c>
      <c r="D356" s="81" t="s">
        <v>138</v>
      </c>
      <c r="E356" s="81" t="s">
        <v>366</v>
      </c>
      <c r="F356" s="81" t="s">
        <v>1002</v>
      </c>
      <c r="G356" s="81">
        <v>3</v>
      </c>
      <c r="H356" s="81" t="s">
        <v>1025</v>
      </c>
      <c r="I356" s="79"/>
      <c r="J356" s="79"/>
      <c r="K356" s="79"/>
      <c r="L356" s="79"/>
    </row>
    <row r="357" ht="26" spans="1:12">
      <c r="A357" s="81" t="s">
        <v>761</v>
      </c>
      <c r="B357" s="81" t="s">
        <v>947</v>
      </c>
      <c r="C357" s="81" t="s">
        <v>138</v>
      </c>
      <c r="D357" s="81" t="s">
        <v>138</v>
      </c>
      <c r="E357" s="81" t="s">
        <v>138</v>
      </c>
      <c r="F357" s="81" t="s">
        <v>1002</v>
      </c>
      <c r="G357" s="81">
        <v>2</v>
      </c>
      <c r="H357" s="81" t="s">
        <v>1025</v>
      </c>
      <c r="I357" s="79"/>
      <c r="J357" s="79"/>
      <c r="K357" s="79"/>
      <c r="L357" s="79"/>
    </row>
    <row r="358" ht="26" spans="1:12">
      <c r="A358" s="81" t="s">
        <v>763</v>
      </c>
      <c r="B358" s="81" t="s">
        <v>948</v>
      </c>
      <c r="C358" s="81" t="s">
        <v>138</v>
      </c>
      <c r="D358" s="81" t="s">
        <v>138</v>
      </c>
      <c r="E358" s="81" t="s">
        <v>366</v>
      </c>
      <c r="F358" s="81" t="s">
        <v>1002</v>
      </c>
      <c r="G358" s="81">
        <v>3</v>
      </c>
      <c r="H358" s="81" t="s">
        <v>1025</v>
      </c>
      <c r="I358" s="79"/>
      <c r="J358" s="79"/>
      <c r="K358" s="79"/>
      <c r="L358" s="79"/>
    </row>
    <row r="359" ht="26" spans="1:12">
      <c r="A359" s="81" t="s">
        <v>765</v>
      </c>
      <c r="B359" s="81" t="s">
        <v>948</v>
      </c>
      <c r="C359" s="81" t="s">
        <v>138</v>
      </c>
      <c r="D359" s="81" t="s">
        <v>138</v>
      </c>
      <c r="E359" s="81" t="s">
        <v>138</v>
      </c>
      <c r="F359" s="81" t="s">
        <v>1002</v>
      </c>
      <c r="G359" s="81">
        <v>3</v>
      </c>
      <c r="H359" s="81" t="s">
        <v>1025</v>
      </c>
      <c r="I359" s="79"/>
      <c r="J359" s="79"/>
      <c r="K359" s="79"/>
      <c r="L359" s="79"/>
    </row>
    <row r="360" ht="26" spans="1:12">
      <c r="A360" s="81" t="s">
        <v>768</v>
      </c>
      <c r="B360" s="81" t="s">
        <v>948</v>
      </c>
      <c r="C360" s="81" t="s">
        <v>138</v>
      </c>
      <c r="D360" s="81" t="s">
        <v>138</v>
      </c>
      <c r="E360" s="81" t="s">
        <v>138</v>
      </c>
      <c r="F360" s="81" t="s">
        <v>1002</v>
      </c>
      <c r="G360" s="81">
        <v>3</v>
      </c>
      <c r="H360" s="81" t="s">
        <v>1025</v>
      </c>
      <c r="I360" s="79"/>
      <c r="J360" s="79"/>
      <c r="K360" s="79"/>
      <c r="L360" s="79"/>
    </row>
    <row r="361" ht="26" spans="1:12">
      <c r="A361" s="81" t="s">
        <v>770</v>
      </c>
      <c r="B361" s="81" t="s">
        <v>947</v>
      </c>
      <c r="C361" s="81" t="s">
        <v>138</v>
      </c>
      <c r="D361" s="81" t="s">
        <v>138</v>
      </c>
      <c r="E361" s="81" t="s">
        <v>138</v>
      </c>
      <c r="F361" s="81" t="s">
        <v>1002</v>
      </c>
      <c r="G361" s="81">
        <v>2</v>
      </c>
      <c r="H361" s="81" t="s">
        <v>1025</v>
      </c>
      <c r="I361" s="79"/>
      <c r="J361" s="79"/>
      <c r="K361" s="79"/>
      <c r="L361" s="79"/>
    </row>
    <row r="362" ht="26" spans="1:12">
      <c r="A362" s="81" t="s">
        <v>772</v>
      </c>
      <c r="B362" s="81" t="s">
        <v>947</v>
      </c>
      <c r="C362" s="81" t="s">
        <v>138</v>
      </c>
      <c r="D362" s="81" t="s">
        <v>138</v>
      </c>
      <c r="E362" s="81" t="s">
        <v>138</v>
      </c>
      <c r="F362" s="81" t="s">
        <v>1002</v>
      </c>
      <c r="G362" s="81">
        <v>2</v>
      </c>
      <c r="H362" s="81" t="s">
        <v>1025</v>
      </c>
      <c r="I362" s="79"/>
      <c r="J362" s="79"/>
      <c r="K362" s="79"/>
      <c r="L362" s="79"/>
    </row>
    <row r="363" ht="26" spans="1:12">
      <c r="A363" s="81" t="s">
        <v>774</v>
      </c>
      <c r="B363" s="81" t="s">
        <v>949</v>
      </c>
      <c r="C363" s="81" t="s">
        <v>138</v>
      </c>
      <c r="D363" s="81" t="s">
        <v>138</v>
      </c>
      <c r="E363" s="81" t="s">
        <v>138</v>
      </c>
      <c r="F363" s="81" t="s">
        <v>1013</v>
      </c>
      <c r="G363" s="81">
        <v>2</v>
      </c>
      <c r="H363" s="81" t="s">
        <v>1025</v>
      </c>
      <c r="I363" s="79"/>
      <c r="J363" s="79"/>
      <c r="K363" s="79"/>
      <c r="L363" s="79"/>
    </row>
    <row r="364" ht="26" spans="1:12">
      <c r="A364" s="81" t="s">
        <v>777</v>
      </c>
      <c r="B364" s="81" t="s">
        <v>947</v>
      </c>
      <c r="C364" s="81" t="s">
        <v>138</v>
      </c>
      <c r="D364" s="81" t="s">
        <v>138</v>
      </c>
      <c r="E364" s="81" t="s">
        <v>138</v>
      </c>
      <c r="F364" s="81" t="s">
        <v>1002</v>
      </c>
      <c r="G364" s="81">
        <v>2</v>
      </c>
      <c r="H364" s="81" t="s">
        <v>1025</v>
      </c>
      <c r="I364" s="79"/>
      <c r="J364" s="79"/>
      <c r="K364" s="79"/>
      <c r="L364" s="79"/>
    </row>
    <row r="365" ht="26" spans="1:12">
      <c r="A365" s="81" t="s">
        <v>779</v>
      </c>
      <c r="B365" s="81" t="s">
        <v>950</v>
      </c>
      <c r="C365" s="81" t="s">
        <v>138</v>
      </c>
      <c r="D365" s="81" t="s">
        <v>138</v>
      </c>
      <c r="E365" s="81" t="s">
        <v>138</v>
      </c>
      <c r="F365" s="81" t="s">
        <v>1002</v>
      </c>
      <c r="G365" s="81">
        <v>3</v>
      </c>
      <c r="H365" s="81" t="s">
        <v>1025</v>
      </c>
      <c r="I365" s="79"/>
      <c r="J365" s="79"/>
      <c r="K365" s="79"/>
      <c r="L365" s="79"/>
    </row>
    <row r="366" ht="26" spans="1:12">
      <c r="A366" s="81" t="s">
        <v>781</v>
      </c>
      <c r="B366" s="81" t="s">
        <v>951</v>
      </c>
      <c r="C366" s="81" t="s">
        <v>138</v>
      </c>
      <c r="D366" s="81" t="s">
        <v>138</v>
      </c>
      <c r="E366" s="81" t="s">
        <v>117</v>
      </c>
      <c r="F366" s="81" t="s">
        <v>1013</v>
      </c>
      <c r="G366" s="81">
        <v>2</v>
      </c>
      <c r="H366" s="81" t="s">
        <v>1025</v>
      </c>
      <c r="I366" s="79"/>
      <c r="J366" s="79"/>
      <c r="K366" s="79"/>
      <c r="L366" s="79"/>
    </row>
    <row r="367" ht="26" spans="1:12">
      <c r="A367" s="81" t="s">
        <v>783</v>
      </c>
      <c r="B367" s="81" t="s">
        <v>952</v>
      </c>
      <c r="C367" s="81" t="s">
        <v>138</v>
      </c>
      <c r="D367" s="81" t="s">
        <v>138</v>
      </c>
      <c r="E367" s="81" t="s">
        <v>138</v>
      </c>
      <c r="F367" s="81" t="s">
        <v>1002</v>
      </c>
      <c r="G367" s="81">
        <v>2</v>
      </c>
      <c r="H367" s="81" t="s">
        <v>1025</v>
      </c>
      <c r="I367" s="79"/>
      <c r="J367" s="79"/>
      <c r="K367" s="79"/>
      <c r="L367" s="79"/>
    </row>
    <row r="368" ht="26" spans="1:12">
      <c r="A368" s="81" t="s">
        <v>784</v>
      </c>
      <c r="B368" s="81" t="s">
        <v>952</v>
      </c>
      <c r="C368" s="81" t="s">
        <v>138</v>
      </c>
      <c r="D368" s="81" t="s">
        <v>138</v>
      </c>
      <c r="E368" s="81" t="s">
        <v>138</v>
      </c>
      <c r="F368" s="81" t="s">
        <v>1002</v>
      </c>
      <c r="G368" s="81">
        <v>2</v>
      </c>
      <c r="H368" s="81" t="s">
        <v>1025</v>
      </c>
      <c r="I368" s="79"/>
      <c r="J368" s="79"/>
      <c r="K368" s="79"/>
      <c r="L368" s="79"/>
    </row>
    <row r="369" ht="26" spans="1:12">
      <c r="A369" s="81" t="s">
        <v>785</v>
      </c>
      <c r="B369" s="81" t="s">
        <v>952</v>
      </c>
      <c r="C369" s="81" t="s">
        <v>138</v>
      </c>
      <c r="D369" s="81" t="s">
        <v>138</v>
      </c>
      <c r="E369" s="81" t="s">
        <v>366</v>
      </c>
      <c r="F369" s="81" t="s">
        <v>1002</v>
      </c>
      <c r="G369" s="81">
        <v>2</v>
      </c>
      <c r="H369" s="81" t="s">
        <v>1025</v>
      </c>
      <c r="I369" s="79"/>
      <c r="J369" s="79"/>
      <c r="K369" s="79"/>
      <c r="L369" s="79"/>
    </row>
    <row r="370" ht="26" spans="1:12">
      <c r="A370" s="81" t="s">
        <v>788</v>
      </c>
      <c r="B370" s="81" t="s">
        <v>953</v>
      </c>
      <c r="C370" s="81" t="s">
        <v>138</v>
      </c>
      <c r="D370" s="81" t="s">
        <v>138</v>
      </c>
      <c r="E370" s="81" t="s">
        <v>366</v>
      </c>
      <c r="F370" s="81" t="s">
        <v>1002</v>
      </c>
      <c r="G370" s="81">
        <v>3</v>
      </c>
      <c r="H370" s="81" t="s">
        <v>1025</v>
      </c>
      <c r="I370" s="79"/>
      <c r="J370" s="79"/>
      <c r="K370" s="79"/>
      <c r="L370" s="79"/>
    </row>
    <row r="371" ht="26" spans="1:12">
      <c r="A371" s="81" t="s">
        <v>790</v>
      </c>
      <c r="B371" s="81" t="s">
        <v>952</v>
      </c>
      <c r="C371" s="81" t="s">
        <v>138</v>
      </c>
      <c r="D371" s="81" t="s">
        <v>138</v>
      </c>
      <c r="E371" s="81" t="s">
        <v>138</v>
      </c>
      <c r="F371" s="81" t="s">
        <v>1002</v>
      </c>
      <c r="G371" s="81">
        <v>2</v>
      </c>
      <c r="H371" s="81" t="s">
        <v>1025</v>
      </c>
      <c r="I371" s="79"/>
      <c r="J371" s="79"/>
      <c r="K371" s="79"/>
      <c r="L371" s="79"/>
    </row>
    <row r="372" ht="26" spans="1:12">
      <c r="A372" s="81" t="s">
        <v>791</v>
      </c>
      <c r="B372" s="81" t="s">
        <v>954</v>
      </c>
      <c r="C372" s="81" t="s">
        <v>138</v>
      </c>
      <c r="D372" s="81" t="s">
        <v>138</v>
      </c>
      <c r="E372" s="81" t="s">
        <v>366</v>
      </c>
      <c r="F372" s="81" t="s">
        <v>1013</v>
      </c>
      <c r="G372" s="81">
        <v>2</v>
      </c>
      <c r="H372" s="81" t="s">
        <v>1025</v>
      </c>
      <c r="I372" s="79"/>
      <c r="J372" s="79"/>
      <c r="K372" s="79"/>
      <c r="L372" s="79"/>
    </row>
    <row r="373" ht="26" spans="1:12">
      <c r="A373" s="81" t="s">
        <v>794</v>
      </c>
      <c r="B373" s="81" t="s">
        <v>952</v>
      </c>
      <c r="C373" s="81" t="s">
        <v>138</v>
      </c>
      <c r="D373" s="81" t="s">
        <v>138</v>
      </c>
      <c r="E373" s="81" t="s">
        <v>138</v>
      </c>
      <c r="F373" s="81" t="s">
        <v>1002</v>
      </c>
      <c r="G373" s="81">
        <v>2</v>
      </c>
      <c r="H373" s="81" t="s">
        <v>1025</v>
      </c>
      <c r="I373" s="79"/>
      <c r="J373" s="79"/>
      <c r="K373" s="79"/>
      <c r="L373" s="79"/>
    </row>
    <row r="374" ht="26" spans="1:12">
      <c r="A374" s="81" t="s">
        <v>795</v>
      </c>
      <c r="B374" s="81" t="s">
        <v>953</v>
      </c>
      <c r="C374" s="81" t="s">
        <v>138</v>
      </c>
      <c r="D374" s="81" t="s">
        <v>138</v>
      </c>
      <c r="E374" s="81" t="s">
        <v>366</v>
      </c>
      <c r="F374" s="81" t="s">
        <v>1002</v>
      </c>
      <c r="G374" s="81">
        <v>3</v>
      </c>
      <c r="H374" s="81" t="s">
        <v>1025</v>
      </c>
      <c r="I374" s="79"/>
      <c r="J374" s="79"/>
      <c r="K374" s="79"/>
      <c r="L374" s="79"/>
    </row>
    <row r="375" ht="26" spans="1:12">
      <c r="A375" s="81" t="s">
        <v>797</v>
      </c>
      <c r="B375" s="81" t="s">
        <v>952</v>
      </c>
      <c r="C375" s="81" t="s">
        <v>138</v>
      </c>
      <c r="D375" s="81" t="s">
        <v>138</v>
      </c>
      <c r="E375" s="81" t="s">
        <v>366</v>
      </c>
      <c r="F375" s="81" t="s">
        <v>1002</v>
      </c>
      <c r="G375" s="81">
        <v>2</v>
      </c>
      <c r="H375" s="81" t="s">
        <v>1025</v>
      </c>
      <c r="I375" s="79"/>
      <c r="J375" s="79"/>
      <c r="K375" s="79"/>
      <c r="L375" s="79"/>
    </row>
    <row r="376" ht="26" spans="1:12">
      <c r="A376" s="81" t="s">
        <v>799</v>
      </c>
      <c r="B376" s="81" t="s">
        <v>953</v>
      </c>
      <c r="C376" s="81" t="s">
        <v>138</v>
      </c>
      <c r="D376" s="81" t="s">
        <v>138</v>
      </c>
      <c r="E376" s="81" t="s">
        <v>366</v>
      </c>
      <c r="F376" s="81" t="s">
        <v>1002</v>
      </c>
      <c r="G376" s="81">
        <v>3</v>
      </c>
      <c r="H376" s="81" t="s">
        <v>1025</v>
      </c>
      <c r="I376" s="79"/>
      <c r="J376" s="79"/>
      <c r="K376" s="79"/>
      <c r="L376" s="79"/>
    </row>
    <row r="377" ht="26" spans="1:12">
      <c r="A377" s="81" t="s">
        <v>801</v>
      </c>
      <c r="B377" s="81" t="s">
        <v>955</v>
      </c>
      <c r="C377" s="81" t="s">
        <v>138</v>
      </c>
      <c r="D377" s="81" t="s">
        <v>138</v>
      </c>
      <c r="E377" s="81" t="s">
        <v>138</v>
      </c>
      <c r="F377" s="81" t="s">
        <v>1002</v>
      </c>
      <c r="G377" s="81">
        <v>2</v>
      </c>
      <c r="H377" s="81" t="s">
        <v>1025</v>
      </c>
      <c r="I377" s="79"/>
      <c r="J377" s="79"/>
      <c r="K377" s="79"/>
      <c r="L377" s="79"/>
    </row>
    <row r="378" ht="26" spans="1:12">
      <c r="A378" s="81" t="s">
        <v>803</v>
      </c>
      <c r="B378" s="81" t="s">
        <v>956</v>
      </c>
      <c r="C378" s="81" t="s">
        <v>138</v>
      </c>
      <c r="D378" s="81" t="s">
        <v>138</v>
      </c>
      <c r="E378" s="81" t="s">
        <v>805</v>
      </c>
      <c r="F378" s="81" t="s">
        <v>1013</v>
      </c>
      <c r="G378" s="81">
        <v>2</v>
      </c>
      <c r="H378" s="81" t="s">
        <v>1025</v>
      </c>
      <c r="I378" s="79"/>
      <c r="J378" s="79"/>
      <c r="K378" s="79"/>
      <c r="L378" s="79"/>
    </row>
    <row r="379" ht="26" spans="1:12">
      <c r="A379" s="81" t="s">
        <v>806</v>
      </c>
      <c r="B379" s="81" t="s">
        <v>957</v>
      </c>
      <c r="C379" s="81" t="s">
        <v>138</v>
      </c>
      <c r="D379" s="81" t="s">
        <v>138</v>
      </c>
      <c r="E379" s="81" t="s">
        <v>138</v>
      </c>
      <c r="F379" s="81" t="s">
        <v>1002</v>
      </c>
      <c r="G379" s="81">
        <v>2</v>
      </c>
      <c r="H379" s="81" t="s">
        <v>1025</v>
      </c>
      <c r="I379" s="79"/>
      <c r="J379" s="79"/>
      <c r="K379" s="79"/>
      <c r="L379" s="79"/>
    </row>
    <row r="380" ht="26" spans="1:12">
      <c r="A380" s="81" t="s">
        <v>807</v>
      </c>
      <c r="B380" s="81" t="s">
        <v>958</v>
      </c>
      <c r="C380" s="81" t="s">
        <v>138</v>
      </c>
      <c r="D380" s="81" t="s">
        <v>138</v>
      </c>
      <c r="E380" s="81" t="s">
        <v>805</v>
      </c>
      <c r="F380" s="81" t="s">
        <v>1013</v>
      </c>
      <c r="G380" s="81">
        <v>2</v>
      </c>
      <c r="H380" s="81" t="s">
        <v>1025</v>
      </c>
      <c r="I380" s="79"/>
      <c r="J380" s="79"/>
      <c r="K380" s="79"/>
      <c r="L380" s="79"/>
    </row>
    <row r="381" ht="26" spans="1:12">
      <c r="A381" s="81" t="s">
        <v>809</v>
      </c>
      <c r="B381" s="81" t="s">
        <v>959</v>
      </c>
      <c r="C381" s="81" t="s">
        <v>138</v>
      </c>
      <c r="D381" s="81" t="s">
        <v>138</v>
      </c>
      <c r="E381" s="81" t="s">
        <v>138</v>
      </c>
      <c r="F381" s="81" t="s">
        <v>1002</v>
      </c>
      <c r="G381" s="81">
        <v>2</v>
      </c>
      <c r="H381" s="81" t="s">
        <v>1025</v>
      </c>
      <c r="I381" s="79"/>
      <c r="J381" s="79"/>
      <c r="K381" s="79"/>
      <c r="L381" s="79"/>
    </row>
    <row r="382" ht="26" spans="1:12">
      <c r="A382" s="81" t="s">
        <v>811</v>
      </c>
      <c r="B382" s="81" t="s">
        <v>960</v>
      </c>
      <c r="C382" s="81" t="s">
        <v>138</v>
      </c>
      <c r="D382" s="81" t="s">
        <v>138</v>
      </c>
      <c r="E382" s="81" t="s">
        <v>813</v>
      </c>
      <c r="F382" s="81" t="s">
        <v>1002</v>
      </c>
      <c r="G382" s="81">
        <v>3</v>
      </c>
      <c r="H382" s="81" t="s">
        <v>1025</v>
      </c>
      <c r="I382" s="79"/>
      <c r="J382" s="79"/>
      <c r="K382" s="79"/>
      <c r="L382" s="79"/>
    </row>
    <row r="383" ht="26" spans="1:12">
      <c r="A383" s="81" t="s">
        <v>814</v>
      </c>
      <c r="B383" s="81" t="s">
        <v>955</v>
      </c>
      <c r="C383" s="81" t="s">
        <v>138</v>
      </c>
      <c r="D383" s="81" t="s">
        <v>138</v>
      </c>
      <c r="E383" s="81" t="s">
        <v>138</v>
      </c>
      <c r="F383" s="81" t="s">
        <v>1002</v>
      </c>
      <c r="G383" s="81">
        <v>2</v>
      </c>
      <c r="H383" s="81" t="s">
        <v>1025</v>
      </c>
      <c r="I383" s="79"/>
      <c r="J383" s="79"/>
      <c r="K383" s="79"/>
      <c r="L383" s="79"/>
    </row>
    <row r="384" ht="26" spans="1:12">
      <c r="A384" s="81" t="s">
        <v>815</v>
      </c>
      <c r="B384" s="81" t="s">
        <v>961</v>
      </c>
      <c r="C384" s="81" t="s">
        <v>138</v>
      </c>
      <c r="D384" s="81" t="s">
        <v>138</v>
      </c>
      <c r="E384" s="81" t="s">
        <v>805</v>
      </c>
      <c r="F384" s="81" t="s">
        <v>1013</v>
      </c>
      <c r="G384" s="81">
        <v>2</v>
      </c>
      <c r="H384" s="81" t="s">
        <v>1025</v>
      </c>
      <c r="I384" s="79"/>
      <c r="J384" s="79"/>
      <c r="K384" s="79"/>
      <c r="L384" s="79"/>
    </row>
    <row r="385" ht="26" spans="1:12">
      <c r="A385" s="81" t="s">
        <v>817</v>
      </c>
      <c r="B385" s="81" t="s">
        <v>962</v>
      </c>
      <c r="C385" s="81" t="s">
        <v>138</v>
      </c>
      <c r="D385" s="81" t="s">
        <v>138</v>
      </c>
      <c r="E385" s="81" t="s">
        <v>138</v>
      </c>
      <c r="F385" s="81" t="s">
        <v>1013</v>
      </c>
      <c r="G385" s="81">
        <v>2</v>
      </c>
      <c r="H385" s="81" t="s">
        <v>1025</v>
      </c>
      <c r="I385" s="79"/>
      <c r="J385" s="79"/>
      <c r="K385" s="79"/>
      <c r="L385" s="79"/>
    </row>
    <row r="386" ht="26" spans="1:12">
      <c r="A386" s="81" t="s">
        <v>819</v>
      </c>
      <c r="B386" s="81" t="s">
        <v>963</v>
      </c>
      <c r="C386" s="81" t="s">
        <v>138</v>
      </c>
      <c r="D386" s="81" t="s">
        <v>138</v>
      </c>
      <c r="E386" s="81" t="s">
        <v>138</v>
      </c>
      <c r="F386" s="81" t="s">
        <v>1002</v>
      </c>
      <c r="G386" s="81">
        <v>2</v>
      </c>
      <c r="H386" s="81" t="s">
        <v>1025</v>
      </c>
      <c r="I386" s="79"/>
      <c r="J386" s="79"/>
      <c r="K386" s="79"/>
      <c r="L386" s="79"/>
    </row>
    <row r="387" ht="26" spans="1:12">
      <c r="A387" s="81" t="s">
        <v>820</v>
      </c>
      <c r="B387" s="81" t="s">
        <v>964</v>
      </c>
      <c r="C387" s="81" t="s">
        <v>138</v>
      </c>
      <c r="D387" s="81" t="s">
        <v>138</v>
      </c>
      <c r="E387" s="81" t="s">
        <v>138</v>
      </c>
      <c r="F387" s="81" t="s">
        <v>1013</v>
      </c>
      <c r="G387" s="81">
        <v>2</v>
      </c>
      <c r="H387" s="81" t="s">
        <v>1025</v>
      </c>
      <c r="I387" s="79"/>
      <c r="J387" s="79"/>
      <c r="K387" s="79"/>
      <c r="L387" s="79"/>
    </row>
    <row r="388" ht="26" spans="1:12">
      <c r="A388" s="81" t="s">
        <v>822</v>
      </c>
      <c r="B388" s="81" t="s">
        <v>965</v>
      </c>
      <c r="C388" s="81" t="s">
        <v>138</v>
      </c>
      <c r="D388" s="81" t="s">
        <v>138</v>
      </c>
      <c r="E388" s="81" t="s">
        <v>632</v>
      </c>
      <c r="F388" s="81" t="s">
        <v>1002</v>
      </c>
      <c r="G388" s="81">
        <v>3</v>
      </c>
      <c r="H388" s="81" t="s">
        <v>1025</v>
      </c>
      <c r="I388" s="79"/>
      <c r="J388" s="79"/>
      <c r="K388" s="79"/>
      <c r="L388" s="79"/>
    </row>
    <row r="389" ht="26" spans="1:12">
      <c r="A389" s="81" t="s">
        <v>824</v>
      </c>
      <c r="B389" s="81" t="s">
        <v>966</v>
      </c>
      <c r="C389" s="81" t="s">
        <v>138</v>
      </c>
      <c r="D389" s="81" t="s">
        <v>138</v>
      </c>
      <c r="E389" s="81" t="s">
        <v>138</v>
      </c>
      <c r="F389" s="81" t="s">
        <v>1002</v>
      </c>
      <c r="G389" s="81">
        <v>3</v>
      </c>
      <c r="H389" s="81" t="s">
        <v>1025</v>
      </c>
      <c r="I389" s="79"/>
      <c r="J389" s="79"/>
      <c r="K389" s="79"/>
      <c r="L389" s="79"/>
    </row>
    <row r="390" ht="26" spans="1:12">
      <c r="A390" s="81" t="s">
        <v>826</v>
      </c>
      <c r="B390" s="81" t="s">
        <v>963</v>
      </c>
      <c r="C390" s="81" t="s">
        <v>138</v>
      </c>
      <c r="D390" s="81" t="s">
        <v>138</v>
      </c>
      <c r="E390" s="81" t="s">
        <v>138</v>
      </c>
      <c r="F390" s="81" t="s">
        <v>1002</v>
      </c>
      <c r="G390" s="81">
        <v>2</v>
      </c>
      <c r="H390" s="81" t="s">
        <v>1025</v>
      </c>
      <c r="I390" s="79"/>
      <c r="J390" s="79"/>
      <c r="K390" s="79"/>
      <c r="L390" s="79"/>
    </row>
    <row r="391" ht="26" spans="1:12">
      <c r="A391" s="81" t="s">
        <v>827</v>
      </c>
      <c r="B391" s="81" t="s">
        <v>964</v>
      </c>
      <c r="C391" s="81" t="s">
        <v>138</v>
      </c>
      <c r="D391" s="81" t="s">
        <v>138</v>
      </c>
      <c r="E391" s="81" t="s">
        <v>138</v>
      </c>
      <c r="F391" s="81" t="s">
        <v>1013</v>
      </c>
      <c r="G391" s="81">
        <v>2</v>
      </c>
      <c r="H391" s="81" t="s">
        <v>1025</v>
      </c>
      <c r="I391" s="79"/>
      <c r="J391" s="79"/>
      <c r="K391" s="79"/>
      <c r="L391" s="79"/>
    </row>
    <row r="392" ht="26" spans="1:12">
      <c r="A392" s="81" t="s">
        <v>829</v>
      </c>
      <c r="B392" s="81" t="s">
        <v>964</v>
      </c>
      <c r="C392" s="81" t="s">
        <v>138</v>
      </c>
      <c r="D392" s="81" t="s">
        <v>138</v>
      </c>
      <c r="E392" s="81" t="s">
        <v>138</v>
      </c>
      <c r="F392" s="81" t="s">
        <v>1013</v>
      </c>
      <c r="G392" s="81">
        <v>2</v>
      </c>
      <c r="H392" s="81" t="s">
        <v>1025</v>
      </c>
      <c r="I392" s="79"/>
      <c r="J392" s="79"/>
      <c r="K392" s="79"/>
      <c r="L392" s="79"/>
    </row>
    <row r="393" ht="26" spans="1:12">
      <c r="A393" s="81" t="s">
        <v>831</v>
      </c>
      <c r="B393" s="81" t="s">
        <v>965</v>
      </c>
      <c r="C393" s="81" t="s">
        <v>138</v>
      </c>
      <c r="D393" s="81" t="s">
        <v>138</v>
      </c>
      <c r="E393" s="81" t="s">
        <v>138</v>
      </c>
      <c r="F393" s="81" t="s">
        <v>1002</v>
      </c>
      <c r="G393" s="81">
        <v>3</v>
      </c>
      <c r="H393" s="81" t="s">
        <v>1025</v>
      </c>
      <c r="I393" s="79"/>
      <c r="J393" s="79"/>
      <c r="K393" s="79"/>
      <c r="L393" s="79"/>
    </row>
    <row r="394" ht="26" spans="1:12">
      <c r="A394" s="81" t="s">
        <v>833</v>
      </c>
      <c r="B394" s="81" t="s">
        <v>967</v>
      </c>
      <c r="C394" s="81" t="s">
        <v>138</v>
      </c>
      <c r="D394" s="81" t="s">
        <v>138</v>
      </c>
      <c r="E394" s="81" t="s">
        <v>138</v>
      </c>
      <c r="F394" s="81" t="s">
        <v>1002</v>
      </c>
      <c r="G394" s="81">
        <v>3</v>
      </c>
      <c r="H394" s="81" t="s">
        <v>1025</v>
      </c>
      <c r="I394" s="79"/>
      <c r="J394" s="79"/>
      <c r="K394" s="79"/>
      <c r="L394" s="79"/>
    </row>
    <row r="395" ht="26" spans="1:12">
      <c r="A395" s="81" t="s">
        <v>835</v>
      </c>
      <c r="B395" s="81" t="s">
        <v>968</v>
      </c>
      <c r="C395" s="81" t="s">
        <v>138</v>
      </c>
      <c r="D395" s="81" t="s">
        <v>138</v>
      </c>
      <c r="E395" s="81" t="s">
        <v>138</v>
      </c>
      <c r="F395" s="81" t="s">
        <v>1013</v>
      </c>
      <c r="G395" s="81">
        <v>2</v>
      </c>
      <c r="H395" s="81" t="s">
        <v>1025</v>
      </c>
      <c r="I395" s="79"/>
      <c r="J395" s="79"/>
      <c r="K395" s="79"/>
      <c r="L395" s="79"/>
    </row>
    <row r="396" ht="26" spans="1:12">
      <c r="A396" s="81" t="s">
        <v>837</v>
      </c>
      <c r="B396" s="81" t="s">
        <v>969</v>
      </c>
      <c r="C396" s="81" t="s">
        <v>138</v>
      </c>
      <c r="D396" s="81" t="s">
        <v>138</v>
      </c>
      <c r="E396" s="81" t="s">
        <v>138</v>
      </c>
      <c r="F396" s="81" t="s">
        <v>1013</v>
      </c>
      <c r="G396" s="81">
        <v>2</v>
      </c>
      <c r="H396" s="81" t="s">
        <v>1025</v>
      </c>
      <c r="I396" s="79"/>
      <c r="J396" s="79"/>
      <c r="K396" s="79"/>
      <c r="L396" s="79"/>
    </row>
    <row r="397" ht="26" spans="1:12">
      <c r="A397" s="81" t="s">
        <v>839</v>
      </c>
      <c r="B397" s="81" t="s">
        <v>969</v>
      </c>
      <c r="C397" s="81" t="s">
        <v>138</v>
      </c>
      <c r="D397" s="81" t="s">
        <v>138</v>
      </c>
      <c r="E397" s="81" t="s">
        <v>138</v>
      </c>
      <c r="F397" s="81" t="s">
        <v>1013</v>
      </c>
      <c r="G397" s="81">
        <v>2</v>
      </c>
      <c r="H397" s="81" t="s">
        <v>1025</v>
      </c>
      <c r="I397" s="79"/>
      <c r="J397" s="79"/>
      <c r="K397" s="79"/>
      <c r="L397" s="79"/>
    </row>
    <row r="398" ht="26" spans="1:12">
      <c r="A398" s="81" t="s">
        <v>842</v>
      </c>
      <c r="B398" s="81" t="s">
        <v>970</v>
      </c>
      <c r="C398" s="81" t="s">
        <v>138</v>
      </c>
      <c r="D398" s="81" t="s">
        <v>138</v>
      </c>
      <c r="E398" s="81" t="s">
        <v>138</v>
      </c>
      <c r="F398" s="81" t="s">
        <v>1002</v>
      </c>
      <c r="G398" s="81">
        <v>3</v>
      </c>
      <c r="H398" s="81" t="s">
        <v>1025</v>
      </c>
      <c r="I398" s="79"/>
      <c r="J398" s="79"/>
      <c r="K398" s="79"/>
      <c r="L398" s="79"/>
    </row>
    <row r="399" ht="26" spans="1:12">
      <c r="A399" s="81" t="s">
        <v>844</v>
      </c>
      <c r="B399" s="81" t="s">
        <v>971</v>
      </c>
      <c r="C399" s="81" t="s">
        <v>138</v>
      </c>
      <c r="D399" s="81" t="s">
        <v>138</v>
      </c>
      <c r="E399" s="81" t="s">
        <v>138</v>
      </c>
      <c r="F399" s="81" t="s">
        <v>1002</v>
      </c>
      <c r="G399" s="81">
        <v>2</v>
      </c>
      <c r="H399" s="81" t="s">
        <v>1025</v>
      </c>
      <c r="I399" s="79"/>
      <c r="J399" s="79"/>
      <c r="K399" s="79"/>
      <c r="L399" s="79"/>
    </row>
    <row r="400" ht="26" spans="1:12">
      <c r="A400" s="81" t="s">
        <v>845</v>
      </c>
      <c r="B400" s="81" t="s">
        <v>972</v>
      </c>
      <c r="C400" s="81" t="s">
        <v>138</v>
      </c>
      <c r="D400" s="81" t="s">
        <v>138</v>
      </c>
      <c r="E400" s="81" t="s">
        <v>138</v>
      </c>
      <c r="F400" s="81" t="s">
        <v>1013</v>
      </c>
      <c r="G400" s="81">
        <v>2</v>
      </c>
      <c r="H400" s="81" t="s">
        <v>1025</v>
      </c>
      <c r="I400" s="79"/>
      <c r="J400" s="79"/>
      <c r="K400" s="79"/>
      <c r="L400" s="79"/>
    </row>
    <row r="401" ht="26" spans="1:12">
      <c r="A401" s="81" t="s">
        <v>847</v>
      </c>
      <c r="B401" s="81" t="s">
        <v>972</v>
      </c>
      <c r="C401" s="81" t="s">
        <v>138</v>
      </c>
      <c r="D401" s="81" t="s">
        <v>138</v>
      </c>
      <c r="E401" s="81" t="s">
        <v>138</v>
      </c>
      <c r="F401" s="81" t="s">
        <v>1013</v>
      </c>
      <c r="G401" s="81">
        <v>2</v>
      </c>
      <c r="H401" s="81" t="s">
        <v>1025</v>
      </c>
      <c r="I401" s="79"/>
      <c r="J401" s="79"/>
      <c r="K401" s="79"/>
      <c r="L401" s="79"/>
    </row>
    <row r="402" ht="26" spans="1:12">
      <c r="A402" s="81" t="s">
        <v>849</v>
      </c>
      <c r="B402" s="81" t="s">
        <v>973</v>
      </c>
      <c r="C402" s="81" t="s">
        <v>138</v>
      </c>
      <c r="D402" s="81" t="s">
        <v>138</v>
      </c>
      <c r="E402" s="81" t="s">
        <v>138</v>
      </c>
      <c r="F402" s="81" t="s">
        <v>1002</v>
      </c>
      <c r="G402" s="81">
        <v>3</v>
      </c>
      <c r="H402" s="81" t="s">
        <v>1025</v>
      </c>
      <c r="I402" s="79"/>
      <c r="J402" s="79"/>
      <c r="K402" s="79"/>
      <c r="L402" s="79"/>
    </row>
    <row r="403" ht="26" spans="1:12">
      <c r="A403" s="81" t="s">
        <v>851</v>
      </c>
      <c r="B403" s="81" t="s">
        <v>974</v>
      </c>
      <c r="C403" s="81" t="s">
        <v>138</v>
      </c>
      <c r="D403" s="81" t="s">
        <v>138</v>
      </c>
      <c r="E403" s="81" t="s">
        <v>138</v>
      </c>
      <c r="F403" s="81" t="s">
        <v>1002</v>
      </c>
      <c r="G403" s="81">
        <v>2</v>
      </c>
      <c r="H403" s="81" t="s">
        <v>1025</v>
      </c>
      <c r="I403" s="79"/>
      <c r="J403" s="79"/>
      <c r="K403" s="79"/>
      <c r="L403" s="79"/>
    </row>
    <row r="404" ht="26" spans="1:12">
      <c r="A404" s="81" t="s">
        <v>852</v>
      </c>
      <c r="B404" s="81" t="s">
        <v>975</v>
      </c>
      <c r="C404" s="81" t="s">
        <v>138</v>
      </c>
      <c r="D404" s="81" t="s">
        <v>138</v>
      </c>
      <c r="E404" s="81" t="s">
        <v>813</v>
      </c>
      <c r="F404" s="81" t="s">
        <v>1013</v>
      </c>
      <c r="G404" s="81">
        <v>2</v>
      </c>
      <c r="H404" s="81" t="s">
        <v>1025</v>
      </c>
      <c r="I404" s="79"/>
      <c r="J404" s="79"/>
      <c r="K404" s="79"/>
      <c r="L404" s="79"/>
    </row>
    <row r="405" ht="26" spans="1:12">
      <c r="A405" s="81" t="s">
        <v>854</v>
      </c>
      <c r="B405" s="81" t="s">
        <v>976</v>
      </c>
      <c r="C405" s="81" t="s">
        <v>138</v>
      </c>
      <c r="D405" s="81" t="s">
        <v>138</v>
      </c>
      <c r="E405" s="81" t="s">
        <v>138</v>
      </c>
      <c r="F405" s="81" t="s">
        <v>1002</v>
      </c>
      <c r="G405" s="81">
        <v>2</v>
      </c>
      <c r="H405" s="81" t="s">
        <v>1025</v>
      </c>
      <c r="I405" s="79"/>
      <c r="J405" s="79"/>
      <c r="K405" s="79"/>
      <c r="L405" s="79"/>
    </row>
    <row r="406" ht="26" spans="1:12">
      <c r="A406" s="81" t="s">
        <v>855</v>
      </c>
      <c r="B406" s="81" t="s">
        <v>977</v>
      </c>
      <c r="C406" s="81" t="s">
        <v>138</v>
      </c>
      <c r="D406" s="81" t="s">
        <v>138</v>
      </c>
      <c r="E406" s="81" t="s">
        <v>366</v>
      </c>
      <c r="F406" s="81" t="s">
        <v>1013</v>
      </c>
      <c r="G406" s="81">
        <v>2</v>
      </c>
      <c r="H406" s="81" t="s">
        <v>1025</v>
      </c>
      <c r="I406" s="79"/>
      <c r="J406" s="79"/>
      <c r="K406" s="79"/>
      <c r="L406" s="79"/>
    </row>
    <row r="407" ht="26" spans="1:12">
      <c r="A407" s="81" t="s">
        <v>857</v>
      </c>
      <c r="B407" s="81" t="s">
        <v>978</v>
      </c>
      <c r="C407" s="81" t="s">
        <v>138</v>
      </c>
      <c r="D407" s="81" t="s">
        <v>138</v>
      </c>
      <c r="E407" s="81" t="s">
        <v>138</v>
      </c>
      <c r="F407" s="81" t="s">
        <v>1002</v>
      </c>
      <c r="G407" s="81">
        <v>3</v>
      </c>
      <c r="H407" s="81" t="s">
        <v>1025</v>
      </c>
      <c r="I407" s="79"/>
      <c r="J407" s="79"/>
      <c r="K407" s="79"/>
      <c r="L407" s="79"/>
    </row>
    <row r="408" ht="26" spans="1:12">
      <c r="A408" s="81" t="s">
        <v>860</v>
      </c>
      <c r="B408" s="81" t="s">
        <v>979</v>
      </c>
      <c r="C408" s="81" t="s">
        <v>138</v>
      </c>
      <c r="D408" s="81" t="s">
        <v>138</v>
      </c>
      <c r="E408" s="81" t="s">
        <v>138</v>
      </c>
      <c r="F408" s="81" t="s">
        <v>1013</v>
      </c>
      <c r="G408" s="81">
        <v>2</v>
      </c>
      <c r="H408" s="81" t="s">
        <v>1025</v>
      </c>
      <c r="I408" s="79"/>
      <c r="J408" s="79"/>
      <c r="K408" s="79"/>
      <c r="L408" s="79"/>
    </row>
    <row r="409" ht="26" spans="1:12">
      <c r="A409" s="81" t="s">
        <v>862</v>
      </c>
      <c r="B409" s="81" t="s">
        <v>980</v>
      </c>
      <c r="C409" s="81" t="s">
        <v>138</v>
      </c>
      <c r="D409" s="81" t="s">
        <v>138</v>
      </c>
      <c r="E409" s="81" t="s">
        <v>138</v>
      </c>
      <c r="F409" s="81" t="s">
        <v>1002</v>
      </c>
      <c r="G409" s="81">
        <v>2</v>
      </c>
      <c r="H409" s="81" t="s">
        <v>1025</v>
      </c>
      <c r="I409" s="79"/>
      <c r="J409" s="79"/>
      <c r="K409" s="79"/>
      <c r="L409" s="79"/>
    </row>
    <row r="410" ht="26" spans="1:12">
      <c r="A410" s="81" t="s">
        <v>864</v>
      </c>
      <c r="B410" s="81" t="s">
        <v>979</v>
      </c>
      <c r="C410" s="81" t="s">
        <v>138</v>
      </c>
      <c r="D410" s="81" t="s">
        <v>138</v>
      </c>
      <c r="E410" s="81" t="s">
        <v>138</v>
      </c>
      <c r="F410" s="81" t="s">
        <v>1013</v>
      </c>
      <c r="G410" s="81">
        <v>2</v>
      </c>
      <c r="H410" s="81" t="s">
        <v>1025</v>
      </c>
      <c r="I410" s="79"/>
      <c r="J410" s="79"/>
      <c r="K410" s="79"/>
      <c r="L410" s="79"/>
    </row>
    <row r="411" ht="26" spans="1:12">
      <c r="A411" s="81" t="s">
        <v>866</v>
      </c>
      <c r="B411" s="81" t="s">
        <v>980</v>
      </c>
      <c r="C411" s="81" t="s">
        <v>138</v>
      </c>
      <c r="D411" s="81" t="s">
        <v>138</v>
      </c>
      <c r="E411" s="81" t="s">
        <v>138</v>
      </c>
      <c r="F411" s="81" t="s">
        <v>1002</v>
      </c>
      <c r="G411" s="81">
        <v>2</v>
      </c>
      <c r="H411" s="81" t="s">
        <v>1025</v>
      </c>
      <c r="I411" s="79"/>
      <c r="J411" s="79"/>
      <c r="K411" s="79"/>
      <c r="L411" s="79"/>
    </row>
    <row r="412" ht="26" spans="1:12">
      <c r="A412" s="81" t="s">
        <v>868</v>
      </c>
      <c r="B412" s="81" t="s">
        <v>981</v>
      </c>
      <c r="C412" s="81" t="s">
        <v>138</v>
      </c>
      <c r="D412" s="81" t="s">
        <v>138</v>
      </c>
      <c r="E412" s="81" t="s">
        <v>138</v>
      </c>
      <c r="F412" s="81" t="s">
        <v>1002</v>
      </c>
      <c r="G412" s="81">
        <v>3</v>
      </c>
      <c r="H412" s="81" t="s">
        <v>1025</v>
      </c>
      <c r="I412" s="79"/>
      <c r="J412" s="79"/>
      <c r="K412" s="79"/>
      <c r="L412" s="79"/>
    </row>
    <row r="413" ht="26" spans="1:12">
      <c r="A413" s="81" t="s">
        <v>870</v>
      </c>
      <c r="B413" s="81" t="s">
        <v>982</v>
      </c>
      <c r="C413" s="81" t="s">
        <v>138</v>
      </c>
      <c r="D413" s="81" t="s">
        <v>138</v>
      </c>
      <c r="E413" s="81" t="s">
        <v>138</v>
      </c>
      <c r="F413" s="81" t="s">
        <v>1013</v>
      </c>
      <c r="G413" s="81">
        <v>2</v>
      </c>
      <c r="H413" s="81" t="s">
        <v>1025</v>
      </c>
      <c r="I413" s="79"/>
      <c r="J413" s="79"/>
      <c r="K413" s="79"/>
      <c r="L413" s="79"/>
    </row>
    <row r="414" ht="26" spans="1:12">
      <c r="A414" s="81" t="s">
        <v>872</v>
      </c>
      <c r="B414" s="81" t="s">
        <v>982</v>
      </c>
      <c r="C414" s="81" t="s">
        <v>138</v>
      </c>
      <c r="D414" s="81" t="s">
        <v>138</v>
      </c>
      <c r="E414" s="81" t="s">
        <v>138</v>
      </c>
      <c r="F414" s="81" t="s">
        <v>1013</v>
      </c>
      <c r="G414" s="81">
        <v>2</v>
      </c>
      <c r="H414" s="81" t="s">
        <v>1025</v>
      </c>
      <c r="I414" s="79"/>
      <c r="J414" s="79"/>
      <c r="K414" s="79"/>
      <c r="L414" s="79"/>
    </row>
    <row r="415" ht="26" spans="1:12">
      <c r="A415" s="81" t="s">
        <v>874</v>
      </c>
      <c r="B415" s="81" t="s">
        <v>982</v>
      </c>
      <c r="C415" s="81" t="s">
        <v>138</v>
      </c>
      <c r="D415" s="81" t="s">
        <v>138</v>
      </c>
      <c r="E415" s="81" t="s">
        <v>138</v>
      </c>
      <c r="F415" s="81" t="s">
        <v>1013</v>
      </c>
      <c r="G415" s="81">
        <v>2</v>
      </c>
      <c r="H415" s="81" t="s">
        <v>1025</v>
      </c>
      <c r="I415" s="79"/>
      <c r="J415" s="79"/>
      <c r="K415" s="79"/>
      <c r="L415" s="79"/>
    </row>
    <row r="416" ht="26" spans="1:12">
      <c r="A416" s="81" t="s">
        <v>876</v>
      </c>
      <c r="B416" s="81" t="s">
        <v>983</v>
      </c>
      <c r="C416" s="81" t="s">
        <v>138</v>
      </c>
      <c r="D416" s="81" t="s">
        <v>138</v>
      </c>
      <c r="E416" s="81" t="s">
        <v>138</v>
      </c>
      <c r="F416" s="81" t="s">
        <v>1002</v>
      </c>
      <c r="G416" s="81">
        <v>3</v>
      </c>
      <c r="H416" s="81" t="s">
        <v>1025</v>
      </c>
      <c r="I416" s="79"/>
      <c r="J416" s="79"/>
      <c r="K416" s="79"/>
      <c r="L416" s="79"/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6"/>
  <sheetViews>
    <sheetView showGridLines="0" workbookViewId="0">
      <selection activeCell="A1" sqref="A1:N1"/>
    </sheetView>
  </sheetViews>
  <sheetFormatPr defaultColWidth="9" defaultRowHeight="14.5"/>
  <cols>
    <col min="1" max="1" width="44" customWidth="1"/>
    <col min="2" max="2" width="12" customWidth="1"/>
    <col min="3" max="3" width="14" customWidth="1"/>
    <col min="4" max="4" width="22" customWidth="1"/>
    <col min="5" max="5" width="10" customWidth="1"/>
    <col min="6" max="6" width="13" customWidth="1"/>
    <col min="7" max="7" width="12" customWidth="1"/>
    <col min="8" max="8" width="11" customWidth="1"/>
    <col min="9" max="9" width="44" customWidth="1"/>
    <col min="10" max="14" width="10" customWidth="1"/>
  </cols>
  <sheetData>
    <row r="1" ht="21" spans="1:14">
      <c r="A1" s="78" t="s">
        <v>1026</v>
      </c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>
      <c r="A3" s="80" t="s">
        <v>72</v>
      </c>
      <c r="B3" s="80" t="s">
        <v>1027</v>
      </c>
      <c r="C3" s="80" t="s">
        <v>1028</v>
      </c>
      <c r="D3" s="80" t="s">
        <v>1029</v>
      </c>
      <c r="E3" s="80" t="s">
        <v>1030</v>
      </c>
      <c r="F3" s="80" t="s">
        <v>1031</v>
      </c>
      <c r="G3" s="80" t="s">
        <v>1032</v>
      </c>
      <c r="H3" s="80" t="s">
        <v>1033</v>
      </c>
      <c r="I3" s="80" t="s">
        <v>1034</v>
      </c>
      <c r="J3" s="79"/>
      <c r="K3" s="79"/>
      <c r="L3" s="79"/>
      <c r="M3" s="79"/>
      <c r="N3" s="79"/>
    </row>
    <row r="4" ht="26" spans="1:14">
      <c r="A4" s="81" t="s">
        <v>236</v>
      </c>
      <c r="B4" s="81">
        <v>5</v>
      </c>
      <c r="C4" s="81">
        <v>5</v>
      </c>
      <c r="D4" s="81">
        <v>2</v>
      </c>
      <c r="E4" s="81">
        <v>3</v>
      </c>
      <c r="F4" s="81">
        <v>2</v>
      </c>
      <c r="G4" s="81">
        <v>3</v>
      </c>
      <c r="H4" s="81">
        <v>5</v>
      </c>
      <c r="I4" s="81" t="s">
        <v>1035</v>
      </c>
      <c r="J4" s="79"/>
      <c r="K4" s="79"/>
      <c r="L4" s="79"/>
      <c r="M4" s="79"/>
      <c r="N4" s="79"/>
    </row>
    <row r="5" ht="26" spans="1:14">
      <c r="A5" s="81" t="s">
        <v>244</v>
      </c>
      <c r="B5" s="81">
        <v>5</v>
      </c>
      <c r="C5" s="81">
        <v>5</v>
      </c>
      <c r="D5" s="81">
        <v>2</v>
      </c>
      <c r="E5" s="81">
        <v>3</v>
      </c>
      <c r="F5" s="81">
        <v>2</v>
      </c>
      <c r="G5" s="81">
        <v>3</v>
      </c>
      <c r="H5" s="81">
        <v>5</v>
      </c>
      <c r="I5" s="81" t="s">
        <v>1035</v>
      </c>
      <c r="J5" s="79"/>
      <c r="K5" s="79"/>
      <c r="L5" s="79"/>
      <c r="M5" s="79"/>
      <c r="N5" s="79"/>
    </row>
    <row r="6" ht="26" spans="1:14">
      <c r="A6" s="81" t="s">
        <v>247</v>
      </c>
      <c r="B6" s="81">
        <v>5</v>
      </c>
      <c r="C6" s="81">
        <v>5</v>
      </c>
      <c r="D6" s="81">
        <v>2</v>
      </c>
      <c r="E6" s="81">
        <v>3</v>
      </c>
      <c r="F6" s="81">
        <v>2</v>
      </c>
      <c r="G6" s="81">
        <v>3</v>
      </c>
      <c r="H6" s="81">
        <v>5</v>
      </c>
      <c r="I6" s="81" t="s">
        <v>1035</v>
      </c>
      <c r="J6" s="79"/>
      <c r="K6" s="79"/>
      <c r="L6" s="79"/>
      <c r="M6" s="79"/>
      <c r="N6" s="79"/>
    </row>
    <row r="7" ht="26" spans="1:14">
      <c r="A7" s="81" t="s">
        <v>250</v>
      </c>
      <c r="B7" s="81">
        <v>5</v>
      </c>
      <c r="C7" s="81">
        <v>5</v>
      </c>
      <c r="D7" s="81">
        <v>2</v>
      </c>
      <c r="E7" s="81">
        <v>3</v>
      </c>
      <c r="F7" s="81">
        <v>2</v>
      </c>
      <c r="G7" s="81">
        <v>3</v>
      </c>
      <c r="H7" s="81">
        <v>5</v>
      </c>
      <c r="I7" s="81" t="s">
        <v>1035</v>
      </c>
      <c r="J7" s="79"/>
      <c r="K7" s="79"/>
      <c r="L7" s="79"/>
      <c r="M7" s="79"/>
      <c r="N7" s="79"/>
    </row>
    <row r="8" ht="26" spans="1:14">
      <c r="A8" s="81" t="s">
        <v>255</v>
      </c>
      <c r="B8" s="81">
        <v>5</v>
      </c>
      <c r="C8" s="81">
        <v>5</v>
      </c>
      <c r="D8" s="81">
        <v>2</v>
      </c>
      <c r="E8" s="81">
        <v>3</v>
      </c>
      <c r="F8" s="81">
        <v>2</v>
      </c>
      <c r="G8" s="81">
        <v>3</v>
      </c>
      <c r="H8" s="81">
        <v>5</v>
      </c>
      <c r="I8" s="81" t="s">
        <v>1035</v>
      </c>
      <c r="J8" s="79"/>
      <c r="K8" s="79"/>
      <c r="L8" s="79"/>
      <c r="M8" s="79"/>
      <c r="N8" s="79"/>
    </row>
    <row r="9" ht="26" spans="1:14">
      <c r="A9" s="81" t="s">
        <v>258</v>
      </c>
      <c r="B9" s="81">
        <v>5</v>
      </c>
      <c r="C9" s="81">
        <v>5</v>
      </c>
      <c r="D9" s="81">
        <v>2</v>
      </c>
      <c r="E9" s="81">
        <v>3</v>
      </c>
      <c r="F9" s="81">
        <v>2</v>
      </c>
      <c r="G9" s="81">
        <v>3</v>
      </c>
      <c r="H9" s="81">
        <v>5</v>
      </c>
      <c r="I9" s="81" t="s">
        <v>1035</v>
      </c>
      <c r="J9" s="79"/>
      <c r="K9" s="79"/>
      <c r="L9" s="79"/>
      <c r="M9" s="79"/>
      <c r="N9" s="79"/>
    </row>
    <row r="10" ht="26" spans="1:14">
      <c r="A10" s="81" t="s">
        <v>259</v>
      </c>
      <c r="B10" s="81">
        <v>5</v>
      </c>
      <c r="C10" s="81">
        <v>5</v>
      </c>
      <c r="D10" s="81">
        <v>2</v>
      </c>
      <c r="E10" s="81">
        <v>3</v>
      </c>
      <c r="F10" s="81">
        <v>2</v>
      </c>
      <c r="G10" s="81">
        <v>3</v>
      </c>
      <c r="H10" s="81">
        <v>5</v>
      </c>
      <c r="I10" s="81" t="s">
        <v>1035</v>
      </c>
      <c r="J10" s="79"/>
      <c r="K10" s="79"/>
      <c r="L10" s="79"/>
      <c r="M10" s="79"/>
      <c r="N10" s="79"/>
    </row>
    <row r="11" ht="26" spans="1:14">
      <c r="A11" s="81" t="s">
        <v>261</v>
      </c>
      <c r="B11" s="81">
        <v>5</v>
      </c>
      <c r="C11" s="81">
        <v>5</v>
      </c>
      <c r="D11" s="81">
        <v>2</v>
      </c>
      <c r="E11" s="81">
        <v>3</v>
      </c>
      <c r="F11" s="81">
        <v>2</v>
      </c>
      <c r="G11" s="81">
        <v>3</v>
      </c>
      <c r="H11" s="81">
        <v>5</v>
      </c>
      <c r="I11" s="81" t="s">
        <v>1035</v>
      </c>
      <c r="J11" s="79"/>
      <c r="K11" s="79"/>
      <c r="L11" s="79"/>
      <c r="M11" s="79"/>
      <c r="N11" s="79"/>
    </row>
    <row r="12" ht="26" spans="1:14">
      <c r="A12" s="81" t="s">
        <v>262</v>
      </c>
      <c r="B12" s="81">
        <v>5</v>
      </c>
      <c r="C12" s="81">
        <v>5</v>
      </c>
      <c r="D12" s="81">
        <v>2</v>
      </c>
      <c r="E12" s="81">
        <v>3</v>
      </c>
      <c r="F12" s="81">
        <v>2</v>
      </c>
      <c r="G12" s="81">
        <v>3</v>
      </c>
      <c r="H12" s="81">
        <v>5</v>
      </c>
      <c r="I12" s="81" t="s">
        <v>1035</v>
      </c>
      <c r="J12" s="79"/>
      <c r="K12" s="79"/>
      <c r="L12" s="79"/>
      <c r="M12" s="79"/>
      <c r="N12" s="79"/>
    </row>
    <row r="13" ht="26" spans="1:14">
      <c r="A13" s="81" t="s">
        <v>263</v>
      </c>
      <c r="B13" s="81">
        <v>5</v>
      </c>
      <c r="C13" s="81">
        <v>5</v>
      </c>
      <c r="D13" s="81">
        <v>2</v>
      </c>
      <c r="E13" s="81">
        <v>3</v>
      </c>
      <c r="F13" s="81">
        <v>2</v>
      </c>
      <c r="G13" s="81">
        <v>3</v>
      </c>
      <c r="H13" s="81">
        <v>5</v>
      </c>
      <c r="I13" s="81" t="s">
        <v>1035</v>
      </c>
      <c r="J13" s="79"/>
      <c r="K13" s="79"/>
      <c r="L13" s="79"/>
      <c r="M13" s="79"/>
      <c r="N13" s="79"/>
    </row>
    <row r="14" ht="26" spans="1:14">
      <c r="A14" s="81" t="s">
        <v>264</v>
      </c>
      <c r="B14" s="81">
        <v>5</v>
      </c>
      <c r="C14" s="81">
        <v>5</v>
      </c>
      <c r="D14" s="81">
        <v>2</v>
      </c>
      <c r="E14" s="81">
        <v>3</v>
      </c>
      <c r="F14" s="81">
        <v>2</v>
      </c>
      <c r="G14" s="81">
        <v>3</v>
      </c>
      <c r="H14" s="81">
        <v>5</v>
      </c>
      <c r="I14" s="81" t="s">
        <v>1035</v>
      </c>
      <c r="J14" s="79"/>
      <c r="K14" s="79"/>
      <c r="L14" s="79"/>
      <c r="M14" s="79"/>
      <c r="N14" s="79"/>
    </row>
    <row r="15" ht="26" spans="1:14">
      <c r="A15" s="81" t="s">
        <v>265</v>
      </c>
      <c r="B15" s="81">
        <v>5</v>
      </c>
      <c r="C15" s="81">
        <v>5</v>
      </c>
      <c r="D15" s="81">
        <v>2</v>
      </c>
      <c r="E15" s="81">
        <v>3</v>
      </c>
      <c r="F15" s="81">
        <v>2</v>
      </c>
      <c r="G15" s="81">
        <v>3</v>
      </c>
      <c r="H15" s="81">
        <v>5</v>
      </c>
      <c r="I15" s="81" t="s">
        <v>1035</v>
      </c>
      <c r="J15" s="79"/>
      <c r="K15" s="79"/>
      <c r="L15" s="79"/>
      <c r="M15" s="79"/>
      <c r="N15" s="79"/>
    </row>
    <row r="16" ht="26" spans="1:14">
      <c r="A16" s="81" t="s">
        <v>266</v>
      </c>
      <c r="B16" s="81">
        <v>5</v>
      </c>
      <c r="C16" s="81">
        <v>5</v>
      </c>
      <c r="D16" s="81">
        <v>2</v>
      </c>
      <c r="E16" s="81">
        <v>3</v>
      </c>
      <c r="F16" s="81">
        <v>2</v>
      </c>
      <c r="G16" s="81">
        <v>3</v>
      </c>
      <c r="H16" s="81">
        <v>5</v>
      </c>
      <c r="I16" s="81" t="s">
        <v>1035</v>
      </c>
      <c r="J16" s="79"/>
      <c r="K16" s="79"/>
      <c r="L16" s="79"/>
      <c r="M16" s="79"/>
      <c r="N16" s="79"/>
    </row>
    <row r="17" ht="26" spans="1:14">
      <c r="A17" s="81" t="s">
        <v>268</v>
      </c>
      <c r="B17" s="81">
        <v>5</v>
      </c>
      <c r="C17" s="81">
        <v>5</v>
      </c>
      <c r="D17" s="81">
        <v>2</v>
      </c>
      <c r="E17" s="81">
        <v>3</v>
      </c>
      <c r="F17" s="81">
        <v>2</v>
      </c>
      <c r="G17" s="81">
        <v>3</v>
      </c>
      <c r="H17" s="81">
        <v>5</v>
      </c>
      <c r="I17" s="81" t="s">
        <v>1035</v>
      </c>
      <c r="J17" s="79"/>
      <c r="K17" s="79"/>
      <c r="L17" s="79"/>
      <c r="M17" s="79"/>
      <c r="N17" s="79"/>
    </row>
    <row r="18" ht="26" spans="1:14">
      <c r="A18" s="81" t="s">
        <v>269</v>
      </c>
      <c r="B18" s="81">
        <v>5</v>
      </c>
      <c r="C18" s="81">
        <v>5</v>
      </c>
      <c r="D18" s="81">
        <v>2</v>
      </c>
      <c r="E18" s="81">
        <v>3</v>
      </c>
      <c r="F18" s="81">
        <v>2</v>
      </c>
      <c r="G18" s="81">
        <v>3</v>
      </c>
      <c r="H18" s="81">
        <v>5</v>
      </c>
      <c r="I18" s="81" t="s">
        <v>1035</v>
      </c>
      <c r="J18" s="79"/>
      <c r="K18" s="79"/>
      <c r="L18" s="79"/>
      <c r="M18" s="79"/>
      <c r="N18" s="79"/>
    </row>
    <row r="19" ht="26" spans="1:14">
      <c r="A19" s="81" t="s">
        <v>270</v>
      </c>
      <c r="B19" s="81">
        <v>5</v>
      </c>
      <c r="C19" s="81">
        <v>5</v>
      </c>
      <c r="D19" s="81">
        <v>2</v>
      </c>
      <c r="E19" s="81">
        <v>3</v>
      </c>
      <c r="F19" s="81">
        <v>2</v>
      </c>
      <c r="G19" s="81">
        <v>3</v>
      </c>
      <c r="H19" s="81">
        <v>5</v>
      </c>
      <c r="I19" s="81" t="s">
        <v>1035</v>
      </c>
      <c r="J19" s="79"/>
      <c r="K19" s="79"/>
      <c r="L19" s="79"/>
      <c r="M19" s="79"/>
      <c r="N19" s="79"/>
    </row>
    <row r="20" ht="26" spans="1:14">
      <c r="A20" s="81" t="s">
        <v>271</v>
      </c>
      <c r="B20" s="81">
        <v>5</v>
      </c>
      <c r="C20" s="81">
        <v>5</v>
      </c>
      <c r="D20" s="81">
        <v>2</v>
      </c>
      <c r="E20" s="81">
        <v>3</v>
      </c>
      <c r="F20" s="81">
        <v>2</v>
      </c>
      <c r="G20" s="81">
        <v>3</v>
      </c>
      <c r="H20" s="81">
        <v>5</v>
      </c>
      <c r="I20" s="81" t="s">
        <v>1035</v>
      </c>
      <c r="J20" s="79"/>
      <c r="K20" s="79"/>
      <c r="L20" s="79"/>
      <c r="M20" s="79"/>
      <c r="N20" s="79"/>
    </row>
    <row r="21" ht="26" spans="1:14">
      <c r="A21" s="81" t="s">
        <v>272</v>
      </c>
      <c r="B21" s="81">
        <v>5</v>
      </c>
      <c r="C21" s="81">
        <v>5</v>
      </c>
      <c r="D21" s="81">
        <v>2</v>
      </c>
      <c r="E21" s="81">
        <v>3</v>
      </c>
      <c r="F21" s="81">
        <v>2</v>
      </c>
      <c r="G21" s="81">
        <v>3</v>
      </c>
      <c r="H21" s="81">
        <v>5</v>
      </c>
      <c r="I21" s="81" t="s">
        <v>1035</v>
      </c>
      <c r="J21" s="79"/>
      <c r="K21" s="79"/>
      <c r="L21" s="79"/>
      <c r="M21" s="79"/>
      <c r="N21" s="79"/>
    </row>
    <row r="22" ht="26" spans="1:14">
      <c r="A22" s="81" t="s">
        <v>273</v>
      </c>
      <c r="B22" s="81">
        <v>5</v>
      </c>
      <c r="C22" s="81">
        <v>5</v>
      </c>
      <c r="D22" s="81">
        <v>2</v>
      </c>
      <c r="E22" s="81">
        <v>3</v>
      </c>
      <c r="F22" s="81">
        <v>2</v>
      </c>
      <c r="G22" s="81">
        <v>3</v>
      </c>
      <c r="H22" s="81">
        <v>5</v>
      </c>
      <c r="I22" s="81" t="s">
        <v>1035</v>
      </c>
      <c r="J22" s="79"/>
      <c r="K22" s="79"/>
      <c r="L22" s="79"/>
      <c r="M22" s="79"/>
      <c r="N22" s="79"/>
    </row>
    <row r="23" ht="26" spans="1:14">
      <c r="A23" s="81" t="s">
        <v>277</v>
      </c>
      <c r="B23" s="81">
        <v>5</v>
      </c>
      <c r="C23" s="81">
        <v>5</v>
      </c>
      <c r="D23" s="81">
        <v>2</v>
      </c>
      <c r="E23" s="81">
        <v>3</v>
      </c>
      <c r="F23" s="81">
        <v>2</v>
      </c>
      <c r="G23" s="81">
        <v>3</v>
      </c>
      <c r="H23" s="81">
        <v>5</v>
      </c>
      <c r="I23" s="81" t="s">
        <v>1035</v>
      </c>
      <c r="J23" s="79"/>
      <c r="K23" s="79"/>
      <c r="L23" s="79"/>
      <c r="M23" s="79"/>
      <c r="N23" s="79"/>
    </row>
    <row r="24" ht="26" spans="1:14">
      <c r="A24" s="81" t="s">
        <v>279</v>
      </c>
      <c r="B24" s="81">
        <v>5</v>
      </c>
      <c r="C24" s="81">
        <v>5</v>
      </c>
      <c r="D24" s="81">
        <v>2</v>
      </c>
      <c r="E24" s="81">
        <v>3</v>
      </c>
      <c r="F24" s="81">
        <v>2</v>
      </c>
      <c r="G24" s="81">
        <v>3</v>
      </c>
      <c r="H24" s="81">
        <v>5</v>
      </c>
      <c r="I24" s="81" t="s">
        <v>1035</v>
      </c>
      <c r="J24" s="79"/>
      <c r="K24" s="79"/>
      <c r="L24" s="79"/>
      <c r="M24" s="79"/>
      <c r="N24" s="79"/>
    </row>
    <row r="25" ht="26" spans="1:14">
      <c r="A25" s="81" t="s">
        <v>280</v>
      </c>
      <c r="B25" s="81">
        <v>5</v>
      </c>
      <c r="C25" s="81">
        <v>5</v>
      </c>
      <c r="D25" s="81">
        <v>2</v>
      </c>
      <c r="E25" s="81">
        <v>3</v>
      </c>
      <c r="F25" s="81">
        <v>2</v>
      </c>
      <c r="G25" s="81">
        <v>3</v>
      </c>
      <c r="H25" s="81">
        <v>5</v>
      </c>
      <c r="I25" s="81" t="s">
        <v>1035</v>
      </c>
      <c r="J25" s="79"/>
      <c r="K25" s="79"/>
      <c r="L25" s="79"/>
      <c r="M25" s="79"/>
      <c r="N25" s="79"/>
    </row>
    <row r="26" ht="26" spans="1:14">
      <c r="A26" s="81" t="s">
        <v>281</v>
      </c>
      <c r="B26" s="81">
        <v>5</v>
      </c>
      <c r="C26" s="81">
        <v>5</v>
      </c>
      <c r="D26" s="81">
        <v>2</v>
      </c>
      <c r="E26" s="81">
        <v>3</v>
      </c>
      <c r="F26" s="81">
        <v>2</v>
      </c>
      <c r="G26" s="81">
        <v>3</v>
      </c>
      <c r="H26" s="81">
        <v>5</v>
      </c>
      <c r="I26" s="81" t="s">
        <v>1035</v>
      </c>
      <c r="J26" s="79"/>
      <c r="K26" s="79"/>
      <c r="L26" s="79"/>
      <c r="M26" s="79"/>
      <c r="N26" s="79"/>
    </row>
    <row r="27" ht="26" spans="1:14">
      <c r="A27" s="81" t="s">
        <v>282</v>
      </c>
      <c r="B27" s="81">
        <v>5</v>
      </c>
      <c r="C27" s="81">
        <v>5</v>
      </c>
      <c r="D27" s="81">
        <v>2</v>
      </c>
      <c r="E27" s="81">
        <v>3</v>
      </c>
      <c r="F27" s="81">
        <v>2</v>
      </c>
      <c r="G27" s="81">
        <v>3</v>
      </c>
      <c r="H27" s="81">
        <v>5</v>
      </c>
      <c r="I27" s="81" t="s">
        <v>1035</v>
      </c>
      <c r="J27" s="79"/>
      <c r="K27" s="79"/>
      <c r="L27" s="79"/>
      <c r="M27" s="79"/>
      <c r="N27" s="79"/>
    </row>
    <row r="28" ht="26" spans="1:14">
      <c r="A28" s="81" t="s">
        <v>283</v>
      </c>
      <c r="B28" s="81">
        <v>5</v>
      </c>
      <c r="C28" s="81">
        <v>5</v>
      </c>
      <c r="D28" s="81">
        <v>2</v>
      </c>
      <c r="E28" s="81">
        <v>3</v>
      </c>
      <c r="F28" s="81">
        <v>2</v>
      </c>
      <c r="G28" s="81">
        <v>3</v>
      </c>
      <c r="H28" s="81">
        <v>5</v>
      </c>
      <c r="I28" s="81" t="s">
        <v>1035</v>
      </c>
      <c r="J28" s="79"/>
      <c r="K28" s="79"/>
      <c r="L28" s="79"/>
      <c r="M28" s="79"/>
      <c r="N28" s="79"/>
    </row>
    <row r="29" ht="26" spans="1:14">
      <c r="A29" s="81" t="s">
        <v>284</v>
      </c>
      <c r="B29" s="81">
        <v>5</v>
      </c>
      <c r="C29" s="81">
        <v>5</v>
      </c>
      <c r="D29" s="81">
        <v>2</v>
      </c>
      <c r="E29" s="81">
        <v>3</v>
      </c>
      <c r="F29" s="81">
        <v>2</v>
      </c>
      <c r="G29" s="81">
        <v>3</v>
      </c>
      <c r="H29" s="81">
        <v>5</v>
      </c>
      <c r="I29" s="81" t="s">
        <v>1035</v>
      </c>
      <c r="J29" s="79"/>
      <c r="K29" s="79"/>
      <c r="L29" s="79"/>
      <c r="M29" s="79"/>
      <c r="N29" s="79"/>
    </row>
    <row r="30" ht="26" spans="1:14">
      <c r="A30" s="81" t="s">
        <v>287</v>
      </c>
      <c r="B30" s="81">
        <v>5</v>
      </c>
      <c r="C30" s="81">
        <v>5</v>
      </c>
      <c r="D30" s="81">
        <v>2</v>
      </c>
      <c r="E30" s="81">
        <v>3</v>
      </c>
      <c r="F30" s="81">
        <v>2</v>
      </c>
      <c r="G30" s="81">
        <v>3</v>
      </c>
      <c r="H30" s="81">
        <v>5</v>
      </c>
      <c r="I30" s="81" t="s">
        <v>1035</v>
      </c>
      <c r="J30" s="79"/>
      <c r="K30" s="79"/>
      <c r="L30" s="79"/>
      <c r="M30" s="79"/>
      <c r="N30" s="79"/>
    </row>
    <row r="31" ht="26" spans="1:14">
      <c r="A31" s="81" t="s">
        <v>288</v>
      </c>
      <c r="B31" s="81">
        <v>5</v>
      </c>
      <c r="C31" s="81">
        <v>5</v>
      </c>
      <c r="D31" s="81">
        <v>2</v>
      </c>
      <c r="E31" s="81">
        <v>3</v>
      </c>
      <c r="F31" s="81">
        <v>2</v>
      </c>
      <c r="G31" s="81">
        <v>3</v>
      </c>
      <c r="H31" s="81">
        <v>5</v>
      </c>
      <c r="I31" s="81" t="s">
        <v>1035</v>
      </c>
      <c r="J31" s="79"/>
      <c r="K31" s="79"/>
      <c r="L31" s="79"/>
      <c r="M31" s="79"/>
      <c r="N31" s="79"/>
    </row>
    <row r="32" ht="26" spans="1:14">
      <c r="A32" s="81" t="s">
        <v>289</v>
      </c>
      <c r="B32" s="81">
        <v>5</v>
      </c>
      <c r="C32" s="81">
        <v>5</v>
      </c>
      <c r="D32" s="81">
        <v>2</v>
      </c>
      <c r="E32" s="81">
        <v>3</v>
      </c>
      <c r="F32" s="81">
        <v>2</v>
      </c>
      <c r="G32" s="81">
        <v>3</v>
      </c>
      <c r="H32" s="81">
        <v>5</v>
      </c>
      <c r="I32" s="81" t="s">
        <v>1035</v>
      </c>
      <c r="J32" s="79"/>
      <c r="K32" s="79"/>
      <c r="L32" s="79"/>
      <c r="M32" s="79"/>
      <c r="N32" s="79"/>
    </row>
    <row r="33" ht="26" spans="1:14">
      <c r="A33" s="81" t="s">
        <v>290</v>
      </c>
      <c r="B33" s="81">
        <v>5</v>
      </c>
      <c r="C33" s="81">
        <v>5</v>
      </c>
      <c r="D33" s="81">
        <v>2</v>
      </c>
      <c r="E33" s="81">
        <v>3</v>
      </c>
      <c r="F33" s="81">
        <v>2</v>
      </c>
      <c r="G33" s="81">
        <v>3</v>
      </c>
      <c r="H33" s="81">
        <v>5</v>
      </c>
      <c r="I33" s="81" t="s">
        <v>1035</v>
      </c>
      <c r="J33" s="79"/>
      <c r="K33" s="79"/>
      <c r="L33" s="79"/>
      <c r="M33" s="79"/>
      <c r="N33" s="79"/>
    </row>
    <row r="34" ht="26" spans="1:14">
      <c r="A34" s="81" t="s">
        <v>292</v>
      </c>
      <c r="B34" s="81">
        <v>5</v>
      </c>
      <c r="C34" s="81">
        <v>5</v>
      </c>
      <c r="D34" s="81">
        <v>2</v>
      </c>
      <c r="E34" s="81">
        <v>3</v>
      </c>
      <c r="F34" s="81">
        <v>2</v>
      </c>
      <c r="G34" s="81">
        <v>3</v>
      </c>
      <c r="H34" s="81">
        <v>5</v>
      </c>
      <c r="I34" s="81" t="s">
        <v>1035</v>
      </c>
      <c r="J34" s="79"/>
      <c r="K34" s="79"/>
      <c r="L34" s="79"/>
      <c r="M34" s="79"/>
      <c r="N34" s="79"/>
    </row>
    <row r="35" ht="26" spans="1:14">
      <c r="A35" s="81" t="s">
        <v>293</v>
      </c>
      <c r="B35" s="81">
        <v>5</v>
      </c>
      <c r="C35" s="81">
        <v>5</v>
      </c>
      <c r="D35" s="81">
        <v>2</v>
      </c>
      <c r="E35" s="81">
        <v>3</v>
      </c>
      <c r="F35" s="81">
        <v>2</v>
      </c>
      <c r="G35" s="81">
        <v>3</v>
      </c>
      <c r="H35" s="81">
        <v>5</v>
      </c>
      <c r="I35" s="81" t="s">
        <v>1035</v>
      </c>
      <c r="J35" s="79"/>
      <c r="K35" s="79"/>
      <c r="L35" s="79"/>
      <c r="M35" s="79"/>
      <c r="N35" s="79"/>
    </row>
    <row r="36" ht="26" spans="1:14">
      <c r="A36" s="81" t="s">
        <v>294</v>
      </c>
      <c r="B36" s="81">
        <v>5</v>
      </c>
      <c r="C36" s="81">
        <v>5</v>
      </c>
      <c r="D36" s="81">
        <v>2</v>
      </c>
      <c r="E36" s="81">
        <v>3</v>
      </c>
      <c r="F36" s="81">
        <v>2</v>
      </c>
      <c r="G36" s="81">
        <v>3</v>
      </c>
      <c r="H36" s="81">
        <v>5</v>
      </c>
      <c r="I36" s="81" t="s">
        <v>1035</v>
      </c>
      <c r="J36" s="79"/>
      <c r="K36" s="79"/>
      <c r="L36" s="79"/>
      <c r="M36" s="79"/>
      <c r="N36" s="79"/>
    </row>
    <row r="37" ht="26" spans="1:14">
      <c r="A37" s="81" t="s">
        <v>295</v>
      </c>
      <c r="B37" s="81">
        <v>5</v>
      </c>
      <c r="C37" s="81">
        <v>5</v>
      </c>
      <c r="D37" s="81">
        <v>2</v>
      </c>
      <c r="E37" s="81">
        <v>3</v>
      </c>
      <c r="F37" s="81">
        <v>2</v>
      </c>
      <c r="G37" s="81">
        <v>3</v>
      </c>
      <c r="H37" s="81">
        <v>5</v>
      </c>
      <c r="I37" s="81" t="s">
        <v>1035</v>
      </c>
      <c r="J37" s="79"/>
      <c r="K37" s="79"/>
      <c r="L37" s="79"/>
      <c r="M37" s="79"/>
      <c r="N37" s="79"/>
    </row>
    <row r="38" ht="26" spans="1:14">
      <c r="A38" s="81" t="s">
        <v>296</v>
      </c>
      <c r="B38" s="81">
        <v>5</v>
      </c>
      <c r="C38" s="81">
        <v>5</v>
      </c>
      <c r="D38" s="81">
        <v>2</v>
      </c>
      <c r="E38" s="81">
        <v>3</v>
      </c>
      <c r="F38" s="81">
        <v>2</v>
      </c>
      <c r="G38" s="81">
        <v>3</v>
      </c>
      <c r="H38" s="81">
        <v>5</v>
      </c>
      <c r="I38" s="81" t="s">
        <v>1035</v>
      </c>
      <c r="J38" s="79"/>
      <c r="K38" s="79"/>
      <c r="L38" s="79"/>
      <c r="M38" s="79"/>
      <c r="N38" s="79"/>
    </row>
    <row r="39" ht="26" spans="1:14">
      <c r="A39" s="81" t="s">
        <v>299</v>
      </c>
      <c r="B39" s="81">
        <v>5</v>
      </c>
      <c r="C39" s="81">
        <v>5</v>
      </c>
      <c r="D39" s="81">
        <v>2</v>
      </c>
      <c r="E39" s="81">
        <v>3</v>
      </c>
      <c r="F39" s="81">
        <v>2</v>
      </c>
      <c r="G39" s="81">
        <v>3</v>
      </c>
      <c r="H39" s="81">
        <v>5</v>
      </c>
      <c r="I39" s="81" t="s">
        <v>1035</v>
      </c>
      <c r="J39" s="79"/>
      <c r="K39" s="79"/>
      <c r="L39" s="79"/>
      <c r="M39" s="79"/>
      <c r="N39" s="79"/>
    </row>
    <row r="40" ht="26" spans="1:14">
      <c r="A40" s="81" t="s">
        <v>300</v>
      </c>
      <c r="B40" s="81">
        <v>5</v>
      </c>
      <c r="C40" s="81">
        <v>5</v>
      </c>
      <c r="D40" s="81">
        <v>2</v>
      </c>
      <c r="E40" s="81">
        <v>3</v>
      </c>
      <c r="F40" s="81">
        <v>2</v>
      </c>
      <c r="G40" s="81">
        <v>3</v>
      </c>
      <c r="H40" s="81">
        <v>5</v>
      </c>
      <c r="I40" s="81" t="s">
        <v>1035</v>
      </c>
      <c r="J40" s="79"/>
      <c r="K40" s="79"/>
      <c r="L40" s="79"/>
      <c r="M40" s="79"/>
      <c r="N40" s="79"/>
    </row>
    <row r="41" ht="26" spans="1:14">
      <c r="A41" s="81" t="s">
        <v>301</v>
      </c>
      <c r="B41" s="81">
        <v>5</v>
      </c>
      <c r="C41" s="81">
        <v>5</v>
      </c>
      <c r="D41" s="81">
        <v>2</v>
      </c>
      <c r="E41" s="81">
        <v>3</v>
      </c>
      <c r="F41" s="81">
        <v>2</v>
      </c>
      <c r="G41" s="81">
        <v>3</v>
      </c>
      <c r="H41" s="81">
        <v>5</v>
      </c>
      <c r="I41" s="81" t="s">
        <v>1035</v>
      </c>
      <c r="J41" s="79"/>
      <c r="K41" s="79"/>
      <c r="L41" s="79"/>
      <c r="M41" s="79"/>
      <c r="N41" s="79"/>
    </row>
    <row r="42" ht="26" spans="1:14">
      <c r="A42" s="81" t="s">
        <v>302</v>
      </c>
      <c r="B42" s="81">
        <v>5</v>
      </c>
      <c r="C42" s="81">
        <v>5</v>
      </c>
      <c r="D42" s="81">
        <v>2</v>
      </c>
      <c r="E42" s="81">
        <v>3</v>
      </c>
      <c r="F42" s="81">
        <v>2</v>
      </c>
      <c r="G42" s="81">
        <v>3</v>
      </c>
      <c r="H42" s="81">
        <v>5</v>
      </c>
      <c r="I42" s="81" t="s">
        <v>1035</v>
      </c>
      <c r="J42" s="79"/>
      <c r="K42" s="79"/>
      <c r="L42" s="79"/>
      <c r="M42" s="79"/>
      <c r="N42" s="79"/>
    </row>
    <row r="43" ht="26" spans="1:14">
      <c r="A43" s="81" t="s">
        <v>303</v>
      </c>
      <c r="B43" s="81">
        <v>5</v>
      </c>
      <c r="C43" s="81">
        <v>5</v>
      </c>
      <c r="D43" s="81">
        <v>2</v>
      </c>
      <c r="E43" s="81">
        <v>3</v>
      </c>
      <c r="F43" s="81">
        <v>2</v>
      </c>
      <c r="G43" s="81">
        <v>3</v>
      </c>
      <c r="H43" s="81">
        <v>5</v>
      </c>
      <c r="I43" s="81" t="s">
        <v>1035</v>
      </c>
      <c r="J43" s="79"/>
      <c r="K43" s="79"/>
      <c r="L43" s="79"/>
      <c r="M43" s="79"/>
      <c r="N43" s="79"/>
    </row>
    <row r="44" ht="26" spans="1:14">
      <c r="A44" s="81" t="s">
        <v>304</v>
      </c>
      <c r="B44" s="81">
        <v>5</v>
      </c>
      <c r="C44" s="81">
        <v>5</v>
      </c>
      <c r="D44" s="81">
        <v>2</v>
      </c>
      <c r="E44" s="81">
        <v>3</v>
      </c>
      <c r="F44" s="81">
        <v>2</v>
      </c>
      <c r="G44" s="81">
        <v>3</v>
      </c>
      <c r="H44" s="81">
        <v>5</v>
      </c>
      <c r="I44" s="81" t="s">
        <v>1035</v>
      </c>
      <c r="J44" s="79"/>
      <c r="K44" s="79"/>
      <c r="L44" s="79"/>
      <c r="M44" s="79"/>
      <c r="N44" s="79"/>
    </row>
    <row r="45" ht="26" spans="1:14">
      <c r="A45" s="81" t="s">
        <v>306</v>
      </c>
      <c r="B45" s="81">
        <v>5</v>
      </c>
      <c r="C45" s="81">
        <v>5</v>
      </c>
      <c r="D45" s="81">
        <v>2</v>
      </c>
      <c r="E45" s="81">
        <v>3</v>
      </c>
      <c r="F45" s="81">
        <v>2</v>
      </c>
      <c r="G45" s="81">
        <v>3</v>
      </c>
      <c r="H45" s="81">
        <v>5</v>
      </c>
      <c r="I45" s="81" t="s">
        <v>1035</v>
      </c>
      <c r="J45" s="79"/>
      <c r="K45" s="79"/>
      <c r="L45" s="79"/>
      <c r="M45" s="79"/>
      <c r="N45" s="79"/>
    </row>
    <row r="46" ht="26" spans="1:14">
      <c r="A46" s="81" t="s">
        <v>307</v>
      </c>
      <c r="B46" s="81">
        <v>5</v>
      </c>
      <c r="C46" s="81">
        <v>5</v>
      </c>
      <c r="D46" s="81">
        <v>2</v>
      </c>
      <c r="E46" s="81">
        <v>3</v>
      </c>
      <c r="F46" s="81">
        <v>2</v>
      </c>
      <c r="G46" s="81">
        <v>3</v>
      </c>
      <c r="H46" s="81">
        <v>5</v>
      </c>
      <c r="I46" s="81" t="s">
        <v>1035</v>
      </c>
      <c r="J46" s="79"/>
      <c r="K46" s="79"/>
      <c r="L46" s="79"/>
      <c r="M46" s="79"/>
      <c r="N46" s="79"/>
    </row>
    <row r="47" ht="26" spans="1:14">
      <c r="A47" s="81" t="s">
        <v>308</v>
      </c>
      <c r="B47" s="81">
        <v>5</v>
      </c>
      <c r="C47" s="81">
        <v>5</v>
      </c>
      <c r="D47" s="81">
        <v>2</v>
      </c>
      <c r="E47" s="81">
        <v>3</v>
      </c>
      <c r="F47" s="81">
        <v>2</v>
      </c>
      <c r="G47" s="81">
        <v>3</v>
      </c>
      <c r="H47" s="81">
        <v>5</v>
      </c>
      <c r="I47" s="81" t="s">
        <v>1035</v>
      </c>
      <c r="J47" s="79"/>
      <c r="K47" s="79"/>
      <c r="L47" s="79"/>
      <c r="M47" s="79"/>
      <c r="N47" s="79"/>
    </row>
    <row r="48" ht="26" spans="1:14">
      <c r="A48" s="81" t="s">
        <v>309</v>
      </c>
      <c r="B48" s="81">
        <v>5</v>
      </c>
      <c r="C48" s="81">
        <v>5</v>
      </c>
      <c r="D48" s="81">
        <v>2</v>
      </c>
      <c r="E48" s="81">
        <v>3</v>
      </c>
      <c r="F48" s="81">
        <v>2</v>
      </c>
      <c r="G48" s="81">
        <v>3</v>
      </c>
      <c r="H48" s="81">
        <v>5</v>
      </c>
      <c r="I48" s="81" t="s">
        <v>1035</v>
      </c>
      <c r="J48" s="79"/>
      <c r="K48" s="79"/>
      <c r="L48" s="79"/>
      <c r="M48" s="79"/>
      <c r="N48" s="79"/>
    </row>
    <row r="49" ht="26" spans="1:14">
      <c r="A49" s="81" t="s">
        <v>310</v>
      </c>
      <c r="B49" s="81">
        <v>5</v>
      </c>
      <c r="C49" s="81">
        <v>5</v>
      </c>
      <c r="D49" s="81">
        <v>2</v>
      </c>
      <c r="E49" s="81">
        <v>3</v>
      </c>
      <c r="F49" s="81">
        <v>2</v>
      </c>
      <c r="G49" s="81">
        <v>3</v>
      </c>
      <c r="H49" s="81">
        <v>5</v>
      </c>
      <c r="I49" s="81" t="s">
        <v>1035</v>
      </c>
      <c r="J49" s="79"/>
      <c r="K49" s="79"/>
      <c r="L49" s="79"/>
      <c r="M49" s="79"/>
      <c r="N49" s="79"/>
    </row>
    <row r="50" ht="26" spans="1:14">
      <c r="A50" s="81" t="s">
        <v>311</v>
      </c>
      <c r="B50" s="81">
        <v>5</v>
      </c>
      <c r="C50" s="81">
        <v>5</v>
      </c>
      <c r="D50" s="81">
        <v>2</v>
      </c>
      <c r="E50" s="81">
        <v>3</v>
      </c>
      <c r="F50" s="81">
        <v>2</v>
      </c>
      <c r="G50" s="81">
        <v>3</v>
      </c>
      <c r="H50" s="81">
        <v>5</v>
      </c>
      <c r="I50" s="81" t="s">
        <v>1035</v>
      </c>
      <c r="J50" s="79"/>
      <c r="K50" s="79"/>
      <c r="L50" s="79"/>
      <c r="M50" s="79"/>
      <c r="N50" s="79"/>
    </row>
    <row r="51" ht="26" spans="1:14">
      <c r="A51" s="81" t="s">
        <v>313</v>
      </c>
      <c r="B51" s="81">
        <v>5</v>
      </c>
      <c r="C51" s="81">
        <v>5</v>
      </c>
      <c r="D51" s="81">
        <v>2</v>
      </c>
      <c r="E51" s="81">
        <v>3</v>
      </c>
      <c r="F51" s="81">
        <v>2</v>
      </c>
      <c r="G51" s="81">
        <v>3</v>
      </c>
      <c r="H51" s="81">
        <v>5</v>
      </c>
      <c r="I51" s="81" t="s">
        <v>1035</v>
      </c>
      <c r="J51" s="79"/>
      <c r="K51" s="79"/>
      <c r="L51" s="79"/>
      <c r="M51" s="79"/>
      <c r="N51" s="79"/>
    </row>
    <row r="52" ht="26" spans="1:14">
      <c r="A52" s="81" t="s">
        <v>314</v>
      </c>
      <c r="B52" s="81">
        <v>5</v>
      </c>
      <c r="C52" s="81">
        <v>5</v>
      </c>
      <c r="D52" s="81">
        <v>2</v>
      </c>
      <c r="E52" s="81">
        <v>3</v>
      </c>
      <c r="F52" s="81">
        <v>2</v>
      </c>
      <c r="G52" s="81">
        <v>3</v>
      </c>
      <c r="H52" s="81">
        <v>5</v>
      </c>
      <c r="I52" s="81" t="s">
        <v>1035</v>
      </c>
      <c r="J52" s="79"/>
      <c r="K52" s="79"/>
      <c r="L52" s="79"/>
      <c r="M52" s="79"/>
      <c r="N52" s="79"/>
    </row>
    <row r="53" ht="26" spans="1:14">
      <c r="A53" s="81" t="s">
        <v>315</v>
      </c>
      <c r="B53" s="81">
        <v>5</v>
      </c>
      <c r="C53" s="81">
        <v>5</v>
      </c>
      <c r="D53" s="81">
        <v>2</v>
      </c>
      <c r="E53" s="81">
        <v>3</v>
      </c>
      <c r="F53" s="81">
        <v>2</v>
      </c>
      <c r="G53" s="81">
        <v>3</v>
      </c>
      <c r="H53" s="81">
        <v>5</v>
      </c>
      <c r="I53" s="81" t="s">
        <v>1035</v>
      </c>
      <c r="J53" s="79"/>
      <c r="K53" s="79"/>
      <c r="L53" s="79"/>
      <c r="M53" s="79"/>
      <c r="N53" s="79"/>
    </row>
    <row r="54" ht="26" spans="1:14">
      <c r="A54" s="81" t="s">
        <v>316</v>
      </c>
      <c r="B54" s="81">
        <v>5</v>
      </c>
      <c r="C54" s="81">
        <v>5</v>
      </c>
      <c r="D54" s="81">
        <v>2</v>
      </c>
      <c r="E54" s="81">
        <v>3</v>
      </c>
      <c r="F54" s="81">
        <v>2</v>
      </c>
      <c r="G54" s="81">
        <v>3</v>
      </c>
      <c r="H54" s="81">
        <v>5</v>
      </c>
      <c r="I54" s="81" t="s">
        <v>1035</v>
      </c>
      <c r="J54" s="79"/>
      <c r="K54" s="79"/>
      <c r="L54" s="79"/>
      <c r="M54" s="79"/>
      <c r="N54" s="79"/>
    </row>
    <row r="55" ht="26" spans="1:14">
      <c r="A55" s="81" t="s">
        <v>317</v>
      </c>
      <c r="B55" s="81">
        <v>5</v>
      </c>
      <c r="C55" s="81">
        <v>5</v>
      </c>
      <c r="D55" s="81">
        <v>2</v>
      </c>
      <c r="E55" s="81">
        <v>3</v>
      </c>
      <c r="F55" s="81">
        <v>2</v>
      </c>
      <c r="G55" s="81">
        <v>3</v>
      </c>
      <c r="H55" s="81">
        <v>5</v>
      </c>
      <c r="I55" s="81" t="s">
        <v>1035</v>
      </c>
      <c r="J55" s="79"/>
      <c r="K55" s="79"/>
      <c r="L55" s="79"/>
      <c r="M55" s="79"/>
      <c r="N55" s="79"/>
    </row>
    <row r="56" ht="26" spans="1:14">
      <c r="A56" s="81" t="s">
        <v>320</v>
      </c>
      <c r="B56" s="81">
        <v>5</v>
      </c>
      <c r="C56" s="81">
        <v>5</v>
      </c>
      <c r="D56" s="81">
        <v>2</v>
      </c>
      <c r="E56" s="81">
        <v>3</v>
      </c>
      <c r="F56" s="81">
        <v>2</v>
      </c>
      <c r="G56" s="81">
        <v>3</v>
      </c>
      <c r="H56" s="81">
        <v>5</v>
      </c>
      <c r="I56" s="81" t="s">
        <v>1035</v>
      </c>
      <c r="J56" s="79"/>
      <c r="K56" s="79"/>
      <c r="L56" s="79"/>
      <c r="M56" s="79"/>
      <c r="N56" s="79"/>
    </row>
    <row r="57" ht="26" spans="1:14">
      <c r="A57" s="81" t="s">
        <v>321</v>
      </c>
      <c r="B57" s="81">
        <v>5</v>
      </c>
      <c r="C57" s="81">
        <v>5</v>
      </c>
      <c r="D57" s="81">
        <v>2</v>
      </c>
      <c r="E57" s="81">
        <v>3</v>
      </c>
      <c r="F57" s="81">
        <v>2</v>
      </c>
      <c r="G57" s="81">
        <v>3</v>
      </c>
      <c r="H57" s="81">
        <v>5</v>
      </c>
      <c r="I57" s="81" t="s">
        <v>1035</v>
      </c>
      <c r="J57" s="79"/>
      <c r="K57" s="79"/>
      <c r="L57" s="79"/>
      <c r="M57" s="79"/>
      <c r="N57" s="79"/>
    </row>
    <row r="58" ht="26" spans="1:14">
      <c r="A58" s="81" t="s">
        <v>322</v>
      </c>
      <c r="B58" s="81">
        <v>5</v>
      </c>
      <c r="C58" s="81">
        <v>5</v>
      </c>
      <c r="D58" s="81">
        <v>2</v>
      </c>
      <c r="E58" s="81">
        <v>3</v>
      </c>
      <c r="F58" s="81">
        <v>2</v>
      </c>
      <c r="G58" s="81">
        <v>3</v>
      </c>
      <c r="H58" s="81">
        <v>5</v>
      </c>
      <c r="I58" s="81" t="s">
        <v>1035</v>
      </c>
      <c r="J58" s="79"/>
      <c r="K58" s="79"/>
      <c r="L58" s="79"/>
      <c r="M58" s="79"/>
      <c r="N58" s="79"/>
    </row>
    <row r="59" ht="26" spans="1:14">
      <c r="A59" s="81" t="s">
        <v>323</v>
      </c>
      <c r="B59" s="81">
        <v>5</v>
      </c>
      <c r="C59" s="81">
        <v>5</v>
      </c>
      <c r="D59" s="81">
        <v>2</v>
      </c>
      <c r="E59" s="81">
        <v>3</v>
      </c>
      <c r="F59" s="81">
        <v>2</v>
      </c>
      <c r="G59" s="81">
        <v>3</v>
      </c>
      <c r="H59" s="81">
        <v>5</v>
      </c>
      <c r="I59" s="81" t="s">
        <v>1035</v>
      </c>
      <c r="J59" s="79"/>
      <c r="K59" s="79"/>
      <c r="L59" s="79"/>
      <c r="M59" s="79"/>
      <c r="N59" s="79"/>
    </row>
    <row r="60" ht="26" spans="1:14">
      <c r="A60" s="81" t="s">
        <v>324</v>
      </c>
      <c r="B60" s="81">
        <v>5</v>
      </c>
      <c r="C60" s="81">
        <v>5</v>
      </c>
      <c r="D60" s="81">
        <v>2</v>
      </c>
      <c r="E60" s="81">
        <v>3</v>
      </c>
      <c r="F60" s="81">
        <v>2</v>
      </c>
      <c r="G60" s="81">
        <v>3</v>
      </c>
      <c r="H60" s="81">
        <v>5</v>
      </c>
      <c r="I60" s="81" t="s">
        <v>1035</v>
      </c>
      <c r="J60" s="79"/>
      <c r="K60" s="79"/>
      <c r="L60" s="79"/>
      <c r="M60" s="79"/>
      <c r="N60" s="79"/>
    </row>
    <row r="61" ht="26" spans="1:14">
      <c r="A61" s="81" t="s">
        <v>326</v>
      </c>
      <c r="B61" s="81">
        <v>5</v>
      </c>
      <c r="C61" s="81">
        <v>5</v>
      </c>
      <c r="D61" s="81">
        <v>2</v>
      </c>
      <c r="E61" s="81">
        <v>3</v>
      </c>
      <c r="F61" s="81">
        <v>2</v>
      </c>
      <c r="G61" s="81">
        <v>3</v>
      </c>
      <c r="H61" s="81">
        <v>5</v>
      </c>
      <c r="I61" s="81" t="s">
        <v>1035</v>
      </c>
      <c r="J61" s="79"/>
      <c r="K61" s="79"/>
      <c r="L61" s="79"/>
      <c r="M61" s="79"/>
      <c r="N61" s="79"/>
    </row>
    <row r="62" ht="26" spans="1:14">
      <c r="A62" s="81" t="s">
        <v>327</v>
      </c>
      <c r="B62" s="81">
        <v>5</v>
      </c>
      <c r="C62" s="81">
        <v>5</v>
      </c>
      <c r="D62" s="81">
        <v>2</v>
      </c>
      <c r="E62" s="81">
        <v>3</v>
      </c>
      <c r="F62" s="81">
        <v>2</v>
      </c>
      <c r="G62" s="81">
        <v>3</v>
      </c>
      <c r="H62" s="81">
        <v>5</v>
      </c>
      <c r="I62" s="81" t="s">
        <v>1035</v>
      </c>
      <c r="J62" s="79"/>
      <c r="K62" s="79"/>
      <c r="L62" s="79"/>
      <c r="M62" s="79"/>
      <c r="N62" s="79"/>
    </row>
    <row r="63" ht="26" spans="1:14">
      <c r="A63" s="81" t="s">
        <v>328</v>
      </c>
      <c r="B63" s="81">
        <v>5</v>
      </c>
      <c r="C63" s="81">
        <v>5</v>
      </c>
      <c r="D63" s="81">
        <v>2</v>
      </c>
      <c r="E63" s="81">
        <v>3</v>
      </c>
      <c r="F63" s="81">
        <v>2</v>
      </c>
      <c r="G63" s="81">
        <v>3</v>
      </c>
      <c r="H63" s="81">
        <v>5</v>
      </c>
      <c r="I63" s="81" t="s">
        <v>1035</v>
      </c>
      <c r="J63" s="79"/>
      <c r="K63" s="79"/>
      <c r="L63" s="79"/>
      <c r="M63" s="79"/>
      <c r="N63" s="79"/>
    </row>
    <row r="64" ht="26" spans="1:14">
      <c r="A64" s="81" t="s">
        <v>329</v>
      </c>
      <c r="B64" s="81">
        <v>5</v>
      </c>
      <c r="C64" s="81">
        <v>5</v>
      </c>
      <c r="D64" s="81">
        <v>2</v>
      </c>
      <c r="E64" s="81">
        <v>3</v>
      </c>
      <c r="F64" s="81">
        <v>2</v>
      </c>
      <c r="G64" s="81">
        <v>3</v>
      </c>
      <c r="H64" s="81">
        <v>5</v>
      </c>
      <c r="I64" s="81" t="s">
        <v>1035</v>
      </c>
      <c r="J64" s="79"/>
      <c r="K64" s="79"/>
      <c r="L64" s="79"/>
      <c r="M64" s="79"/>
      <c r="N64" s="79"/>
    </row>
    <row r="65" ht="26" spans="1:14">
      <c r="A65" s="81" t="s">
        <v>330</v>
      </c>
      <c r="B65" s="81">
        <v>5</v>
      </c>
      <c r="C65" s="81">
        <v>5</v>
      </c>
      <c r="D65" s="81">
        <v>2</v>
      </c>
      <c r="E65" s="81">
        <v>3</v>
      </c>
      <c r="F65" s="81">
        <v>2</v>
      </c>
      <c r="G65" s="81">
        <v>3</v>
      </c>
      <c r="H65" s="81">
        <v>5</v>
      </c>
      <c r="I65" s="81" t="s">
        <v>1035</v>
      </c>
      <c r="J65" s="79"/>
      <c r="K65" s="79"/>
      <c r="L65" s="79"/>
      <c r="M65" s="79"/>
      <c r="N65" s="79"/>
    </row>
    <row r="66" ht="26" spans="1:14">
      <c r="A66" s="81" t="s">
        <v>334</v>
      </c>
      <c r="B66" s="81">
        <v>2</v>
      </c>
      <c r="C66" s="81">
        <v>2</v>
      </c>
      <c r="D66" s="81">
        <v>2</v>
      </c>
      <c r="E66" s="81">
        <v>2</v>
      </c>
      <c r="F66" s="81">
        <v>3</v>
      </c>
      <c r="G66" s="81">
        <v>2</v>
      </c>
      <c r="H66" s="81">
        <v>3</v>
      </c>
      <c r="I66" s="81" t="s">
        <v>1035</v>
      </c>
      <c r="J66" s="79"/>
      <c r="K66" s="79"/>
      <c r="L66" s="79"/>
      <c r="M66" s="79"/>
      <c r="N66" s="79"/>
    </row>
    <row r="67" ht="26" spans="1:14">
      <c r="A67" s="81" t="s">
        <v>342</v>
      </c>
      <c r="B67" s="81">
        <v>2</v>
      </c>
      <c r="C67" s="81">
        <v>2</v>
      </c>
      <c r="D67" s="81">
        <v>2</v>
      </c>
      <c r="E67" s="81">
        <v>2</v>
      </c>
      <c r="F67" s="81">
        <v>3</v>
      </c>
      <c r="G67" s="81">
        <v>2</v>
      </c>
      <c r="H67" s="81">
        <v>3</v>
      </c>
      <c r="I67" s="81" t="s">
        <v>1035</v>
      </c>
      <c r="J67" s="79"/>
      <c r="K67" s="79"/>
      <c r="L67" s="79"/>
      <c r="M67" s="79"/>
      <c r="N67" s="79"/>
    </row>
    <row r="68" ht="26" spans="1:14">
      <c r="A68" s="81" t="s">
        <v>343</v>
      </c>
      <c r="B68" s="81">
        <v>5</v>
      </c>
      <c r="C68" s="81">
        <v>5</v>
      </c>
      <c r="D68" s="81">
        <v>2</v>
      </c>
      <c r="E68" s="81">
        <v>3</v>
      </c>
      <c r="F68" s="81">
        <v>2</v>
      </c>
      <c r="G68" s="81">
        <v>3</v>
      </c>
      <c r="H68" s="81">
        <v>5</v>
      </c>
      <c r="I68" s="81" t="s">
        <v>1035</v>
      </c>
      <c r="J68" s="79"/>
      <c r="K68" s="79"/>
      <c r="L68" s="79"/>
      <c r="M68" s="79"/>
      <c r="N68" s="79"/>
    </row>
    <row r="69" ht="26" spans="1:14">
      <c r="A69" s="81" t="s">
        <v>347</v>
      </c>
      <c r="B69" s="81">
        <v>5</v>
      </c>
      <c r="C69" s="81">
        <v>5</v>
      </c>
      <c r="D69" s="81">
        <v>2</v>
      </c>
      <c r="E69" s="81">
        <v>3</v>
      </c>
      <c r="F69" s="81">
        <v>2</v>
      </c>
      <c r="G69" s="81">
        <v>3</v>
      </c>
      <c r="H69" s="81">
        <v>5</v>
      </c>
      <c r="I69" s="81" t="s">
        <v>1035</v>
      </c>
      <c r="J69" s="79"/>
      <c r="K69" s="79"/>
      <c r="L69" s="79"/>
      <c r="M69" s="79"/>
      <c r="N69" s="79"/>
    </row>
    <row r="70" ht="26" spans="1:14">
      <c r="A70" s="81" t="s">
        <v>348</v>
      </c>
      <c r="B70" s="81">
        <v>5</v>
      </c>
      <c r="C70" s="81">
        <v>5</v>
      </c>
      <c r="D70" s="81">
        <v>2</v>
      </c>
      <c r="E70" s="81">
        <v>3</v>
      </c>
      <c r="F70" s="81">
        <v>2</v>
      </c>
      <c r="G70" s="81">
        <v>3</v>
      </c>
      <c r="H70" s="81">
        <v>5</v>
      </c>
      <c r="I70" s="81" t="s">
        <v>1035</v>
      </c>
      <c r="J70" s="79"/>
      <c r="K70" s="79"/>
      <c r="L70" s="79"/>
      <c r="M70" s="79"/>
      <c r="N70" s="79"/>
    </row>
    <row r="71" ht="26" spans="1:14">
      <c r="A71" s="81" t="s">
        <v>349</v>
      </c>
      <c r="B71" s="81">
        <v>5</v>
      </c>
      <c r="C71" s="81">
        <v>5</v>
      </c>
      <c r="D71" s="81">
        <v>2</v>
      </c>
      <c r="E71" s="81">
        <v>3</v>
      </c>
      <c r="F71" s="81">
        <v>2</v>
      </c>
      <c r="G71" s="81">
        <v>3</v>
      </c>
      <c r="H71" s="81">
        <v>5</v>
      </c>
      <c r="I71" s="81" t="s">
        <v>1035</v>
      </c>
      <c r="J71" s="79"/>
      <c r="K71" s="79"/>
      <c r="L71" s="79"/>
      <c r="M71" s="79"/>
      <c r="N71" s="79"/>
    </row>
    <row r="72" ht="26" spans="1:14">
      <c r="A72" s="81" t="s">
        <v>350</v>
      </c>
      <c r="B72" s="81">
        <v>5</v>
      </c>
      <c r="C72" s="81">
        <v>5</v>
      </c>
      <c r="D72" s="81">
        <v>2</v>
      </c>
      <c r="E72" s="81">
        <v>3</v>
      </c>
      <c r="F72" s="81">
        <v>2</v>
      </c>
      <c r="G72" s="81">
        <v>3</v>
      </c>
      <c r="H72" s="81">
        <v>5</v>
      </c>
      <c r="I72" s="81" t="s">
        <v>1035</v>
      </c>
      <c r="J72" s="79"/>
      <c r="K72" s="79"/>
      <c r="L72" s="79"/>
      <c r="M72" s="79"/>
      <c r="N72" s="79"/>
    </row>
    <row r="73" ht="26" spans="1:14">
      <c r="A73" s="81" t="s">
        <v>351</v>
      </c>
      <c r="B73" s="81">
        <v>2</v>
      </c>
      <c r="C73" s="81">
        <v>2</v>
      </c>
      <c r="D73" s="81">
        <v>2</v>
      </c>
      <c r="E73" s="81">
        <v>2</v>
      </c>
      <c r="F73" s="81">
        <v>2</v>
      </c>
      <c r="G73" s="81">
        <v>2</v>
      </c>
      <c r="H73" s="81">
        <v>2</v>
      </c>
      <c r="I73" s="81" t="s">
        <v>1035</v>
      </c>
      <c r="J73" s="79"/>
      <c r="K73" s="79"/>
      <c r="L73" s="79"/>
      <c r="M73" s="79"/>
      <c r="N73" s="79"/>
    </row>
    <row r="74" ht="26" spans="1:14">
      <c r="A74" s="81" t="s">
        <v>353</v>
      </c>
      <c r="B74" s="81">
        <v>2</v>
      </c>
      <c r="C74" s="81">
        <v>2</v>
      </c>
      <c r="D74" s="81">
        <v>2</v>
      </c>
      <c r="E74" s="81">
        <v>2</v>
      </c>
      <c r="F74" s="81">
        <v>2</v>
      </c>
      <c r="G74" s="81">
        <v>2</v>
      </c>
      <c r="H74" s="81">
        <v>2</v>
      </c>
      <c r="I74" s="81" t="s">
        <v>1035</v>
      </c>
      <c r="J74" s="79"/>
      <c r="K74" s="79"/>
      <c r="L74" s="79"/>
      <c r="M74" s="79"/>
      <c r="N74" s="79"/>
    </row>
    <row r="75" ht="26" spans="1:14">
      <c r="A75" s="81" t="s">
        <v>354</v>
      </c>
      <c r="B75" s="81">
        <v>2</v>
      </c>
      <c r="C75" s="81">
        <v>2</v>
      </c>
      <c r="D75" s="81">
        <v>2</v>
      </c>
      <c r="E75" s="81">
        <v>2</v>
      </c>
      <c r="F75" s="81">
        <v>2</v>
      </c>
      <c r="G75" s="81">
        <v>2</v>
      </c>
      <c r="H75" s="81">
        <v>2</v>
      </c>
      <c r="I75" s="81" t="s">
        <v>1035</v>
      </c>
      <c r="J75" s="79"/>
      <c r="K75" s="79"/>
      <c r="L75" s="79"/>
      <c r="M75" s="79"/>
      <c r="N75" s="79"/>
    </row>
    <row r="76" ht="26" spans="1:14">
      <c r="A76" s="81" t="s">
        <v>355</v>
      </c>
      <c r="B76" s="81">
        <v>2</v>
      </c>
      <c r="C76" s="81">
        <v>2</v>
      </c>
      <c r="D76" s="81">
        <v>2</v>
      </c>
      <c r="E76" s="81">
        <v>2</v>
      </c>
      <c r="F76" s="81">
        <v>2</v>
      </c>
      <c r="G76" s="81">
        <v>2</v>
      </c>
      <c r="H76" s="81">
        <v>2</v>
      </c>
      <c r="I76" s="81" t="s">
        <v>1035</v>
      </c>
      <c r="J76" s="79"/>
      <c r="K76" s="79"/>
      <c r="L76" s="79"/>
      <c r="M76" s="79"/>
      <c r="N76" s="79"/>
    </row>
    <row r="77" ht="26" spans="1:14">
      <c r="A77" s="81" t="s">
        <v>356</v>
      </c>
      <c r="B77" s="81">
        <v>2</v>
      </c>
      <c r="C77" s="81">
        <v>2</v>
      </c>
      <c r="D77" s="81">
        <v>2</v>
      </c>
      <c r="E77" s="81">
        <v>2</v>
      </c>
      <c r="F77" s="81">
        <v>2</v>
      </c>
      <c r="G77" s="81">
        <v>2</v>
      </c>
      <c r="H77" s="81">
        <v>2</v>
      </c>
      <c r="I77" s="81" t="s">
        <v>1035</v>
      </c>
      <c r="J77" s="79"/>
      <c r="K77" s="79"/>
      <c r="L77" s="79"/>
      <c r="M77" s="79"/>
      <c r="N77" s="79"/>
    </row>
    <row r="78" ht="26" spans="1:14">
      <c r="A78" s="81" t="s">
        <v>357</v>
      </c>
      <c r="B78" s="81">
        <v>2</v>
      </c>
      <c r="C78" s="81">
        <v>2</v>
      </c>
      <c r="D78" s="81">
        <v>2</v>
      </c>
      <c r="E78" s="81">
        <v>2</v>
      </c>
      <c r="F78" s="81">
        <v>2</v>
      </c>
      <c r="G78" s="81">
        <v>2</v>
      </c>
      <c r="H78" s="81">
        <v>2</v>
      </c>
      <c r="I78" s="81" t="s">
        <v>1035</v>
      </c>
      <c r="J78" s="79"/>
      <c r="K78" s="79"/>
      <c r="L78" s="79"/>
      <c r="M78" s="79"/>
      <c r="N78" s="79"/>
    </row>
    <row r="79" ht="26" spans="1:14">
      <c r="A79" s="81" t="s">
        <v>359</v>
      </c>
      <c r="B79" s="81">
        <v>5</v>
      </c>
      <c r="C79" s="81">
        <v>5</v>
      </c>
      <c r="D79" s="81">
        <v>2</v>
      </c>
      <c r="E79" s="81">
        <v>3</v>
      </c>
      <c r="F79" s="81">
        <v>2</v>
      </c>
      <c r="G79" s="81">
        <v>3</v>
      </c>
      <c r="H79" s="81">
        <v>5</v>
      </c>
      <c r="I79" s="81" t="s">
        <v>1035</v>
      </c>
      <c r="J79" s="79"/>
      <c r="K79" s="79"/>
      <c r="L79" s="79"/>
      <c r="M79" s="79"/>
      <c r="N79" s="79"/>
    </row>
    <row r="80" ht="26" spans="1:14">
      <c r="A80" s="81" t="s">
        <v>361</v>
      </c>
      <c r="B80" s="81">
        <v>3</v>
      </c>
      <c r="C80" s="81">
        <v>3</v>
      </c>
      <c r="D80" s="81">
        <v>2</v>
      </c>
      <c r="E80" s="81">
        <v>2</v>
      </c>
      <c r="F80" s="81">
        <v>3</v>
      </c>
      <c r="G80" s="81">
        <v>2</v>
      </c>
      <c r="H80" s="81">
        <v>3</v>
      </c>
      <c r="I80" s="81" t="s">
        <v>1035</v>
      </c>
      <c r="J80" s="79"/>
      <c r="K80" s="79"/>
      <c r="L80" s="79"/>
      <c r="M80" s="79"/>
      <c r="N80" s="79"/>
    </row>
    <row r="81" ht="26" spans="1:14">
      <c r="A81" s="81" t="s">
        <v>370</v>
      </c>
      <c r="B81" s="81">
        <v>3</v>
      </c>
      <c r="C81" s="81">
        <v>3</v>
      </c>
      <c r="D81" s="81">
        <v>2</v>
      </c>
      <c r="E81" s="81">
        <v>2</v>
      </c>
      <c r="F81" s="81">
        <v>3</v>
      </c>
      <c r="G81" s="81">
        <v>2</v>
      </c>
      <c r="H81" s="81">
        <v>3</v>
      </c>
      <c r="I81" s="81" t="s">
        <v>1035</v>
      </c>
      <c r="J81" s="79"/>
      <c r="K81" s="79"/>
      <c r="L81" s="79"/>
      <c r="M81" s="79"/>
      <c r="N81" s="79"/>
    </row>
    <row r="82" ht="26" spans="1:14">
      <c r="A82" s="81" t="s">
        <v>371</v>
      </c>
      <c r="B82" s="81">
        <v>3</v>
      </c>
      <c r="C82" s="81">
        <v>3</v>
      </c>
      <c r="D82" s="81">
        <v>2</v>
      </c>
      <c r="E82" s="81">
        <v>2</v>
      </c>
      <c r="F82" s="81">
        <v>3</v>
      </c>
      <c r="G82" s="81">
        <v>2</v>
      </c>
      <c r="H82" s="81">
        <v>3</v>
      </c>
      <c r="I82" s="81" t="s">
        <v>1035</v>
      </c>
      <c r="J82" s="79"/>
      <c r="K82" s="79"/>
      <c r="L82" s="79"/>
      <c r="M82" s="79"/>
      <c r="N82" s="79"/>
    </row>
    <row r="83" ht="26" spans="1:14">
      <c r="A83" s="81" t="s">
        <v>372</v>
      </c>
      <c r="B83" s="81">
        <v>3</v>
      </c>
      <c r="C83" s="81">
        <v>3</v>
      </c>
      <c r="D83" s="81">
        <v>2</v>
      </c>
      <c r="E83" s="81">
        <v>2</v>
      </c>
      <c r="F83" s="81">
        <v>3</v>
      </c>
      <c r="G83" s="81">
        <v>2</v>
      </c>
      <c r="H83" s="81">
        <v>3</v>
      </c>
      <c r="I83" s="81" t="s">
        <v>1035</v>
      </c>
      <c r="J83" s="79"/>
      <c r="K83" s="79"/>
      <c r="L83" s="79"/>
      <c r="M83" s="79"/>
      <c r="N83" s="79"/>
    </row>
    <row r="84" ht="26" spans="1:14">
      <c r="A84" s="81" t="s">
        <v>373</v>
      </c>
      <c r="B84" s="81">
        <v>2</v>
      </c>
      <c r="C84" s="81">
        <v>2</v>
      </c>
      <c r="D84" s="81">
        <v>2</v>
      </c>
      <c r="E84" s="81">
        <v>2</v>
      </c>
      <c r="F84" s="81">
        <v>3</v>
      </c>
      <c r="G84" s="81">
        <v>2</v>
      </c>
      <c r="H84" s="81">
        <v>3</v>
      </c>
      <c r="I84" s="81" t="s">
        <v>1035</v>
      </c>
      <c r="J84" s="79"/>
      <c r="K84" s="79"/>
      <c r="L84" s="79"/>
      <c r="M84" s="79"/>
      <c r="N84" s="79"/>
    </row>
    <row r="85" ht="26" spans="1:14">
      <c r="A85" s="81" t="s">
        <v>374</v>
      </c>
      <c r="B85" s="81">
        <v>2</v>
      </c>
      <c r="C85" s="81">
        <v>2</v>
      </c>
      <c r="D85" s="81">
        <v>2</v>
      </c>
      <c r="E85" s="81">
        <v>2</v>
      </c>
      <c r="F85" s="81">
        <v>2</v>
      </c>
      <c r="G85" s="81">
        <v>2</v>
      </c>
      <c r="H85" s="81">
        <v>2</v>
      </c>
      <c r="I85" s="81" t="s">
        <v>1035</v>
      </c>
      <c r="J85" s="79"/>
      <c r="K85" s="79"/>
      <c r="L85" s="79"/>
      <c r="M85" s="79"/>
      <c r="N85" s="79"/>
    </row>
    <row r="86" ht="26" spans="1:14">
      <c r="A86" s="81" t="s">
        <v>376</v>
      </c>
      <c r="B86" s="81">
        <v>2</v>
      </c>
      <c r="C86" s="81">
        <v>2</v>
      </c>
      <c r="D86" s="81">
        <v>2</v>
      </c>
      <c r="E86" s="81">
        <v>2</v>
      </c>
      <c r="F86" s="81">
        <v>2</v>
      </c>
      <c r="G86" s="81">
        <v>2</v>
      </c>
      <c r="H86" s="81">
        <v>2</v>
      </c>
      <c r="I86" s="81" t="s">
        <v>1035</v>
      </c>
      <c r="J86" s="79"/>
      <c r="K86" s="79"/>
      <c r="L86" s="79"/>
      <c r="M86" s="79"/>
      <c r="N86" s="79"/>
    </row>
    <row r="87" ht="26" spans="1:14">
      <c r="A87" s="81" t="s">
        <v>377</v>
      </c>
      <c r="B87" s="81">
        <v>2</v>
      </c>
      <c r="C87" s="81">
        <v>2</v>
      </c>
      <c r="D87" s="81">
        <v>2</v>
      </c>
      <c r="E87" s="81">
        <v>2</v>
      </c>
      <c r="F87" s="81">
        <v>2</v>
      </c>
      <c r="G87" s="81">
        <v>2</v>
      </c>
      <c r="H87" s="81">
        <v>2</v>
      </c>
      <c r="I87" s="81" t="s">
        <v>1035</v>
      </c>
      <c r="J87" s="79"/>
      <c r="K87" s="79"/>
      <c r="L87" s="79"/>
      <c r="M87" s="79"/>
      <c r="N87" s="79"/>
    </row>
    <row r="88" ht="26" spans="1:14">
      <c r="A88" s="81" t="s">
        <v>378</v>
      </c>
      <c r="B88" s="81">
        <v>2</v>
      </c>
      <c r="C88" s="81">
        <v>2</v>
      </c>
      <c r="D88" s="81">
        <v>2</v>
      </c>
      <c r="E88" s="81">
        <v>2</v>
      </c>
      <c r="F88" s="81">
        <v>2</v>
      </c>
      <c r="G88" s="81">
        <v>2</v>
      </c>
      <c r="H88" s="81">
        <v>2</v>
      </c>
      <c r="I88" s="81" t="s">
        <v>1035</v>
      </c>
      <c r="J88" s="79"/>
      <c r="K88" s="79"/>
      <c r="L88" s="79"/>
      <c r="M88" s="79"/>
      <c r="N88" s="79"/>
    </row>
    <row r="89" ht="26" spans="1:14">
      <c r="A89" s="81" t="s">
        <v>379</v>
      </c>
      <c r="B89" s="81">
        <v>2</v>
      </c>
      <c r="C89" s="81">
        <v>2</v>
      </c>
      <c r="D89" s="81">
        <v>2</v>
      </c>
      <c r="E89" s="81">
        <v>2</v>
      </c>
      <c r="F89" s="81">
        <v>2</v>
      </c>
      <c r="G89" s="81">
        <v>2</v>
      </c>
      <c r="H89" s="81">
        <v>2</v>
      </c>
      <c r="I89" s="81" t="s">
        <v>1035</v>
      </c>
      <c r="J89" s="79"/>
      <c r="K89" s="79"/>
      <c r="L89" s="79"/>
      <c r="M89" s="79"/>
      <c r="N89" s="79"/>
    </row>
    <row r="90" ht="26" spans="1:14">
      <c r="A90" s="81" t="s">
        <v>380</v>
      </c>
      <c r="B90" s="81">
        <v>2</v>
      </c>
      <c r="C90" s="81">
        <v>2</v>
      </c>
      <c r="D90" s="81">
        <v>2</v>
      </c>
      <c r="E90" s="81">
        <v>2</v>
      </c>
      <c r="F90" s="81">
        <v>2</v>
      </c>
      <c r="G90" s="81">
        <v>2</v>
      </c>
      <c r="H90" s="81">
        <v>2</v>
      </c>
      <c r="I90" s="81" t="s">
        <v>1035</v>
      </c>
      <c r="J90" s="79"/>
      <c r="K90" s="79"/>
      <c r="L90" s="79"/>
      <c r="M90" s="79"/>
      <c r="N90" s="79"/>
    </row>
    <row r="91" ht="26" spans="1:14">
      <c r="A91" s="81" t="s">
        <v>381</v>
      </c>
      <c r="B91" s="81">
        <v>2</v>
      </c>
      <c r="C91" s="81">
        <v>2</v>
      </c>
      <c r="D91" s="81">
        <v>2</v>
      </c>
      <c r="E91" s="81">
        <v>2</v>
      </c>
      <c r="F91" s="81">
        <v>2</v>
      </c>
      <c r="G91" s="81">
        <v>2</v>
      </c>
      <c r="H91" s="81">
        <v>2</v>
      </c>
      <c r="I91" s="81" t="s">
        <v>1035</v>
      </c>
      <c r="J91" s="79"/>
      <c r="K91" s="79"/>
      <c r="L91" s="79"/>
      <c r="M91" s="79"/>
      <c r="N91" s="79"/>
    </row>
    <row r="92" ht="26" spans="1:14">
      <c r="A92" s="81" t="s">
        <v>382</v>
      </c>
      <c r="B92" s="81">
        <v>2</v>
      </c>
      <c r="C92" s="81">
        <v>2</v>
      </c>
      <c r="D92" s="81">
        <v>2</v>
      </c>
      <c r="E92" s="81">
        <v>2</v>
      </c>
      <c r="F92" s="81">
        <v>2</v>
      </c>
      <c r="G92" s="81">
        <v>2</v>
      </c>
      <c r="H92" s="81">
        <v>2</v>
      </c>
      <c r="I92" s="81" t="s">
        <v>1035</v>
      </c>
      <c r="J92" s="79"/>
      <c r="K92" s="79"/>
      <c r="L92" s="79"/>
      <c r="M92" s="79"/>
      <c r="N92" s="79"/>
    </row>
    <row r="93" ht="26" spans="1:14">
      <c r="A93" s="81" t="s">
        <v>383</v>
      </c>
      <c r="B93" s="81">
        <v>2</v>
      </c>
      <c r="C93" s="81">
        <v>2</v>
      </c>
      <c r="D93" s="81">
        <v>2</v>
      </c>
      <c r="E93" s="81">
        <v>2</v>
      </c>
      <c r="F93" s="81">
        <v>2</v>
      </c>
      <c r="G93" s="81">
        <v>2</v>
      </c>
      <c r="H93" s="81">
        <v>2</v>
      </c>
      <c r="I93" s="81" t="s">
        <v>1035</v>
      </c>
      <c r="J93" s="79"/>
      <c r="K93" s="79"/>
      <c r="L93" s="79"/>
      <c r="M93" s="79"/>
      <c r="N93" s="79"/>
    </row>
    <row r="94" ht="26" spans="1:14">
      <c r="A94" s="81" t="s">
        <v>384</v>
      </c>
      <c r="B94" s="81">
        <v>2</v>
      </c>
      <c r="C94" s="81">
        <v>2</v>
      </c>
      <c r="D94" s="81">
        <v>2</v>
      </c>
      <c r="E94" s="81">
        <v>2</v>
      </c>
      <c r="F94" s="81">
        <v>3</v>
      </c>
      <c r="G94" s="81">
        <v>2</v>
      </c>
      <c r="H94" s="81">
        <v>3</v>
      </c>
      <c r="I94" s="81" t="s">
        <v>1035</v>
      </c>
      <c r="J94" s="79"/>
      <c r="K94" s="79"/>
      <c r="L94" s="79"/>
      <c r="M94" s="79"/>
      <c r="N94" s="79"/>
    </row>
    <row r="95" ht="26" spans="1:14">
      <c r="A95" s="81" t="s">
        <v>385</v>
      </c>
      <c r="B95" s="81">
        <v>2</v>
      </c>
      <c r="C95" s="81">
        <v>2</v>
      </c>
      <c r="D95" s="81">
        <v>2</v>
      </c>
      <c r="E95" s="81">
        <v>2</v>
      </c>
      <c r="F95" s="81">
        <v>3</v>
      </c>
      <c r="G95" s="81">
        <v>2</v>
      </c>
      <c r="H95" s="81">
        <v>3</v>
      </c>
      <c r="I95" s="81" t="s">
        <v>1035</v>
      </c>
      <c r="J95" s="79"/>
      <c r="K95" s="79"/>
      <c r="L95" s="79"/>
      <c r="M95" s="79"/>
      <c r="N95" s="79"/>
    </row>
    <row r="96" ht="26" spans="1:14">
      <c r="A96" s="81" t="s">
        <v>386</v>
      </c>
      <c r="B96" s="81">
        <v>2</v>
      </c>
      <c r="C96" s="81">
        <v>2</v>
      </c>
      <c r="D96" s="81">
        <v>2</v>
      </c>
      <c r="E96" s="81">
        <v>2</v>
      </c>
      <c r="F96" s="81">
        <v>3</v>
      </c>
      <c r="G96" s="81">
        <v>2</v>
      </c>
      <c r="H96" s="81">
        <v>3</v>
      </c>
      <c r="I96" s="81" t="s">
        <v>1035</v>
      </c>
      <c r="J96" s="79"/>
      <c r="K96" s="79"/>
      <c r="L96" s="79"/>
      <c r="M96" s="79"/>
      <c r="N96" s="79"/>
    </row>
    <row r="97" ht="26" spans="1:14">
      <c r="A97" s="81" t="s">
        <v>387</v>
      </c>
      <c r="B97" s="81">
        <v>2</v>
      </c>
      <c r="C97" s="81">
        <v>2</v>
      </c>
      <c r="D97" s="81">
        <v>2</v>
      </c>
      <c r="E97" s="81">
        <v>2</v>
      </c>
      <c r="F97" s="81">
        <v>3</v>
      </c>
      <c r="G97" s="81">
        <v>2</v>
      </c>
      <c r="H97" s="81">
        <v>3</v>
      </c>
      <c r="I97" s="81" t="s">
        <v>1035</v>
      </c>
      <c r="J97" s="79"/>
      <c r="K97" s="79"/>
      <c r="L97" s="79"/>
      <c r="M97" s="79"/>
      <c r="N97" s="79"/>
    </row>
    <row r="98" ht="26" spans="1:14">
      <c r="A98" s="81" t="s">
        <v>389</v>
      </c>
      <c r="B98" s="81">
        <v>5</v>
      </c>
      <c r="C98" s="81">
        <v>5</v>
      </c>
      <c r="D98" s="81">
        <v>2</v>
      </c>
      <c r="E98" s="81">
        <v>3</v>
      </c>
      <c r="F98" s="81">
        <v>2</v>
      </c>
      <c r="G98" s="81">
        <v>3</v>
      </c>
      <c r="H98" s="81">
        <v>5</v>
      </c>
      <c r="I98" s="81" t="s">
        <v>1035</v>
      </c>
      <c r="J98" s="79"/>
      <c r="K98" s="79"/>
      <c r="L98" s="79"/>
      <c r="M98" s="79"/>
      <c r="N98" s="79"/>
    </row>
    <row r="99" ht="26" spans="1:14">
      <c r="A99" s="81" t="s">
        <v>391</v>
      </c>
      <c r="B99" s="81">
        <v>2</v>
      </c>
      <c r="C99" s="81">
        <v>2</v>
      </c>
      <c r="D99" s="81">
        <v>2</v>
      </c>
      <c r="E99" s="81">
        <v>2</v>
      </c>
      <c r="F99" s="81">
        <v>3</v>
      </c>
      <c r="G99" s="81">
        <v>2</v>
      </c>
      <c r="H99" s="81">
        <v>3</v>
      </c>
      <c r="I99" s="81" t="s">
        <v>1035</v>
      </c>
      <c r="J99" s="79"/>
      <c r="K99" s="79"/>
      <c r="L99" s="79"/>
      <c r="M99" s="79"/>
      <c r="N99" s="79"/>
    </row>
    <row r="100" ht="26" spans="1:14">
      <c r="A100" s="81" t="s">
        <v>396</v>
      </c>
      <c r="B100" s="81">
        <v>2</v>
      </c>
      <c r="C100" s="81">
        <v>2</v>
      </c>
      <c r="D100" s="81">
        <v>2</v>
      </c>
      <c r="E100" s="81">
        <v>2</v>
      </c>
      <c r="F100" s="81">
        <v>3</v>
      </c>
      <c r="G100" s="81">
        <v>2</v>
      </c>
      <c r="H100" s="81">
        <v>3</v>
      </c>
      <c r="I100" s="81" t="s">
        <v>1035</v>
      </c>
      <c r="J100" s="79"/>
      <c r="K100" s="79"/>
      <c r="L100" s="79"/>
      <c r="M100" s="79"/>
      <c r="N100" s="79"/>
    </row>
    <row r="101" ht="26" spans="1:14">
      <c r="A101" s="81" t="s">
        <v>397</v>
      </c>
      <c r="B101" s="81">
        <v>2</v>
      </c>
      <c r="C101" s="81">
        <v>2</v>
      </c>
      <c r="D101" s="81">
        <v>2</v>
      </c>
      <c r="E101" s="81">
        <v>2</v>
      </c>
      <c r="F101" s="81">
        <v>3</v>
      </c>
      <c r="G101" s="81">
        <v>2</v>
      </c>
      <c r="H101" s="81">
        <v>3</v>
      </c>
      <c r="I101" s="81" t="s">
        <v>1035</v>
      </c>
      <c r="J101" s="79"/>
      <c r="K101" s="79"/>
      <c r="L101" s="79"/>
      <c r="M101" s="79"/>
      <c r="N101" s="79"/>
    </row>
    <row r="102" ht="26" spans="1:14">
      <c r="A102" s="81" t="s">
        <v>398</v>
      </c>
      <c r="B102" s="81">
        <v>4</v>
      </c>
      <c r="C102" s="81">
        <v>4</v>
      </c>
      <c r="D102" s="81">
        <v>2</v>
      </c>
      <c r="E102" s="81">
        <v>3</v>
      </c>
      <c r="F102" s="81">
        <v>2</v>
      </c>
      <c r="G102" s="81">
        <v>3</v>
      </c>
      <c r="H102" s="81">
        <v>4</v>
      </c>
      <c r="I102" s="81" t="s">
        <v>1035</v>
      </c>
      <c r="J102" s="79"/>
      <c r="K102" s="79"/>
      <c r="L102" s="79"/>
      <c r="M102" s="79"/>
      <c r="N102" s="79"/>
    </row>
    <row r="103" ht="26" spans="1:14">
      <c r="A103" s="81" t="s">
        <v>404</v>
      </c>
      <c r="B103" s="81">
        <v>5</v>
      </c>
      <c r="C103" s="81">
        <v>5</v>
      </c>
      <c r="D103" s="81">
        <v>2</v>
      </c>
      <c r="E103" s="81">
        <v>3</v>
      </c>
      <c r="F103" s="81">
        <v>2</v>
      </c>
      <c r="G103" s="81">
        <v>3</v>
      </c>
      <c r="H103" s="81">
        <v>5</v>
      </c>
      <c r="I103" s="81" t="s">
        <v>1035</v>
      </c>
      <c r="J103" s="79"/>
      <c r="K103" s="79"/>
      <c r="L103" s="79"/>
      <c r="M103" s="79"/>
      <c r="N103" s="79"/>
    </row>
    <row r="104" ht="26" spans="1:14">
      <c r="A104" s="81" t="s">
        <v>407</v>
      </c>
      <c r="B104" s="81">
        <v>5</v>
      </c>
      <c r="C104" s="81">
        <v>5</v>
      </c>
      <c r="D104" s="81">
        <v>2</v>
      </c>
      <c r="E104" s="81">
        <v>3</v>
      </c>
      <c r="F104" s="81">
        <v>2</v>
      </c>
      <c r="G104" s="81">
        <v>3</v>
      </c>
      <c r="H104" s="81">
        <v>5</v>
      </c>
      <c r="I104" s="81" t="s">
        <v>1035</v>
      </c>
      <c r="J104" s="79"/>
      <c r="K104" s="79"/>
      <c r="L104" s="79"/>
      <c r="M104" s="79"/>
      <c r="N104" s="79"/>
    </row>
    <row r="105" ht="26" spans="1:14">
      <c r="A105" s="81" t="s">
        <v>408</v>
      </c>
      <c r="B105" s="81">
        <v>5</v>
      </c>
      <c r="C105" s="81">
        <v>5</v>
      </c>
      <c r="D105" s="81">
        <v>2</v>
      </c>
      <c r="E105" s="81">
        <v>3</v>
      </c>
      <c r="F105" s="81">
        <v>2</v>
      </c>
      <c r="G105" s="81">
        <v>3</v>
      </c>
      <c r="H105" s="81">
        <v>5</v>
      </c>
      <c r="I105" s="81" t="s">
        <v>1035</v>
      </c>
      <c r="J105" s="79"/>
      <c r="K105" s="79"/>
      <c r="L105" s="79"/>
      <c r="M105" s="79"/>
      <c r="N105" s="79"/>
    </row>
    <row r="106" ht="26" spans="1:14">
      <c r="A106" s="81" t="s">
        <v>410</v>
      </c>
      <c r="B106" s="81">
        <v>2</v>
      </c>
      <c r="C106" s="81">
        <v>2</v>
      </c>
      <c r="D106" s="81">
        <v>2</v>
      </c>
      <c r="E106" s="81">
        <v>2</v>
      </c>
      <c r="F106" s="81">
        <v>2</v>
      </c>
      <c r="G106" s="81">
        <v>2</v>
      </c>
      <c r="H106" s="81">
        <v>2</v>
      </c>
      <c r="I106" s="81" t="s">
        <v>1035</v>
      </c>
      <c r="J106" s="79"/>
      <c r="K106" s="79"/>
      <c r="L106" s="79"/>
      <c r="M106" s="79"/>
      <c r="N106" s="79"/>
    </row>
    <row r="107" ht="26" spans="1:14">
      <c r="A107" s="81" t="s">
        <v>416</v>
      </c>
      <c r="B107" s="81">
        <v>2</v>
      </c>
      <c r="C107" s="81">
        <v>2</v>
      </c>
      <c r="D107" s="81">
        <v>2</v>
      </c>
      <c r="E107" s="81">
        <v>2</v>
      </c>
      <c r="F107" s="81">
        <v>2</v>
      </c>
      <c r="G107" s="81">
        <v>2</v>
      </c>
      <c r="H107" s="81">
        <v>2</v>
      </c>
      <c r="I107" s="81" t="s">
        <v>1035</v>
      </c>
      <c r="J107" s="79"/>
      <c r="K107" s="79"/>
      <c r="L107" s="79"/>
      <c r="M107" s="79"/>
      <c r="N107" s="79"/>
    </row>
    <row r="108" ht="26" spans="1:14">
      <c r="A108" s="81" t="s">
        <v>418</v>
      </c>
      <c r="B108" s="81">
        <v>2</v>
      </c>
      <c r="C108" s="81">
        <v>2</v>
      </c>
      <c r="D108" s="81">
        <v>2</v>
      </c>
      <c r="E108" s="81">
        <v>2</v>
      </c>
      <c r="F108" s="81">
        <v>2</v>
      </c>
      <c r="G108" s="81">
        <v>2</v>
      </c>
      <c r="H108" s="81">
        <v>2</v>
      </c>
      <c r="I108" s="81" t="s">
        <v>1035</v>
      </c>
      <c r="J108" s="79"/>
      <c r="K108" s="79"/>
      <c r="L108" s="79"/>
      <c r="M108" s="79"/>
      <c r="N108" s="79"/>
    </row>
    <row r="109" ht="26" spans="1:14">
      <c r="A109" s="81" t="s">
        <v>420</v>
      </c>
      <c r="B109" s="81">
        <v>4</v>
      </c>
      <c r="C109" s="81">
        <v>4</v>
      </c>
      <c r="D109" s="81">
        <v>2</v>
      </c>
      <c r="E109" s="81">
        <v>3</v>
      </c>
      <c r="F109" s="81">
        <v>2</v>
      </c>
      <c r="G109" s="81">
        <v>3</v>
      </c>
      <c r="H109" s="81">
        <v>4</v>
      </c>
      <c r="I109" s="81" t="s">
        <v>1035</v>
      </c>
      <c r="J109" s="79"/>
      <c r="K109" s="79"/>
      <c r="L109" s="79"/>
      <c r="M109" s="79"/>
      <c r="N109" s="79"/>
    </row>
    <row r="110" ht="26" spans="1:14">
      <c r="A110" s="81" t="s">
        <v>424</v>
      </c>
      <c r="B110" s="81">
        <v>3</v>
      </c>
      <c r="C110" s="81">
        <v>3</v>
      </c>
      <c r="D110" s="81">
        <v>2</v>
      </c>
      <c r="E110" s="81">
        <v>2</v>
      </c>
      <c r="F110" s="81">
        <v>2</v>
      </c>
      <c r="G110" s="81">
        <v>2</v>
      </c>
      <c r="H110" s="81">
        <v>3</v>
      </c>
      <c r="I110" s="81" t="s">
        <v>1035</v>
      </c>
      <c r="J110" s="79"/>
      <c r="K110" s="79"/>
      <c r="L110" s="79"/>
      <c r="M110" s="79"/>
      <c r="N110" s="79"/>
    </row>
    <row r="111" ht="26" spans="1:14">
      <c r="A111" s="81" t="s">
        <v>426</v>
      </c>
      <c r="B111" s="81">
        <v>4</v>
      </c>
      <c r="C111" s="81">
        <v>4</v>
      </c>
      <c r="D111" s="81">
        <v>2</v>
      </c>
      <c r="E111" s="81">
        <v>3</v>
      </c>
      <c r="F111" s="81">
        <v>2</v>
      </c>
      <c r="G111" s="81">
        <v>3</v>
      </c>
      <c r="H111" s="81">
        <v>4</v>
      </c>
      <c r="I111" s="81" t="s">
        <v>1035</v>
      </c>
      <c r="J111" s="79"/>
      <c r="K111" s="79"/>
      <c r="L111" s="79"/>
      <c r="M111" s="79"/>
      <c r="N111" s="79"/>
    </row>
    <row r="112" ht="26" spans="1:14">
      <c r="A112" s="81" t="s">
        <v>427</v>
      </c>
      <c r="B112" s="81">
        <v>4</v>
      </c>
      <c r="C112" s="81">
        <v>4</v>
      </c>
      <c r="D112" s="81">
        <v>2</v>
      </c>
      <c r="E112" s="81">
        <v>3</v>
      </c>
      <c r="F112" s="81">
        <v>2</v>
      </c>
      <c r="G112" s="81">
        <v>3</v>
      </c>
      <c r="H112" s="81">
        <v>4</v>
      </c>
      <c r="I112" s="81" t="s">
        <v>1035</v>
      </c>
      <c r="J112" s="79"/>
      <c r="K112" s="79"/>
      <c r="L112" s="79"/>
      <c r="M112" s="79"/>
      <c r="N112" s="79"/>
    </row>
    <row r="113" ht="26" spans="1:14">
      <c r="A113" s="81" t="s">
        <v>429</v>
      </c>
      <c r="B113" s="81">
        <v>4</v>
      </c>
      <c r="C113" s="81">
        <v>4</v>
      </c>
      <c r="D113" s="81">
        <v>2</v>
      </c>
      <c r="E113" s="81">
        <v>3</v>
      </c>
      <c r="F113" s="81">
        <v>2</v>
      </c>
      <c r="G113" s="81">
        <v>3</v>
      </c>
      <c r="H113" s="81">
        <v>4</v>
      </c>
      <c r="I113" s="81" t="s">
        <v>1035</v>
      </c>
      <c r="J113" s="79"/>
      <c r="K113" s="79"/>
      <c r="L113" s="79"/>
      <c r="M113" s="79"/>
      <c r="N113" s="79"/>
    </row>
    <row r="114" ht="26" spans="1:14">
      <c r="A114" s="81" t="s">
        <v>432</v>
      </c>
      <c r="B114" s="81">
        <v>4</v>
      </c>
      <c r="C114" s="81">
        <v>4</v>
      </c>
      <c r="D114" s="81">
        <v>2</v>
      </c>
      <c r="E114" s="81">
        <v>3</v>
      </c>
      <c r="F114" s="81">
        <v>2</v>
      </c>
      <c r="G114" s="81">
        <v>3</v>
      </c>
      <c r="H114" s="81">
        <v>4</v>
      </c>
      <c r="I114" s="81" t="s">
        <v>1035</v>
      </c>
      <c r="J114" s="79"/>
      <c r="K114" s="79"/>
      <c r="L114" s="79"/>
      <c r="M114" s="79"/>
      <c r="N114" s="79"/>
    </row>
    <row r="115" ht="26" spans="1:14">
      <c r="A115" s="81" t="s">
        <v>433</v>
      </c>
      <c r="B115" s="81">
        <v>4</v>
      </c>
      <c r="C115" s="81">
        <v>4</v>
      </c>
      <c r="D115" s="81">
        <v>2</v>
      </c>
      <c r="E115" s="81">
        <v>3</v>
      </c>
      <c r="F115" s="81">
        <v>2</v>
      </c>
      <c r="G115" s="81">
        <v>3</v>
      </c>
      <c r="H115" s="81">
        <v>4</v>
      </c>
      <c r="I115" s="81" t="s">
        <v>1035</v>
      </c>
      <c r="J115" s="79"/>
      <c r="K115" s="79"/>
      <c r="L115" s="79"/>
      <c r="M115" s="79"/>
      <c r="N115" s="79"/>
    </row>
    <row r="116" ht="26" spans="1:14">
      <c r="A116" s="81" t="s">
        <v>434</v>
      </c>
      <c r="B116" s="81">
        <v>4</v>
      </c>
      <c r="C116" s="81">
        <v>4</v>
      </c>
      <c r="D116" s="81">
        <v>2</v>
      </c>
      <c r="E116" s="81">
        <v>4</v>
      </c>
      <c r="F116" s="81">
        <v>3</v>
      </c>
      <c r="G116" s="81">
        <v>3</v>
      </c>
      <c r="H116" s="81">
        <v>4</v>
      </c>
      <c r="I116" s="81" t="s">
        <v>1035</v>
      </c>
      <c r="J116" s="79"/>
      <c r="K116" s="79"/>
      <c r="L116" s="79"/>
      <c r="M116" s="79"/>
      <c r="N116" s="79"/>
    </row>
    <row r="117" ht="26" spans="1:14">
      <c r="A117" s="81" t="s">
        <v>439</v>
      </c>
      <c r="B117" s="81">
        <v>4</v>
      </c>
      <c r="C117" s="81">
        <v>4</v>
      </c>
      <c r="D117" s="81">
        <v>2</v>
      </c>
      <c r="E117" s="81">
        <v>4</v>
      </c>
      <c r="F117" s="81">
        <v>3</v>
      </c>
      <c r="G117" s="81">
        <v>3</v>
      </c>
      <c r="H117" s="81">
        <v>4</v>
      </c>
      <c r="I117" s="81" t="s">
        <v>1035</v>
      </c>
      <c r="J117" s="79"/>
      <c r="K117" s="79"/>
      <c r="L117" s="79"/>
      <c r="M117" s="79"/>
      <c r="N117" s="79"/>
    </row>
    <row r="118" ht="26" spans="1:14">
      <c r="A118" s="81" t="s">
        <v>441</v>
      </c>
      <c r="B118" s="81">
        <v>4</v>
      </c>
      <c r="C118" s="81">
        <v>4</v>
      </c>
      <c r="D118" s="81">
        <v>2</v>
      </c>
      <c r="E118" s="81">
        <v>4</v>
      </c>
      <c r="F118" s="81">
        <v>3</v>
      </c>
      <c r="G118" s="81">
        <v>3</v>
      </c>
      <c r="H118" s="81">
        <v>4</v>
      </c>
      <c r="I118" s="81" t="s">
        <v>1035</v>
      </c>
      <c r="J118" s="79"/>
      <c r="K118" s="79"/>
      <c r="L118" s="79"/>
      <c r="M118" s="79"/>
      <c r="N118" s="79"/>
    </row>
    <row r="119" ht="26" spans="1:14">
      <c r="A119" s="81" t="s">
        <v>443</v>
      </c>
      <c r="B119" s="81">
        <v>4</v>
      </c>
      <c r="C119" s="81">
        <v>4</v>
      </c>
      <c r="D119" s="81">
        <v>2</v>
      </c>
      <c r="E119" s="81">
        <v>4</v>
      </c>
      <c r="F119" s="81">
        <v>3</v>
      </c>
      <c r="G119" s="81">
        <v>3</v>
      </c>
      <c r="H119" s="81">
        <v>4</v>
      </c>
      <c r="I119" s="81" t="s">
        <v>1035</v>
      </c>
      <c r="J119" s="79"/>
      <c r="K119" s="79"/>
      <c r="L119" s="79"/>
      <c r="M119" s="79"/>
      <c r="N119" s="79"/>
    </row>
    <row r="120" ht="26" spans="1:14">
      <c r="A120" s="81" t="s">
        <v>444</v>
      </c>
      <c r="B120" s="81">
        <v>4</v>
      </c>
      <c r="C120" s="81">
        <v>4</v>
      </c>
      <c r="D120" s="81">
        <v>2</v>
      </c>
      <c r="E120" s="81">
        <v>4</v>
      </c>
      <c r="F120" s="81">
        <v>3</v>
      </c>
      <c r="G120" s="81">
        <v>3</v>
      </c>
      <c r="H120" s="81">
        <v>4</v>
      </c>
      <c r="I120" s="81" t="s">
        <v>1035</v>
      </c>
      <c r="J120" s="79"/>
      <c r="K120" s="79"/>
      <c r="L120" s="79"/>
      <c r="M120" s="79"/>
      <c r="N120" s="79"/>
    </row>
    <row r="121" ht="26" spans="1:14">
      <c r="A121" s="81" t="s">
        <v>445</v>
      </c>
      <c r="B121" s="81">
        <v>4</v>
      </c>
      <c r="C121" s="81">
        <v>4</v>
      </c>
      <c r="D121" s="81">
        <v>2</v>
      </c>
      <c r="E121" s="81">
        <v>4</v>
      </c>
      <c r="F121" s="81">
        <v>3</v>
      </c>
      <c r="G121" s="81">
        <v>3</v>
      </c>
      <c r="H121" s="81">
        <v>4</v>
      </c>
      <c r="I121" s="81" t="s">
        <v>1035</v>
      </c>
      <c r="J121" s="79"/>
      <c r="K121" s="79"/>
      <c r="L121" s="79"/>
      <c r="M121" s="79"/>
      <c r="N121" s="79"/>
    </row>
    <row r="122" ht="26" spans="1:14">
      <c r="A122" s="81" t="s">
        <v>446</v>
      </c>
      <c r="B122" s="81">
        <v>4</v>
      </c>
      <c r="C122" s="81">
        <v>4</v>
      </c>
      <c r="D122" s="81">
        <v>2</v>
      </c>
      <c r="E122" s="81">
        <v>4</v>
      </c>
      <c r="F122" s="81">
        <v>3</v>
      </c>
      <c r="G122" s="81">
        <v>3</v>
      </c>
      <c r="H122" s="81">
        <v>4</v>
      </c>
      <c r="I122" s="81" t="s">
        <v>1035</v>
      </c>
      <c r="J122" s="79"/>
      <c r="K122" s="79"/>
      <c r="L122" s="79"/>
      <c r="M122" s="79"/>
      <c r="N122" s="79"/>
    </row>
    <row r="123" ht="26" spans="1:14">
      <c r="A123" s="81" t="s">
        <v>447</v>
      </c>
      <c r="B123" s="81">
        <v>4</v>
      </c>
      <c r="C123" s="81">
        <v>4</v>
      </c>
      <c r="D123" s="81">
        <v>2</v>
      </c>
      <c r="E123" s="81">
        <v>4</v>
      </c>
      <c r="F123" s="81">
        <v>3</v>
      </c>
      <c r="G123" s="81">
        <v>3</v>
      </c>
      <c r="H123" s="81">
        <v>4</v>
      </c>
      <c r="I123" s="81" t="s">
        <v>1035</v>
      </c>
      <c r="J123" s="79"/>
      <c r="K123" s="79"/>
      <c r="L123" s="79"/>
      <c r="M123" s="79"/>
      <c r="N123" s="79"/>
    </row>
    <row r="124" ht="26" spans="1:14">
      <c r="A124" s="81" t="s">
        <v>448</v>
      </c>
      <c r="B124" s="81">
        <v>3</v>
      </c>
      <c r="C124" s="81">
        <v>3</v>
      </c>
      <c r="D124" s="81">
        <v>2</v>
      </c>
      <c r="E124" s="81">
        <v>2</v>
      </c>
      <c r="F124" s="81">
        <v>3</v>
      </c>
      <c r="G124" s="81">
        <v>2</v>
      </c>
      <c r="H124" s="81">
        <v>3</v>
      </c>
      <c r="I124" s="81" t="s">
        <v>1035</v>
      </c>
      <c r="J124" s="79"/>
      <c r="K124" s="79"/>
      <c r="L124" s="79"/>
      <c r="M124" s="79"/>
      <c r="N124" s="79"/>
    </row>
    <row r="125" ht="26" spans="1:14">
      <c r="A125" s="81" t="s">
        <v>451</v>
      </c>
      <c r="B125" s="81">
        <v>4</v>
      </c>
      <c r="C125" s="81">
        <v>4</v>
      </c>
      <c r="D125" s="81">
        <v>2</v>
      </c>
      <c r="E125" s="81">
        <v>3</v>
      </c>
      <c r="F125" s="81">
        <v>3</v>
      </c>
      <c r="G125" s="81">
        <v>3</v>
      </c>
      <c r="H125" s="81">
        <v>4</v>
      </c>
      <c r="I125" s="81" t="s">
        <v>1035</v>
      </c>
      <c r="J125" s="79"/>
      <c r="K125" s="79"/>
      <c r="L125" s="79"/>
      <c r="M125" s="79"/>
      <c r="N125" s="79"/>
    </row>
    <row r="126" ht="26" spans="1:14">
      <c r="A126" s="81" t="s">
        <v>452</v>
      </c>
      <c r="B126" s="81">
        <v>3</v>
      </c>
      <c r="C126" s="81">
        <v>3</v>
      </c>
      <c r="D126" s="81">
        <v>2</v>
      </c>
      <c r="E126" s="81">
        <v>2</v>
      </c>
      <c r="F126" s="81">
        <v>3</v>
      </c>
      <c r="G126" s="81">
        <v>2</v>
      </c>
      <c r="H126" s="81">
        <v>3</v>
      </c>
      <c r="I126" s="81" t="s">
        <v>1035</v>
      </c>
      <c r="J126" s="79"/>
      <c r="K126" s="79"/>
      <c r="L126" s="79"/>
      <c r="M126" s="79"/>
      <c r="N126" s="79"/>
    </row>
    <row r="127" ht="26" spans="1:14">
      <c r="A127" s="81" t="s">
        <v>454</v>
      </c>
      <c r="B127" s="81">
        <v>3</v>
      </c>
      <c r="C127" s="81">
        <v>3</v>
      </c>
      <c r="D127" s="81">
        <v>2</v>
      </c>
      <c r="E127" s="81">
        <v>2</v>
      </c>
      <c r="F127" s="81">
        <v>3</v>
      </c>
      <c r="G127" s="81">
        <v>2</v>
      </c>
      <c r="H127" s="81">
        <v>3</v>
      </c>
      <c r="I127" s="81" t="s">
        <v>1035</v>
      </c>
      <c r="J127" s="79"/>
      <c r="K127" s="79"/>
      <c r="L127" s="79"/>
      <c r="M127" s="79"/>
      <c r="N127" s="79"/>
    </row>
    <row r="128" ht="26" spans="1:14">
      <c r="A128" s="81" t="s">
        <v>455</v>
      </c>
      <c r="B128" s="81">
        <v>4</v>
      </c>
      <c r="C128" s="81">
        <v>4</v>
      </c>
      <c r="D128" s="81">
        <v>2</v>
      </c>
      <c r="E128" s="81">
        <v>3</v>
      </c>
      <c r="F128" s="81">
        <v>2</v>
      </c>
      <c r="G128" s="81">
        <v>3</v>
      </c>
      <c r="H128" s="81">
        <v>4</v>
      </c>
      <c r="I128" s="81" t="s">
        <v>1035</v>
      </c>
      <c r="J128" s="79"/>
      <c r="K128" s="79"/>
      <c r="L128" s="79"/>
      <c r="M128" s="79"/>
      <c r="N128" s="79"/>
    </row>
    <row r="129" ht="26" spans="1:14">
      <c r="A129" s="81" t="s">
        <v>457</v>
      </c>
      <c r="B129" s="81">
        <v>4</v>
      </c>
      <c r="C129" s="81">
        <v>4</v>
      </c>
      <c r="D129" s="81">
        <v>2</v>
      </c>
      <c r="E129" s="81">
        <v>4</v>
      </c>
      <c r="F129" s="81">
        <v>3</v>
      </c>
      <c r="G129" s="81">
        <v>3</v>
      </c>
      <c r="H129" s="81">
        <v>4</v>
      </c>
      <c r="I129" s="81" t="s">
        <v>1035</v>
      </c>
      <c r="J129" s="79"/>
      <c r="K129" s="79"/>
      <c r="L129" s="79"/>
      <c r="M129" s="79"/>
      <c r="N129" s="79"/>
    </row>
    <row r="130" ht="26" spans="1:14">
      <c r="A130" s="81" t="s">
        <v>458</v>
      </c>
      <c r="B130" s="81">
        <v>4</v>
      </c>
      <c r="C130" s="81">
        <v>4</v>
      </c>
      <c r="D130" s="81">
        <v>2</v>
      </c>
      <c r="E130" s="81">
        <v>3</v>
      </c>
      <c r="F130" s="81">
        <v>2</v>
      </c>
      <c r="G130" s="81">
        <v>3</v>
      </c>
      <c r="H130" s="81">
        <v>4</v>
      </c>
      <c r="I130" s="81" t="s">
        <v>1035</v>
      </c>
      <c r="J130" s="79"/>
      <c r="K130" s="79"/>
      <c r="L130" s="79"/>
      <c r="M130" s="79"/>
      <c r="N130" s="79"/>
    </row>
    <row r="131" ht="26" spans="1:14">
      <c r="A131" s="81" t="s">
        <v>459</v>
      </c>
      <c r="B131" s="81">
        <v>4</v>
      </c>
      <c r="C131" s="81">
        <v>4</v>
      </c>
      <c r="D131" s="81">
        <v>2</v>
      </c>
      <c r="E131" s="81">
        <v>4</v>
      </c>
      <c r="F131" s="81">
        <v>3</v>
      </c>
      <c r="G131" s="81">
        <v>3</v>
      </c>
      <c r="H131" s="81">
        <v>4</v>
      </c>
      <c r="I131" s="81" t="s">
        <v>1035</v>
      </c>
      <c r="J131" s="79"/>
      <c r="K131" s="79"/>
      <c r="L131" s="79"/>
      <c r="M131" s="79"/>
      <c r="N131" s="79"/>
    </row>
    <row r="132" ht="26" spans="1:14">
      <c r="A132" s="81" t="s">
        <v>461</v>
      </c>
      <c r="B132" s="81">
        <v>4</v>
      </c>
      <c r="C132" s="81">
        <v>4</v>
      </c>
      <c r="D132" s="81">
        <v>2</v>
      </c>
      <c r="E132" s="81">
        <v>3</v>
      </c>
      <c r="F132" s="81">
        <v>3</v>
      </c>
      <c r="G132" s="81">
        <v>3</v>
      </c>
      <c r="H132" s="81">
        <v>4</v>
      </c>
      <c r="I132" s="81" t="s">
        <v>1035</v>
      </c>
      <c r="J132" s="79"/>
      <c r="K132" s="79"/>
      <c r="L132" s="79"/>
      <c r="M132" s="79"/>
      <c r="N132" s="79"/>
    </row>
    <row r="133" ht="26" spans="1:14">
      <c r="A133" s="81" t="s">
        <v>463</v>
      </c>
      <c r="B133" s="81">
        <v>4</v>
      </c>
      <c r="C133" s="81">
        <v>4</v>
      </c>
      <c r="D133" s="81">
        <v>2</v>
      </c>
      <c r="E133" s="81">
        <v>3</v>
      </c>
      <c r="F133" s="81">
        <v>3</v>
      </c>
      <c r="G133" s="81">
        <v>3</v>
      </c>
      <c r="H133" s="81">
        <v>4</v>
      </c>
      <c r="I133" s="81" t="s">
        <v>1035</v>
      </c>
      <c r="J133" s="79"/>
      <c r="K133" s="79"/>
      <c r="L133" s="79"/>
      <c r="M133" s="79"/>
      <c r="N133" s="79"/>
    </row>
    <row r="134" ht="26" spans="1:14">
      <c r="A134" s="81" t="s">
        <v>464</v>
      </c>
      <c r="B134" s="81">
        <v>4</v>
      </c>
      <c r="C134" s="81">
        <v>4</v>
      </c>
      <c r="D134" s="81">
        <v>2</v>
      </c>
      <c r="E134" s="81">
        <v>3</v>
      </c>
      <c r="F134" s="81">
        <v>3</v>
      </c>
      <c r="G134" s="81">
        <v>3</v>
      </c>
      <c r="H134" s="81">
        <v>4</v>
      </c>
      <c r="I134" s="81" t="s">
        <v>1035</v>
      </c>
      <c r="J134" s="79"/>
      <c r="K134" s="79"/>
      <c r="L134" s="79"/>
      <c r="M134" s="79"/>
      <c r="N134" s="79"/>
    </row>
    <row r="135" ht="26" spans="1:14">
      <c r="A135" s="81" t="s">
        <v>465</v>
      </c>
      <c r="B135" s="81">
        <v>4</v>
      </c>
      <c r="C135" s="81">
        <v>4</v>
      </c>
      <c r="D135" s="81">
        <v>2</v>
      </c>
      <c r="E135" s="81">
        <v>4</v>
      </c>
      <c r="F135" s="81">
        <v>3</v>
      </c>
      <c r="G135" s="81">
        <v>3</v>
      </c>
      <c r="H135" s="81">
        <v>4</v>
      </c>
      <c r="I135" s="81" t="s">
        <v>1035</v>
      </c>
      <c r="J135" s="79"/>
      <c r="K135" s="79"/>
      <c r="L135" s="79"/>
      <c r="M135" s="79"/>
      <c r="N135" s="79"/>
    </row>
    <row r="136" ht="26" spans="1:14">
      <c r="A136" s="81" t="s">
        <v>466</v>
      </c>
      <c r="B136" s="81">
        <v>4</v>
      </c>
      <c r="C136" s="81">
        <v>4</v>
      </c>
      <c r="D136" s="81">
        <v>2</v>
      </c>
      <c r="E136" s="81">
        <v>3</v>
      </c>
      <c r="F136" s="81">
        <v>3</v>
      </c>
      <c r="G136" s="81">
        <v>3</v>
      </c>
      <c r="H136" s="81">
        <v>4</v>
      </c>
      <c r="I136" s="81" t="s">
        <v>1035</v>
      </c>
      <c r="J136" s="79"/>
      <c r="K136" s="79"/>
      <c r="L136" s="79"/>
      <c r="M136" s="79"/>
      <c r="N136" s="79"/>
    </row>
    <row r="137" ht="26" spans="1:14">
      <c r="A137" s="81" t="s">
        <v>467</v>
      </c>
      <c r="B137" s="81">
        <v>3</v>
      </c>
      <c r="C137" s="81">
        <v>3</v>
      </c>
      <c r="D137" s="81">
        <v>2</v>
      </c>
      <c r="E137" s="81">
        <v>2</v>
      </c>
      <c r="F137" s="81">
        <v>3</v>
      </c>
      <c r="G137" s="81">
        <v>2</v>
      </c>
      <c r="H137" s="81">
        <v>3</v>
      </c>
      <c r="I137" s="81" t="s">
        <v>1035</v>
      </c>
      <c r="J137" s="79"/>
      <c r="K137" s="79"/>
      <c r="L137" s="79"/>
      <c r="M137" s="79"/>
      <c r="N137" s="79"/>
    </row>
    <row r="138" ht="26" spans="1:14">
      <c r="A138" s="81" t="s">
        <v>468</v>
      </c>
      <c r="B138" s="81">
        <v>3</v>
      </c>
      <c r="C138" s="81">
        <v>3</v>
      </c>
      <c r="D138" s="81">
        <v>2</v>
      </c>
      <c r="E138" s="81">
        <v>2</v>
      </c>
      <c r="F138" s="81">
        <v>3</v>
      </c>
      <c r="G138" s="81">
        <v>2</v>
      </c>
      <c r="H138" s="81">
        <v>3</v>
      </c>
      <c r="I138" s="81" t="s">
        <v>1035</v>
      </c>
      <c r="J138" s="79"/>
      <c r="K138" s="79"/>
      <c r="L138" s="79"/>
      <c r="M138" s="79"/>
      <c r="N138" s="79"/>
    </row>
    <row r="139" ht="26" spans="1:14">
      <c r="A139" s="81" t="s">
        <v>469</v>
      </c>
      <c r="B139" s="81">
        <v>4</v>
      </c>
      <c r="C139" s="81">
        <v>4</v>
      </c>
      <c r="D139" s="81">
        <v>2</v>
      </c>
      <c r="E139" s="81">
        <v>4</v>
      </c>
      <c r="F139" s="81">
        <v>3</v>
      </c>
      <c r="G139" s="81">
        <v>3</v>
      </c>
      <c r="H139" s="81">
        <v>4</v>
      </c>
      <c r="I139" s="81" t="s">
        <v>1035</v>
      </c>
      <c r="J139" s="79"/>
      <c r="K139" s="79"/>
      <c r="L139" s="79"/>
      <c r="M139" s="79"/>
      <c r="N139" s="79"/>
    </row>
    <row r="140" ht="26" spans="1:14">
      <c r="A140" s="81" t="s">
        <v>470</v>
      </c>
      <c r="B140" s="81">
        <v>4</v>
      </c>
      <c r="C140" s="81">
        <v>4</v>
      </c>
      <c r="D140" s="81">
        <v>2</v>
      </c>
      <c r="E140" s="81">
        <v>4</v>
      </c>
      <c r="F140" s="81">
        <v>3</v>
      </c>
      <c r="G140" s="81">
        <v>3</v>
      </c>
      <c r="H140" s="81">
        <v>4</v>
      </c>
      <c r="I140" s="81" t="s">
        <v>1035</v>
      </c>
      <c r="J140" s="79"/>
      <c r="K140" s="79"/>
      <c r="L140" s="79"/>
      <c r="M140" s="79"/>
      <c r="N140" s="79"/>
    </row>
    <row r="141" ht="26" spans="1:14">
      <c r="A141" s="81" t="s">
        <v>471</v>
      </c>
      <c r="B141" s="81">
        <v>4</v>
      </c>
      <c r="C141" s="81">
        <v>4</v>
      </c>
      <c r="D141" s="81">
        <v>2</v>
      </c>
      <c r="E141" s="81">
        <v>3</v>
      </c>
      <c r="F141" s="81">
        <v>2</v>
      </c>
      <c r="G141" s="81">
        <v>3</v>
      </c>
      <c r="H141" s="81">
        <v>4</v>
      </c>
      <c r="I141" s="81" t="s">
        <v>1035</v>
      </c>
      <c r="J141" s="79"/>
      <c r="K141" s="79"/>
      <c r="L141" s="79"/>
      <c r="M141" s="79"/>
      <c r="N141" s="79"/>
    </row>
    <row r="142" ht="26" spans="1:14">
      <c r="A142" s="81" t="s">
        <v>472</v>
      </c>
      <c r="B142" s="81">
        <v>4</v>
      </c>
      <c r="C142" s="81">
        <v>4</v>
      </c>
      <c r="D142" s="81">
        <v>2</v>
      </c>
      <c r="E142" s="81">
        <v>4</v>
      </c>
      <c r="F142" s="81">
        <v>3</v>
      </c>
      <c r="G142" s="81">
        <v>3</v>
      </c>
      <c r="H142" s="81">
        <v>4</v>
      </c>
      <c r="I142" s="81" t="s">
        <v>1035</v>
      </c>
      <c r="J142" s="79"/>
      <c r="K142" s="79"/>
      <c r="L142" s="79"/>
      <c r="M142" s="79"/>
      <c r="N142" s="79"/>
    </row>
    <row r="143" ht="26" spans="1:14">
      <c r="A143" s="81" t="s">
        <v>473</v>
      </c>
      <c r="B143" s="81">
        <v>4</v>
      </c>
      <c r="C143" s="81">
        <v>4</v>
      </c>
      <c r="D143" s="81">
        <v>2</v>
      </c>
      <c r="E143" s="81">
        <v>4</v>
      </c>
      <c r="F143" s="81">
        <v>3</v>
      </c>
      <c r="G143" s="81">
        <v>3</v>
      </c>
      <c r="H143" s="81">
        <v>4</v>
      </c>
      <c r="I143" s="81" t="s">
        <v>1035</v>
      </c>
      <c r="J143" s="79"/>
      <c r="K143" s="79"/>
      <c r="L143" s="79"/>
      <c r="M143" s="79"/>
      <c r="N143" s="79"/>
    </row>
    <row r="144" ht="26" spans="1:14">
      <c r="A144" s="81" t="s">
        <v>474</v>
      </c>
      <c r="B144" s="81">
        <v>4</v>
      </c>
      <c r="C144" s="81">
        <v>4</v>
      </c>
      <c r="D144" s="81">
        <v>2</v>
      </c>
      <c r="E144" s="81">
        <v>3</v>
      </c>
      <c r="F144" s="81">
        <v>3</v>
      </c>
      <c r="G144" s="81">
        <v>3</v>
      </c>
      <c r="H144" s="81">
        <v>4</v>
      </c>
      <c r="I144" s="81" t="s">
        <v>1035</v>
      </c>
      <c r="J144" s="79"/>
      <c r="K144" s="79"/>
      <c r="L144" s="79"/>
      <c r="M144" s="79"/>
      <c r="N144" s="79"/>
    </row>
    <row r="145" ht="26" spans="1:14">
      <c r="A145" s="81" t="s">
        <v>476</v>
      </c>
      <c r="B145" s="81">
        <v>4</v>
      </c>
      <c r="C145" s="81">
        <v>4</v>
      </c>
      <c r="D145" s="81">
        <v>2</v>
      </c>
      <c r="E145" s="81">
        <v>3</v>
      </c>
      <c r="F145" s="81">
        <v>3</v>
      </c>
      <c r="G145" s="81">
        <v>3</v>
      </c>
      <c r="H145" s="81">
        <v>4</v>
      </c>
      <c r="I145" s="81" t="s">
        <v>1035</v>
      </c>
      <c r="J145" s="79"/>
      <c r="K145" s="79"/>
      <c r="L145" s="79"/>
      <c r="M145" s="79"/>
      <c r="N145" s="79"/>
    </row>
    <row r="146" ht="26" spans="1:14">
      <c r="A146" s="81" t="s">
        <v>477</v>
      </c>
      <c r="B146" s="81">
        <v>4</v>
      </c>
      <c r="C146" s="81">
        <v>4</v>
      </c>
      <c r="D146" s="81">
        <v>2</v>
      </c>
      <c r="E146" s="81">
        <v>3</v>
      </c>
      <c r="F146" s="81">
        <v>3</v>
      </c>
      <c r="G146" s="81">
        <v>3</v>
      </c>
      <c r="H146" s="81">
        <v>4</v>
      </c>
      <c r="I146" s="81" t="s">
        <v>1035</v>
      </c>
      <c r="J146" s="79"/>
      <c r="K146" s="79"/>
      <c r="L146" s="79"/>
      <c r="M146" s="79"/>
      <c r="N146" s="79"/>
    </row>
    <row r="147" ht="26" spans="1:14">
      <c r="A147" s="81" t="s">
        <v>478</v>
      </c>
      <c r="B147" s="81">
        <v>4</v>
      </c>
      <c r="C147" s="81">
        <v>4</v>
      </c>
      <c r="D147" s="81">
        <v>2</v>
      </c>
      <c r="E147" s="81">
        <v>3</v>
      </c>
      <c r="F147" s="81">
        <v>3</v>
      </c>
      <c r="G147" s="81">
        <v>3</v>
      </c>
      <c r="H147" s="81">
        <v>4</v>
      </c>
      <c r="I147" s="81" t="s">
        <v>1035</v>
      </c>
      <c r="J147" s="79"/>
      <c r="K147" s="79"/>
      <c r="L147" s="79"/>
      <c r="M147" s="79"/>
      <c r="N147" s="79"/>
    </row>
    <row r="148" ht="26" spans="1:14">
      <c r="A148" s="81" t="s">
        <v>479</v>
      </c>
      <c r="B148" s="81">
        <v>4</v>
      </c>
      <c r="C148" s="81">
        <v>4</v>
      </c>
      <c r="D148" s="81">
        <v>2</v>
      </c>
      <c r="E148" s="81">
        <v>4</v>
      </c>
      <c r="F148" s="81">
        <v>3</v>
      </c>
      <c r="G148" s="81">
        <v>3</v>
      </c>
      <c r="H148" s="81">
        <v>4</v>
      </c>
      <c r="I148" s="81" t="s">
        <v>1035</v>
      </c>
      <c r="J148" s="79"/>
      <c r="K148" s="79"/>
      <c r="L148" s="79"/>
      <c r="M148" s="79"/>
      <c r="N148" s="79"/>
    </row>
    <row r="149" ht="26" spans="1:14">
      <c r="A149" s="81" t="s">
        <v>481</v>
      </c>
      <c r="B149" s="81">
        <v>4</v>
      </c>
      <c r="C149" s="81">
        <v>4</v>
      </c>
      <c r="D149" s="81">
        <v>2</v>
      </c>
      <c r="E149" s="81">
        <v>4</v>
      </c>
      <c r="F149" s="81">
        <v>3</v>
      </c>
      <c r="G149" s="81">
        <v>3</v>
      </c>
      <c r="H149" s="81">
        <v>4</v>
      </c>
      <c r="I149" s="81" t="s">
        <v>1035</v>
      </c>
      <c r="J149" s="79"/>
      <c r="K149" s="79"/>
      <c r="L149" s="79"/>
      <c r="M149" s="79"/>
      <c r="N149" s="79"/>
    </row>
    <row r="150" ht="26" spans="1:14">
      <c r="A150" s="81" t="s">
        <v>482</v>
      </c>
      <c r="B150" s="81">
        <v>3</v>
      </c>
      <c r="C150" s="81">
        <v>3</v>
      </c>
      <c r="D150" s="81">
        <v>2</v>
      </c>
      <c r="E150" s="81">
        <v>2</v>
      </c>
      <c r="F150" s="81">
        <v>3</v>
      </c>
      <c r="G150" s="81">
        <v>2</v>
      </c>
      <c r="H150" s="81">
        <v>3</v>
      </c>
      <c r="I150" s="81" t="s">
        <v>1035</v>
      </c>
      <c r="J150" s="79"/>
      <c r="K150" s="79"/>
      <c r="L150" s="79"/>
      <c r="M150" s="79"/>
      <c r="N150" s="79"/>
    </row>
    <row r="151" ht="26" spans="1:14">
      <c r="A151" s="81" t="s">
        <v>486</v>
      </c>
      <c r="B151" s="81">
        <v>3</v>
      </c>
      <c r="C151" s="81">
        <v>3</v>
      </c>
      <c r="D151" s="81">
        <v>2</v>
      </c>
      <c r="E151" s="81">
        <v>2</v>
      </c>
      <c r="F151" s="81">
        <v>3</v>
      </c>
      <c r="G151" s="81">
        <v>2</v>
      </c>
      <c r="H151" s="81">
        <v>3</v>
      </c>
      <c r="I151" s="81" t="s">
        <v>1035</v>
      </c>
      <c r="J151" s="79"/>
      <c r="K151" s="79"/>
      <c r="L151" s="79"/>
      <c r="M151" s="79"/>
      <c r="N151" s="79"/>
    </row>
    <row r="152" ht="26" spans="1:14">
      <c r="A152" s="81" t="s">
        <v>487</v>
      </c>
      <c r="B152" s="81">
        <v>4</v>
      </c>
      <c r="C152" s="81">
        <v>4</v>
      </c>
      <c r="D152" s="81">
        <v>2</v>
      </c>
      <c r="E152" s="81">
        <v>3</v>
      </c>
      <c r="F152" s="81">
        <v>2</v>
      </c>
      <c r="G152" s="81">
        <v>3</v>
      </c>
      <c r="H152" s="81">
        <v>4</v>
      </c>
      <c r="I152" s="81" t="s">
        <v>1035</v>
      </c>
      <c r="J152" s="79"/>
      <c r="K152" s="79"/>
      <c r="L152" s="79"/>
      <c r="M152" s="79"/>
      <c r="N152" s="79"/>
    </row>
    <row r="153" ht="26" spans="1:14">
      <c r="A153" s="81" t="s">
        <v>490</v>
      </c>
      <c r="B153" s="81">
        <v>4</v>
      </c>
      <c r="C153" s="81">
        <v>4</v>
      </c>
      <c r="D153" s="81">
        <v>2</v>
      </c>
      <c r="E153" s="81">
        <v>3</v>
      </c>
      <c r="F153" s="81">
        <v>3</v>
      </c>
      <c r="G153" s="81">
        <v>3</v>
      </c>
      <c r="H153" s="81">
        <v>4</v>
      </c>
      <c r="I153" s="81" t="s">
        <v>1035</v>
      </c>
      <c r="J153" s="79"/>
      <c r="K153" s="79"/>
      <c r="L153" s="79"/>
      <c r="M153" s="79"/>
      <c r="N153" s="79"/>
    </row>
    <row r="154" ht="26" spans="1:14">
      <c r="A154" s="81" t="s">
        <v>491</v>
      </c>
      <c r="B154" s="81">
        <v>3</v>
      </c>
      <c r="C154" s="81">
        <v>3</v>
      </c>
      <c r="D154" s="81">
        <v>2</v>
      </c>
      <c r="E154" s="81">
        <v>2</v>
      </c>
      <c r="F154" s="81">
        <v>3</v>
      </c>
      <c r="G154" s="81">
        <v>2</v>
      </c>
      <c r="H154" s="81">
        <v>3</v>
      </c>
      <c r="I154" s="81" t="s">
        <v>1035</v>
      </c>
      <c r="J154" s="79"/>
      <c r="K154" s="79"/>
      <c r="L154" s="79"/>
      <c r="M154" s="79"/>
      <c r="N154" s="79"/>
    </row>
    <row r="155" ht="26" spans="1:14">
      <c r="A155" s="81" t="s">
        <v>494</v>
      </c>
      <c r="B155" s="81">
        <v>3</v>
      </c>
      <c r="C155" s="81">
        <v>3</v>
      </c>
      <c r="D155" s="81">
        <v>2</v>
      </c>
      <c r="E155" s="81">
        <v>2</v>
      </c>
      <c r="F155" s="81">
        <v>3</v>
      </c>
      <c r="G155" s="81">
        <v>2</v>
      </c>
      <c r="H155" s="81">
        <v>3</v>
      </c>
      <c r="I155" s="81" t="s">
        <v>1035</v>
      </c>
      <c r="J155" s="79"/>
      <c r="K155" s="79"/>
      <c r="L155" s="79"/>
      <c r="M155" s="79"/>
      <c r="N155" s="79"/>
    </row>
    <row r="156" ht="26" spans="1:14">
      <c r="A156" s="81" t="s">
        <v>495</v>
      </c>
      <c r="B156" s="81">
        <v>4</v>
      </c>
      <c r="C156" s="81">
        <v>4</v>
      </c>
      <c r="D156" s="81">
        <v>2</v>
      </c>
      <c r="E156" s="81">
        <v>3</v>
      </c>
      <c r="F156" s="81">
        <v>3</v>
      </c>
      <c r="G156" s="81">
        <v>3</v>
      </c>
      <c r="H156" s="81">
        <v>4</v>
      </c>
      <c r="I156" s="81" t="s">
        <v>1035</v>
      </c>
      <c r="J156" s="79"/>
      <c r="K156" s="79"/>
      <c r="L156" s="79"/>
      <c r="M156" s="79"/>
      <c r="N156" s="79"/>
    </row>
    <row r="157" ht="26" spans="1:14">
      <c r="A157" s="81" t="s">
        <v>496</v>
      </c>
      <c r="B157" s="81">
        <v>4</v>
      </c>
      <c r="C157" s="81">
        <v>4</v>
      </c>
      <c r="D157" s="81">
        <v>2</v>
      </c>
      <c r="E157" s="81">
        <v>3</v>
      </c>
      <c r="F157" s="81">
        <v>3</v>
      </c>
      <c r="G157" s="81">
        <v>3</v>
      </c>
      <c r="H157" s="81">
        <v>4</v>
      </c>
      <c r="I157" s="81" t="s">
        <v>1035</v>
      </c>
      <c r="J157" s="79"/>
      <c r="K157" s="79"/>
      <c r="L157" s="79"/>
      <c r="M157" s="79"/>
      <c r="N157" s="79"/>
    </row>
    <row r="158" ht="26" spans="1:14">
      <c r="A158" s="81" t="s">
        <v>498</v>
      </c>
      <c r="B158" s="81">
        <v>3</v>
      </c>
      <c r="C158" s="81">
        <v>3</v>
      </c>
      <c r="D158" s="81">
        <v>2</v>
      </c>
      <c r="E158" s="81">
        <v>2</v>
      </c>
      <c r="F158" s="81">
        <v>3</v>
      </c>
      <c r="G158" s="81">
        <v>2</v>
      </c>
      <c r="H158" s="81">
        <v>3</v>
      </c>
      <c r="I158" s="81" t="s">
        <v>1035</v>
      </c>
      <c r="J158" s="79"/>
      <c r="K158" s="79"/>
      <c r="L158" s="79"/>
      <c r="M158" s="79"/>
      <c r="N158" s="79"/>
    </row>
    <row r="159" ht="26" spans="1:14">
      <c r="A159" s="81" t="s">
        <v>502</v>
      </c>
      <c r="B159" s="81">
        <v>3</v>
      </c>
      <c r="C159" s="81">
        <v>3</v>
      </c>
      <c r="D159" s="81">
        <v>2</v>
      </c>
      <c r="E159" s="81">
        <v>2</v>
      </c>
      <c r="F159" s="81">
        <v>3</v>
      </c>
      <c r="G159" s="81">
        <v>2</v>
      </c>
      <c r="H159" s="81">
        <v>3</v>
      </c>
      <c r="I159" s="81" t="s">
        <v>1035</v>
      </c>
      <c r="J159" s="79"/>
      <c r="K159" s="79"/>
      <c r="L159" s="79"/>
      <c r="M159" s="79"/>
      <c r="N159" s="79"/>
    </row>
    <row r="160" ht="26" spans="1:14">
      <c r="A160" s="81" t="s">
        <v>503</v>
      </c>
      <c r="B160" s="81">
        <v>3</v>
      </c>
      <c r="C160" s="81">
        <v>3</v>
      </c>
      <c r="D160" s="81">
        <v>2</v>
      </c>
      <c r="E160" s="81">
        <v>2</v>
      </c>
      <c r="F160" s="81">
        <v>3</v>
      </c>
      <c r="G160" s="81">
        <v>2</v>
      </c>
      <c r="H160" s="81">
        <v>3</v>
      </c>
      <c r="I160" s="81" t="s">
        <v>1035</v>
      </c>
      <c r="J160" s="79"/>
      <c r="K160" s="79"/>
      <c r="L160" s="79"/>
      <c r="M160" s="79"/>
      <c r="N160" s="79"/>
    </row>
    <row r="161" ht="26" spans="1:14">
      <c r="A161" s="81" t="s">
        <v>504</v>
      </c>
      <c r="B161" s="81">
        <v>3</v>
      </c>
      <c r="C161" s="81">
        <v>3</v>
      </c>
      <c r="D161" s="81">
        <v>2</v>
      </c>
      <c r="E161" s="81">
        <v>2</v>
      </c>
      <c r="F161" s="81">
        <v>3</v>
      </c>
      <c r="G161" s="81">
        <v>2</v>
      </c>
      <c r="H161" s="81">
        <v>3</v>
      </c>
      <c r="I161" s="81" t="s">
        <v>1035</v>
      </c>
      <c r="J161" s="79"/>
      <c r="K161" s="79"/>
      <c r="L161" s="79"/>
      <c r="M161" s="79"/>
      <c r="N161" s="79"/>
    </row>
    <row r="162" ht="26" spans="1:14">
      <c r="A162" s="81" t="s">
        <v>505</v>
      </c>
      <c r="B162" s="81">
        <v>3</v>
      </c>
      <c r="C162" s="81">
        <v>3</v>
      </c>
      <c r="D162" s="81">
        <v>2</v>
      </c>
      <c r="E162" s="81">
        <v>2</v>
      </c>
      <c r="F162" s="81">
        <v>3</v>
      </c>
      <c r="G162" s="81">
        <v>2</v>
      </c>
      <c r="H162" s="81">
        <v>3</v>
      </c>
      <c r="I162" s="81" t="s">
        <v>1035</v>
      </c>
      <c r="J162" s="79"/>
      <c r="K162" s="79"/>
      <c r="L162" s="79"/>
      <c r="M162" s="79"/>
      <c r="N162" s="79"/>
    </row>
    <row r="163" ht="26" spans="1:14">
      <c r="A163" s="81" t="s">
        <v>507</v>
      </c>
      <c r="B163" s="81">
        <v>3</v>
      </c>
      <c r="C163" s="81">
        <v>3</v>
      </c>
      <c r="D163" s="81">
        <v>2</v>
      </c>
      <c r="E163" s="81">
        <v>2</v>
      </c>
      <c r="F163" s="81">
        <v>3</v>
      </c>
      <c r="G163" s="81">
        <v>2</v>
      </c>
      <c r="H163" s="81">
        <v>3</v>
      </c>
      <c r="I163" s="81" t="s">
        <v>1035</v>
      </c>
      <c r="J163" s="79"/>
      <c r="K163" s="79"/>
      <c r="L163" s="79"/>
      <c r="M163" s="79"/>
      <c r="N163" s="79"/>
    </row>
    <row r="164" ht="26" spans="1:14">
      <c r="A164" s="81" t="s">
        <v>508</v>
      </c>
      <c r="B164" s="81">
        <v>3</v>
      </c>
      <c r="C164" s="81">
        <v>3</v>
      </c>
      <c r="D164" s="81">
        <v>2</v>
      </c>
      <c r="E164" s="81">
        <v>2</v>
      </c>
      <c r="F164" s="81">
        <v>3</v>
      </c>
      <c r="G164" s="81">
        <v>2</v>
      </c>
      <c r="H164" s="81">
        <v>3</v>
      </c>
      <c r="I164" s="81" t="s">
        <v>1035</v>
      </c>
      <c r="J164" s="79"/>
      <c r="K164" s="79"/>
      <c r="L164" s="79"/>
      <c r="M164" s="79"/>
      <c r="N164" s="79"/>
    </row>
    <row r="165" ht="26" spans="1:14">
      <c r="A165" s="81" t="s">
        <v>509</v>
      </c>
      <c r="B165" s="81">
        <v>3</v>
      </c>
      <c r="C165" s="81">
        <v>3</v>
      </c>
      <c r="D165" s="81">
        <v>2</v>
      </c>
      <c r="E165" s="81">
        <v>2</v>
      </c>
      <c r="F165" s="81">
        <v>3</v>
      </c>
      <c r="G165" s="81">
        <v>2</v>
      </c>
      <c r="H165" s="81">
        <v>3</v>
      </c>
      <c r="I165" s="81" t="s">
        <v>1035</v>
      </c>
      <c r="J165" s="79"/>
      <c r="K165" s="79"/>
      <c r="L165" s="79"/>
      <c r="M165" s="79"/>
      <c r="N165" s="79"/>
    </row>
    <row r="166" ht="26" spans="1:14">
      <c r="A166" s="81" t="s">
        <v>510</v>
      </c>
      <c r="B166" s="81">
        <v>3</v>
      </c>
      <c r="C166" s="81">
        <v>3</v>
      </c>
      <c r="D166" s="81">
        <v>2</v>
      </c>
      <c r="E166" s="81">
        <v>2</v>
      </c>
      <c r="F166" s="81">
        <v>3</v>
      </c>
      <c r="G166" s="81">
        <v>2</v>
      </c>
      <c r="H166" s="81">
        <v>3</v>
      </c>
      <c r="I166" s="81" t="s">
        <v>1035</v>
      </c>
      <c r="J166" s="79"/>
      <c r="K166" s="79"/>
      <c r="L166" s="79"/>
      <c r="M166" s="79"/>
      <c r="N166" s="79"/>
    </row>
    <row r="167" ht="26" spans="1:14">
      <c r="A167" s="81" t="s">
        <v>511</v>
      </c>
      <c r="B167" s="81">
        <v>3</v>
      </c>
      <c r="C167" s="81">
        <v>3</v>
      </c>
      <c r="D167" s="81">
        <v>2</v>
      </c>
      <c r="E167" s="81">
        <v>2</v>
      </c>
      <c r="F167" s="81">
        <v>3</v>
      </c>
      <c r="G167" s="81">
        <v>2</v>
      </c>
      <c r="H167" s="81">
        <v>3</v>
      </c>
      <c r="I167" s="81" t="s">
        <v>1035</v>
      </c>
      <c r="J167" s="79"/>
      <c r="K167" s="79"/>
      <c r="L167" s="79"/>
      <c r="M167" s="79"/>
      <c r="N167" s="79"/>
    </row>
    <row r="168" ht="26" spans="1:14">
      <c r="A168" s="81" t="s">
        <v>512</v>
      </c>
      <c r="B168" s="81">
        <v>3</v>
      </c>
      <c r="C168" s="81">
        <v>3</v>
      </c>
      <c r="D168" s="81">
        <v>2</v>
      </c>
      <c r="E168" s="81">
        <v>2</v>
      </c>
      <c r="F168" s="81">
        <v>2</v>
      </c>
      <c r="G168" s="81">
        <v>2</v>
      </c>
      <c r="H168" s="81">
        <v>3</v>
      </c>
      <c r="I168" s="81" t="s">
        <v>1035</v>
      </c>
      <c r="J168" s="79"/>
      <c r="K168" s="79"/>
      <c r="L168" s="79"/>
      <c r="M168" s="79"/>
      <c r="N168" s="79"/>
    </row>
    <row r="169" ht="26" spans="1:14">
      <c r="A169" s="81" t="s">
        <v>514</v>
      </c>
      <c r="B169" s="81">
        <v>3</v>
      </c>
      <c r="C169" s="81">
        <v>3</v>
      </c>
      <c r="D169" s="81">
        <v>2</v>
      </c>
      <c r="E169" s="81">
        <v>2</v>
      </c>
      <c r="F169" s="81">
        <v>2</v>
      </c>
      <c r="G169" s="81">
        <v>2</v>
      </c>
      <c r="H169" s="81">
        <v>3</v>
      </c>
      <c r="I169" s="81" t="s">
        <v>1035</v>
      </c>
      <c r="J169" s="79"/>
      <c r="K169" s="79"/>
      <c r="L169" s="79"/>
      <c r="M169" s="79"/>
      <c r="N169" s="79"/>
    </row>
    <row r="170" ht="26" spans="1:14">
      <c r="A170" s="81" t="s">
        <v>515</v>
      </c>
      <c r="B170" s="81">
        <v>3</v>
      </c>
      <c r="C170" s="81">
        <v>3</v>
      </c>
      <c r="D170" s="81">
        <v>2</v>
      </c>
      <c r="E170" s="81">
        <v>2</v>
      </c>
      <c r="F170" s="81">
        <v>3</v>
      </c>
      <c r="G170" s="81">
        <v>2</v>
      </c>
      <c r="H170" s="81">
        <v>3</v>
      </c>
      <c r="I170" s="81" t="s">
        <v>1035</v>
      </c>
      <c r="J170" s="79"/>
      <c r="K170" s="79"/>
      <c r="L170" s="79"/>
      <c r="M170" s="79"/>
      <c r="N170" s="79"/>
    </row>
    <row r="171" ht="26" spans="1:14">
      <c r="A171" s="81" t="s">
        <v>517</v>
      </c>
      <c r="B171" s="81">
        <v>3</v>
      </c>
      <c r="C171" s="81">
        <v>3</v>
      </c>
      <c r="D171" s="81">
        <v>2</v>
      </c>
      <c r="E171" s="81">
        <v>2</v>
      </c>
      <c r="F171" s="81">
        <v>3</v>
      </c>
      <c r="G171" s="81">
        <v>2</v>
      </c>
      <c r="H171" s="81">
        <v>3</v>
      </c>
      <c r="I171" s="81" t="s">
        <v>1035</v>
      </c>
      <c r="J171" s="79"/>
      <c r="K171" s="79"/>
      <c r="L171" s="79"/>
      <c r="M171" s="79"/>
      <c r="N171" s="79"/>
    </row>
    <row r="172" ht="26" spans="1:14">
      <c r="A172" s="81" t="s">
        <v>518</v>
      </c>
      <c r="B172" s="81">
        <v>3</v>
      </c>
      <c r="C172" s="81">
        <v>3</v>
      </c>
      <c r="D172" s="81">
        <v>2</v>
      </c>
      <c r="E172" s="81">
        <v>2</v>
      </c>
      <c r="F172" s="81">
        <v>3</v>
      </c>
      <c r="G172" s="81">
        <v>2</v>
      </c>
      <c r="H172" s="81">
        <v>3</v>
      </c>
      <c r="I172" s="81" t="s">
        <v>1035</v>
      </c>
      <c r="J172" s="79"/>
      <c r="K172" s="79"/>
      <c r="L172" s="79"/>
      <c r="M172" s="79"/>
      <c r="N172" s="79"/>
    </row>
    <row r="173" ht="26" spans="1:14">
      <c r="A173" s="81" t="s">
        <v>519</v>
      </c>
      <c r="B173" s="81">
        <v>3</v>
      </c>
      <c r="C173" s="81">
        <v>3</v>
      </c>
      <c r="D173" s="81">
        <v>2</v>
      </c>
      <c r="E173" s="81">
        <v>2</v>
      </c>
      <c r="F173" s="81">
        <v>3</v>
      </c>
      <c r="G173" s="81">
        <v>2</v>
      </c>
      <c r="H173" s="81">
        <v>3</v>
      </c>
      <c r="I173" s="81" t="s">
        <v>1035</v>
      </c>
      <c r="J173" s="79"/>
      <c r="K173" s="79"/>
      <c r="L173" s="79"/>
      <c r="M173" s="79"/>
      <c r="N173" s="79"/>
    </row>
    <row r="174" ht="26" spans="1:14">
      <c r="A174" s="81" t="s">
        <v>520</v>
      </c>
      <c r="B174" s="81">
        <v>3</v>
      </c>
      <c r="C174" s="81">
        <v>3</v>
      </c>
      <c r="D174" s="81">
        <v>2</v>
      </c>
      <c r="E174" s="81">
        <v>2</v>
      </c>
      <c r="F174" s="81">
        <v>3</v>
      </c>
      <c r="G174" s="81">
        <v>2</v>
      </c>
      <c r="H174" s="81">
        <v>3</v>
      </c>
      <c r="I174" s="81" t="s">
        <v>1035</v>
      </c>
      <c r="J174" s="79"/>
      <c r="K174" s="79"/>
      <c r="L174" s="79"/>
      <c r="M174" s="79"/>
      <c r="N174" s="79"/>
    </row>
    <row r="175" ht="26" spans="1:14">
      <c r="A175" s="81" t="s">
        <v>521</v>
      </c>
      <c r="B175" s="81">
        <v>3</v>
      </c>
      <c r="C175" s="81">
        <v>3</v>
      </c>
      <c r="D175" s="81">
        <v>2</v>
      </c>
      <c r="E175" s="81">
        <v>2</v>
      </c>
      <c r="F175" s="81">
        <v>2</v>
      </c>
      <c r="G175" s="81">
        <v>2</v>
      </c>
      <c r="H175" s="81">
        <v>3</v>
      </c>
      <c r="I175" s="81" t="s">
        <v>1035</v>
      </c>
      <c r="J175" s="79"/>
      <c r="K175" s="79"/>
      <c r="L175" s="79"/>
      <c r="M175" s="79"/>
      <c r="N175" s="79"/>
    </row>
    <row r="176" ht="26" spans="1:14">
      <c r="A176" s="81" t="s">
        <v>523</v>
      </c>
      <c r="B176" s="81">
        <v>3</v>
      </c>
      <c r="C176" s="81">
        <v>3</v>
      </c>
      <c r="D176" s="81">
        <v>2</v>
      </c>
      <c r="E176" s="81">
        <v>2</v>
      </c>
      <c r="F176" s="81">
        <v>2</v>
      </c>
      <c r="G176" s="81">
        <v>2</v>
      </c>
      <c r="H176" s="81">
        <v>3</v>
      </c>
      <c r="I176" s="81" t="s">
        <v>1035</v>
      </c>
      <c r="J176" s="79"/>
      <c r="K176" s="79"/>
      <c r="L176" s="79"/>
      <c r="M176" s="79"/>
      <c r="N176" s="79"/>
    </row>
    <row r="177" ht="26" spans="1:14">
      <c r="A177" s="81" t="s">
        <v>524</v>
      </c>
      <c r="B177" s="81">
        <v>3</v>
      </c>
      <c r="C177" s="81">
        <v>3</v>
      </c>
      <c r="D177" s="81">
        <v>2</v>
      </c>
      <c r="E177" s="81">
        <v>2</v>
      </c>
      <c r="F177" s="81">
        <v>3</v>
      </c>
      <c r="G177" s="81">
        <v>2</v>
      </c>
      <c r="H177" s="81">
        <v>3</v>
      </c>
      <c r="I177" s="81" t="s">
        <v>1035</v>
      </c>
      <c r="J177" s="79"/>
      <c r="K177" s="79"/>
      <c r="L177" s="79"/>
      <c r="M177" s="79"/>
      <c r="N177" s="79"/>
    </row>
    <row r="178" ht="26" spans="1:14">
      <c r="A178" s="81" t="s">
        <v>525</v>
      </c>
      <c r="B178" s="81">
        <v>3</v>
      </c>
      <c r="C178" s="81">
        <v>3</v>
      </c>
      <c r="D178" s="81">
        <v>2</v>
      </c>
      <c r="E178" s="81">
        <v>2</v>
      </c>
      <c r="F178" s="81">
        <v>3</v>
      </c>
      <c r="G178" s="81">
        <v>2</v>
      </c>
      <c r="H178" s="81">
        <v>3</v>
      </c>
      <c r="I178" s="81" t="s">
        <v>1035</v>
      </c>
      <c r="J178" s="79"/>
      <c r="K178" s="79"/>
      <c r="L178" s="79"/>
      <c r="M178" s="79"/>
      <c r="N178" s="79"/>
    </row>
    <row r="179" ht="26" spans="1:14">
      <c r="A179" s="81" t="s">
        <v>526</v>
      </c>
      <c r="B179" s="81">
        <v>4</v>
      </c>
      <c r="C179" s="81">
        <v>4</v>
      </c>
      <c r="D179" s="81">
        <v>2</v>
      </c>
      <c r="E179" s="81">
        <v>4</v>
      </c>
      <c r="F179" s="81">
        <v>3</v>
      </c>
      <c r="G179" s="81">
        <v>3</v>
      </c>
      <c r="H179" s="81">
        <v>4</v>
      </c>
      <c r="I179" s="81" t="s">
        <v>1035</v>
      </c>
      <c r="J179" s="79"/>
      <c r="K179" s="79"/>
      <c r="L179" s="79"/>
      <c r="M179" s="79"/>
      <c r="N179" s="79"/>
    </row>
    <row r="180" ht="26" spans="1:14">
      <c r="A180" s="81" t="s">
        <v>528</v>
      </c>
      <c r="B180" s="81">
        <v>4</v>
      </c>
      <c r="C180" s="81">
        <v>4</v>
      </c>
      <c r="D180" s="81">
        <v>2</v>
      </c>
      <c r="E180" s="81">
        <v>4</v>
      </c>
      <c r="F180" s="81">
        <v>3</v>
      </c>
      <c r="G180" s="81">
        <v>3</v>
      </c>
      <c r="H180" s="81">
        <v>4</v>
      </c>
      <c r="I180" s="81" t="s">
        <v>1035</v>
      </c>
      <c r="J180" s="79"/>
      <c r="K180" s="79"/>
      <c r="L180" s="79"/>
      <c r="M180" s="79"/>
      <c r="N180" s="79"/>
    </row>
    <row r="181" ht="26" spans="1:14">
      <c r="A181" s="81" t="s">
        <v>529</v>
      </c>
      <c r="B181" s="81">
        <v>4</v>
      </c>
      <c r="C181" s="81">
        <v>4</v>
      </c>
      <c r="D181" s="81">
        <v>2</v>
      </c>
      <c r="E181" s="81">
        <v>4</v>
      </c>
      <c r="F181" s="81">
        <v>3</v>
      </c>
      <c r="G181" s="81">
        <v>3</v>
      </c>
      <c r="H181" s="81">
        <v>4</v>
      </c>
      <c r="I181" s="81" t="s">
        <v>1035</v>
      </c>
      <c r="J181" s="79"/>
      <c r="K181" s="79"/>
      <c r="L181" s="79"/>
      <c r="M181" s="79"/>
      <c r="N181" s="79"/>
    </row>
    <row r="182" ht="26" spans="1:14">
      <c r="A182" s="81" t="s">
        <v>530</v>
      </c>
      <c r="B182" s="81">
        <v>4</v>
      </c>
      <c r="C182" s="81">
        <v>4</v>
      </c>
      <c r="D182" s="81">
        <v>2</v>
      </c>
      <c r="E182" s="81">
        <v>4</v>
      </c>
      <c r="F182" s="81">
        <v>3</v>
      </c>
      <c r="G182" s="81">
        <v>3</v>
      </c>
      <c r="H182" s="81">
        <v>4</v>
      </c>
      <c r="I182" s="81" t="s">
        <v>1035</v>
      </c>
      <c r="J182" s="79"/>
      <c r="K182" s="79"/>
      <c r="L182" s="79"/>
      <c r="M182" s="79"/>
      <c r="N182" s="79"/>
    </row>
    <row r="183" ht="26" spans="1:14">
      <c r="A183" s="81" t="s">
        <v>531</v>
      </c>
      <c r="B183" s="81">
        <v>4</v>
      </c>
      <c r="C183" s="81">
        <v>4</v>
      </c>
      <c r="D183" s="81">
        <v>2</v>
      </c>
      <c r="E183" s="81">
        <v>4</v>
      </c>
      <c r="F183" s="81">
        <v>3</v>
      </c>
      <c r="G183" s="81">
        <v>3</v>
      </c>
      <c r="H183" s="81">
        <v>4</v>
      </c>
      <c r="I183" s="81" t="s">
        <v>1035</v>
      </c>
      <c r="J183" s="79"/>
      <c r="K183" s="79"/>
      <c r="L183" s="79"/>
      <c r="M183" s="79"/>
      <c r="N183" s="79"/>
    </row>
    <row r="184" ht="26" spans="1:14">
      <c r="A184" s="81" t="s">
        <v>532</v>
      </c>
      <c r="B184" s="81">
        <v>4</v>
      </c>
      <c r="C184" s="81">
        <v>4</v>
      </c>
      <c r="D184" s="81">
        <v>2</v>
      </c>
      <c r="E184" s="81">
        <v>4</v>
      </c>
      <c r="F184" s="81">
        <v>3</v>
      </c>
      <c r="G184" s="81">
        <v>3</v>
      </c>
      <c r="H184" s="81">
        <v>4</v>
      </c>
      <c r="I184" s="81" t="s">
        <v>1035</v>
      </c>
      <c r="J184" s="79"/>
      <c r="K184" s="79"/>
      <c r="L184" s="79"/>
      <c r="M184" s="79"/>
      <c r="N184" s="79"/>
    </row>
    <row r="185" ht="26" spans="1:14">
      <c r="A185" s="81" t="s">
        <v>533</v>
      </c>
      <c r="B185" s="81">
        <v>3</v>
      </c>
      <c r="C185" s="81">
        <v>3</v>
      </c>
      <c r="D185" s="81">
        <v>2</v>
      </c>
      <c r="E185" s="81">
        <v>2</v>
      </c>
      <c r="F185" s="81">
        <v>3</v>
      </c>
      <c r="G185" s="81">
        <v>2</v>
      </c>
      <c r="H185" s="81">
        <v>3</v>
      </c>
      <c r="I185" s="81" t="s">
        <v>1035</v>
      </c>
      <c r="J185" s="79"/>
      <c r="K185" s="79"/>
      <c r="L185" s="79"/>
      <c r="M185" s="79"/>
      <c r="N185" s="79"/>
    </row>
    <row r="186" ht="26" spans="1:14">
      <c r="A186" s="81" t="s">
        <v>534</v>
      </c>
      <c r="B186" s="81">
        <v>3</v>
      </c>
      <c r="C186" s="81">
        <v>3</v>
      </c>
      <c r="D186" s="81">
        <v>2</v>
      </c>
      <c r="E186" s="81">
        <v>2</v>
      </c>
      <c r="F186" s="81">
        <v>3</v>
      </c>
      <c r="G186" s="81">
        <v>2</v>
      </c>
      <c r="H186" s="81">
        <v>3</v>
      </c>
      <c r="I186" s="81" t="s">
        <v>1035</v>
      </c>
      <c r="J186" s="79"/>
      <c r="K186" s="79"/>
      <c r="L186" s="79"/>
      <c r="M186" s="79"/>
      <c r="N186" s="79"/>
    </row>
    <row r="187" ht="26" spans="1:14">
      <c r="A187" s="81" t="s">
        <v>535</v>
      </c>
      <c r="B187" s="81">
        <v>3</v>
      </c>
      <c r="C187" s="81">
        <v>3</v>
      </c>
      <c r="D187" s="81">
        <v>2</v>
      </c>
      <c r="E187" s="81">
        <v>2</v>
      </c>
      <c r="F187" s="81">
        <v>3</v>
      </c>
      <c r="G187" s="81">
        <v>2</v>
      </c>
      <c r="H187" s="81">
        <v>3</v>
      </c>
      <c r="I187" s="81" t="s">
        <v>1035</v>
      </c>
      <c r="J187" s="79"/>
      <c r="K187" s="79"/>
      <c r="L187" s="79"/>
      <c r="M187" s="79"/>
      <c r="N187" s="79"/>
    </row>
    <row r="188" ht="26" spans="1:14">
      <c r="A188" s="81" t="s">
        <v>536</v>
      </c>
      <c r="B188" s="81">
        <v>3</v>
      </c>
      <c r="C188" s="81">
        <v>3</v>
      </c>
      <c r="D188" s="81">
        <v>2</v>
      </c>
      <c r="E188" s="81">
        <v>2</v>
      </c>
      <c r="F188" s="81">
        <v>3</v>
      </c>
      <c r="G188" s="81">
        <v>2</v>
      </c>
      <c r="H188" s="81">
        <v>3</v>
      </c>
      <c r="I188" s="81" t="s">
        <v>1035</v>
      </c>
      <c r="J188" s="79"/>
      <c r="K188" s="79"/>
      <c r="L188" s="79"/>
      <c r="M188" s="79"/>
      <c r="N188" s="79"/>
    </row>
    <row r="189" ht="26" spans="1:14">
      <c r="A189" s="81" t="s">
        <v>537</v>
      </c>
      <c r="B189" s="81">
        <v>3</v>
      </c>
      <c r="C189" s="81">
        <v>3</v>
      </c>
      <c r="D189" s="81">
        <v>2</v>
      </c>
      <c r="E189" s="81">
        <v>2</v>
      </c>
      <c r="F189" s="81">
        <v>3</v>
      </c>
      <c r="G189" s="81">
        <v>2</v>
      </c>
      <c r="H189" s="81">
        <v>3</v>
      </c>
      <c r="I189" s="81" t="s">
        <v>1035</v>
      </c>
      <c r="J189" s="79"/>
      <c r="K189" s="79"/>
      <c r="L189" s="79"/>
      <c r="M189" s="79"/>
      <c r="N189" s="79"/>
    </row>
    <row r="190" ht="26" spans="1:14">
      <c r="A190" s="81" t="s">
        <v>538</v>
      </c>
      <c r="B190" s="81">
        <v>3</v>
      </c>
      <c r="C190" s="81">
        <v>3</v>
      </c>
      <c r="D190" s="81">
        <v>2</v>
      </c>
      <c r="E190" s="81">
        <v>2</v>
      </c>
      <c r="F190" s="81">
        <v>3</v>
      </c>
      <c r="G190" s="81">
        <v>2</v>
      </c>
      <c r="H190" s="81">
        <v>3</v>
      </c>
      <c r="I190" s="81" t="s">
        <v>1035</v>
      </c>
      <c r="J190" s="79"/>
      <c r="K190" s="79"/>
      <c r="L190" s="79"/>
      <c r="M190" s="79"/>
      <c r="N190" s="79"/>
    </row>
    <row r="191" ht="26" spans="1:14">
      <c r="A191" s="81" t="s">
        <v>539</v>
      </c>
      <c r="B191" s="81">
        <v>3</v>
      </c>
      <c r="C191" s="81">
        <v>3</v>
      </c>
      <c r="D191" s="81">
        <v>2</v>
      </c>
      <c r="E191" s="81">
        <v>2</v>
      </c>
      <c r="F191" s="81">
        <v>3</v>
      </c>
      <c r="G191" s="81">
        <v>2</v>
      </c>
      <c r="H191" s="81">
        <v>3</v>
      </c>
      <c r="I191" s="81" t="s">
        <v>1035</v>
      </c>
      <c r="J191" s="79"/>
      <c r="K191" s="79"/>
      <c r="L191" s="79"/>
      <c r="M191" s="79"/>
      <c r="N191" s="79"/>
    </row>
    <row r="192" ht="26" spans="1:14">
      <c r="A192" s="81" t="s">
        <v>540</v>
      </c>
      <c r="B192" s="81">
        <v>3</v>
      </c>
      <c r="C192" s="81">
        <v>3</v>
      </c>
      <c r="D192" s="81">
        <v>2</v>
      </c>
      <c r="E192" s="81">
        <v>2</v>
      </c>
      <c r="F192" s="81">
        <v>3</v>
      </c>
      <c r="G192" s="81">
        <v>2</v>
      </c>
      <c r="H192" s="81">
        <v>3</v>
      </c>
      <c r="I192" s="81" t="s">
        <v>1035</v>
      </c>
      <c r="J192" s="79"/>
      <c r="K192" s="79"/>
      <c r="L192" s="79"/>
      <c r="M192" s="79"/>
      <c r="N192" s="79"/>
    </row>
    <row r="193" ht="26" spans="1:14">
      <c r="A193" s="81" t="s">
        <v>546</v>
      </c>
      <c r="B193" s="81">
        <v>3</v>
      </c>
      <c r="C193" s="81">
        <v>3</v>
      </c>
      <c r="D193" s="81">
        <v>2</v>
      </c>
      <c r="E193" s="81">
        <v>2</v>
      </c>
      <c r="F193" s="81">
        <v>3</v>
      </c>
      <c r="G193" s="81">
        <v>2</v>
      </c>
      <c r="H193" s="81">
        <v>3</v>
      </c>
      <c r="I193" s="81" t="s">
        <v>1035</v>
      </c>
      <c r="J193" s="79"/>
      <c r="K193" s="79"/>
      <c r="L193" s="79"/>
      <c r="M193" s="79"/>
      <c r="N193" s="79"/>
    </row>
    <row r="194" ht="26" spans="1:14">
      <c r="A194" s="81" t="s">
        <v>547</v>
      </c>
      <c r="B194" s="81">
        <v>3</v>
      </c>
      <c r="C194" s="81">
        <v>3</v>
      </c>
      <c r="D194" s="81">
        <v>2</v>
      </c>
      <c r="E194" s="81">
        <v>2</v>
      </c>
      <c r="F194" s="81">
        <v>3</v>
      </c>
      <c r="G194" s="81">
        <v>2</v>
      </c>
      <c r="H194" s="81">
        <v>3</v>
      </c>
      <c r="I194" s="81" t="s">
        <v>1035</v>
      </c>
      <c r="J194" s="79"/>
      <c r="K194" s="79"/>
      <c r="L194" s="79"/>
      <c r="M194" s="79"/>
      <c r="N194" s="79"/>
    </row>
    <row r="195" ht="26" spans="1:14">
      <c r="A195" s="81" t="s">
        <v>548</v>
      </c>
      <c r="B195" s="81">
        <v>3</v>
      </c>
      <c r="C195" s="81">
        <v>3</v>
      </c>
      <c r="D195" s="81">
        <v>2</v>
      </c>
      <c r="E195" s="81">
        <v>2</v>
      </c>
      <c r="F195" s="81">
        <v>3</v>
      </c>
      <c r="G195" s="81">
        <v>2</v>
      </c>
      <c r="H195" s="81">
        <v>3</v>
      </c>
      <c r="I195" s="81" t="s">
        <v>1035</v>
      </c>
      <c r="J195" s="79"/>
      <c r="K195" s="79"/>
      <c r="L195" s="79"/>
      <c r="M195" s="79"/>
      <c r="N195" s="79"/>
    </row>
    <row r="196" ht="26" spans="1:14">
      <c r="A196" s="81" t="s">
        <v>549</v>
      </c>
      <c r="B196" s="81">
        <v>3</v>
      </c>
      <c r="C196" s="81">
        <v>3</v>
      </c>
      <c r="D196" s="81">
        <v>2</v>
      </c>
      <c r="E196" s="81">
        <v>2</v>
      </c>
      <c r="F196" s="81">
        <v>3</v>
      </c>
      <c r="G196" s="81">
        <v>2</v>
      </c>
      <c r="H196" s="81">
        <v>3</v>
      </c>
      <c r="I196" s="81" t="s">
        <v>1035</v>
      </c>
      <c r="J196" s="79"/>
      <c r="K196" s="79"/>
      <c r="L196" s="79"/>
      <c r="M196" s="79"/>
      <c r="N196" s="79"/>
    </row>
    <row r="197" ht="26" spans="1:14">
      <c r="A197" s="81" t="s">
        <v>550</v>
      </c>
      <c r="B197" s="81">
        <v>3</v>
      </c>
      <c r="C197" s="81">
        <v>3</v>
      </c>
      <c r="D197" s="81">
        <v>2</v>
      </c>
      <c r="E197" s="81">
        <v>2</v>
      </c>
      <c r="F197" s="81">
        <v>3</v>
      </c>
      <c r="G197" s="81">
        <v>2</v>
      </c>
      <c r="H197" s="81">
        <v>3</v>
      </c>
      <c r="I197" s="81" t="s">
        <v>1035</v>
      </c>
      <c r="J197" s="79"/>
      <c r="K197" s="79"/>
      <c r="L197" s="79"/>
      <c r="M197" s="79"/>
      <c r="N197" s="79"/>
    </row>
    <row r="198" ht="26" spans="1:14">
      <c r="A198" s="81" t="s">
        <v>551</v>
      </c>
      <c r="B198" s="81">
        <v>2</v>
      </c>
      <c r="C198" s="81">
        <v>2</v>
      </c>
      <c r="D198" s="81">
        <v>2</v>
      </c>
      <c r="E198" s="81">
        <v>2</v>
      </c>
      <c r="F198" s="81">
        <v>3</v>
      </c>
      <c r="G198" s="81">
        <v>2</v>
      </c>
      <c r="H198" s="81">
        <v>3</v>
      </c>
      <c r="I198" s="81" t="s">
        <v>1035</v>
      </c>
      <c r="J198" s="79"/>
      <c r="K198" s="79"/>
      <c r="L198" s="79"/>
      <c r="M198" s="79"/>
      <c r="N198" s="79"/>
    </row>
    <row r="199" ht="26" spans="1:14">
      <c r="A199" s="81" t="s">
        <v>555</v>
      </c>
      <c r="B199" s="81">
        <v>3</v>
      </c>
      <c r="C199" s="81">
        <v>3</v>
      </c>
      <c r="D199" s="81">
        <v>2</v>
      </c>
      <c r="E199" s="81">
        <v>2</v>
      </c>
      <c r="F199" s="81">
        <v>3</v>
      </c>
      <c r="G199" s="81">
        <v>2</v>
      </c>
      <c r="H199" s="81">
        <v>3</v>
      </c>
      <c r="I199" s="81" t="s">
        <v>1035</v>
      </c>
      <c r="J199" s="79"/>
      <c r="K199" s="79"/>
      <c r="L199" s="79"/>
      <c r="M199" s="79"/>
      <c r="N199" s="79"/>
    </row>
    <row r="200" ht="26" spans="1:14">
      <c r="A200" s="81" t="s">
        <v>557</v>
      </c>
      <c r="B200" s="81">
        <v>3</v>
      </c>
      <c r="C200" s="81">
        <v>3</v>
      </c>
      <c r="D200" s="81">
        <v>2</v>
      </c>
      <c r="E200" s="81">
        <v>2</v>
      </c>
      <c r="F200" s="81">
        <v>3</v>
      </c>
      <c r="G200" s="81">
        <v>2</v>
      </c>
      <c r="H200" s="81">
        <v>3</v>
      </c>
      <c r="I200" s="81" t="s">
        <v>1035</v>
      </c>
      <c r="J200" s="79"/>
      <c r="K200" s="79"/>
      <c r="L200" s="79"/>
      <c r="M200" s="79"/>
      <c r="N200" s="79"/>
    </row>
    <row r="201" ht="26" spans="1:14">
      <c r="A201" s="81" t="s">
        <v>559</v>
      </c>
      <c r="B201" s="81">
        <v>3</v>
      </c>
      <c r="C201" s="81">
        <v>3</v>
      </c>
      <c r="D201" s="81">
        <v>2</v>
      </c>
      <c r="E201" s="81">
        <v>2</v>
      </c>
      <c r="F201" s="81">
        <v>3</v>
      </c>
      <c r="G201" s="81">
        <v>2</v>
      </c>
      <c r="H201" s="81">
        <v>3</v>
      </c>
      <c r="I201" s="81" t="s">
        <v>1035</v>
      </c>
      <c r="J201" s="79"/>
      <c r="K201" s="79"/>
      <c r="L201" s="79"/>
      <c r="M201" s="79"/>
      <c r="N201" s="79"/>
    </row>
    <row r="202" ht="26" spans="1:14">
      <c r="A202" s="81" t="s">
        <v>562</v>
      </c>
      <c r="B202" s="81">
        <v>3</v>
      </c>
      <c r="C202" s="81">
        <v>3</v>
      </c>
      <c r="D202" s="81">
        <v>2</v>
      </c>
      <c r="E202" s="81">
        <v>2</v>
      </c>
      <c r="F202" s="81">
        <v>3</v>
      </c>
      <c r="G202" s="81">
        <v>2</v>
      </c>
      <c r="H202" s="81">
        <v>3</v>
      </c>
      <c r="I202" s="81" t="s">
        <v>1035</v>
      </c>
      <c r="J202" s="79"/>
      <c r="K202" s="79"/>
      <c r="L202" s="79"/>
      <c r="M202" s="79"/>
      <c r="N202" s="79"/>
    </row>
    <row r="203" ht="26" spans="1:14">
      <c r="A203" s="81" t="s">
        <v>563</v>
      </c>
      <c r="B203" s="81">
        <v>3</v>
      </c>
      <c r="C203" s="81">
        <v>3</v>
      </c>
      <c r="D203" s="81">
        <v>2</v>
      </c>
      <c r="E203" s="81">
        <v>2</v>
      </c>
      <c r="F203" s="81">
        <v>3</v>
      </c>
      <c r="G203" s="81">
        <v>2</v>
      </c>
      <c r="H203" s="81">
        <v>3</v>
      </c>
      <c r="I203" s="81" t="s">
        <v>1035</v>
      </c>
      <c r="J203" s="79"/>
      <c r="K203" s="79"/>
      <c r="L203" s="79"/>
      <c r="M203" s="79"/>
      <c r="N203" s="79"/>
    </row>
    <row r="204" ht="26" spans="1:14">
      <c r="A204" s="81" t="s">
        <v>564</v>
      </c>
      <c r="B204" s="81">
        <v>3</v>
      </c>
      <c r="C204" s="81">
        <v>3</v>
      </c>
      <c r="D204" s="81">
        <v>2</v>
      </c>
      <c r="E204" s="81">
        <v>2</v>
      </c>
      <c r="F204" s="81">
        <v>3</v>
      </c>
      <c r="G204" s="81">
        <v>2</v>
      </c>
      <c r="H204" s="81">
        <v>3</v>
      </c>
      <c r="I204" s="81" t="s">
        <v>1035</v>
      </c>
      <c r="J204" s="79"/>
      <c r="K204" s="79"/>
      <c r="L204" s="79"/>
      <c r="M204" s="79"/>
      <c r="N204" s="79"/>
    </row>
    <row r="205" ht="26" spans="1:14">
      <c r="A205" s="81" t="s">
        <v>565</v>
      </c>
      <c r="B205" s="81">
        <v>3</v>
      </c>
      <c r="C205" s="81">
        <v>3</v>
      </c>
      <c r="D205" s="81">
        <v>2</v>
      </c>
      <c r="E205" s="81">
        <v>2</v>
      </c>
      <c r="F205" s="81">
        <v>3</v>
      </c>
      <c r="G205" s="81">
        <v>2</v>
      </c>
      <c r="H205" s="81">
        <v>3</v>
      </c>
      <c r="I205" s="81" t="s">
        <v>1035</v>
      </c>
      <c r="J205" s="79"/>
      <c r="K205" s="79"/>
      <c r="L205" s="79"/>
      <c r="M205" s="79"/>
      <c r="N205" s="79"/>
    </row>
    <row r="206" ht="26" spans="1:14">
      <c r="A206" s="81" t="s">
        <v>566</v>
      </c>
      <c r="B206" s="81">
        <v>3</v>
      </c>
      <c r="C206" s="81">
        <v>3</v>
      </c>
      <c r="D206" s="81">
        <v>2</v>
      </c>
      <c r="E206" s="81">
        <v>2</v>
      </c>
      <c r="F206" s="81">
        <v>3</v>
      </c>
      <c r="G206" s="81">
        <v>2</v>
      </c>
      <c r="H206" s="81">
        <v>3</v>
      </c>
      <c r="I206" s="81" t="s">
        <v>1035</v>
      </c>
      <c r="J206" s="79"/>
      <c r="K206" s="79"/>
      <c r="L206" s="79"/>
      <c r="M206" s="79"/>
      <c r="N206" s="79"/>
    </row>
    <row r="207" ht="26" spans="1:14">
      <c r="A207" s="81" t="s">
        <v>567</v>
      </c>
      <c r="B207" s="81">
        <v>3</v>
      </c>
      <c r="C207" s="81">
        <v>3</v>
      </c>
      <c r="D207" s="81">
        <v>2</v>
      </c>
      <c r="E207" s="81">
        <v>2</v>
      </c>
      <c r="F207" s="81">
        <v>3</v>
      </c>
      <c r="G207" s="81">
        <v>2</v>
      </c>
      <c r="H207" s="81">
        <v>3</v>
      </c>
      <c r="I207" s="81" t="s">
        <v>1035</v>
      </c>
      <c r="J207" s="79"/>
      <c r="K207" s="79"/>
      <c r="L207" s="79"/>
      <c r="M207" s="79"/>
      <c r="N207" s="79"/>
    </row>
    <row r="208" ht="26" spans="1:14">
      <c r="A208" s="81" t="s">
        <v>569</v>
      </c>
      <c r="B208" s="81">
        <v>3</v>
      </c>
      <c r="C208" s="81">
        <v>3</v>
      </c>
      <c r="D208" s="81">
        <v>2</v>
      </c>
      <c r="E208" s="81">
        <v>2</v>
      </c>
      <c r="F208" s="81">
        <v>3</v>
      </c>
      <c r="G208" s="81">
        <v>2</v>
      </c>
      <c r="H208" s="81">
        <v>3</v>
      </c>
      <c r="I208" s="81" t="s">
        <v>1035</v>
      </c>
      <c r="J208" s="79"/>
      <c r="K208" s="79"/>
      <c r="L208" s="79"/>
      <c r="M208" s="79"/>
      <c r="N208" s="79"/>
    </row>
    <row r="209" ht="26" spans="1:14">
      <c r="A209" s="81" t="s">
        <v>570</v>
      </c>
      <c r="B209" s="81">
        <v>3</v>
      </c>
      <c r="C209" s="81">
        <v>3</v>
      </c>
      <c r="D209" s="81">
        <v>2</v>
      </c>
      <c r="E209" s="81">
        <v>2</v>
      </c>
      <c r="F209" s="81">
        <v>2</v>
      </c>
      <c r="G209" s="81">
        <v>2</v>
      </c>
      <c r="H209" s="81">
        <v>3</v>
      </c>
      <c r="I209" s="81" t="s">
        <v>1035</v>
      </c>
      <c r="J209" s="79"/>
      <c r="K209" s="79"/>
      <c r="L209" s="79"/>
      <c r="M209" s="79"/>
      <c r="N209" s="79"/>
    </row>
    <row r="210" ht="26" spans="1:14">
      <c r="A210" s="81" t="s">
        <v>573</v>
      </c>
      <c r="B210" s="81">
        <v>3</v>
      </c>
      <c r="C210" s="81">
        <v>3</v>
      </c>
      <c r="D210" s="81">
        <v>2</v>
      </c>
      <c r="E210" s="81">
        <v>2</v>
      </c>
      <c r="F210" s="81">
        <v>2</v>
      </c>
      <c r="G210" s="81">
        <v>2</v>
      </c>
      <c r="H210" s="81">
        <v>3</v>
      </c>
      <c r="I210" s="81" t="s">
        <v>1035</v>
      </c>
      <c r="J210" s="79"/>
      <c r="K210" s="79"/>
      <c r="L210" s="79"/>
      <c r="M210" s="79"/>
      <c r="N210" s="79"/>
    </row>
    <row r="211" ht="26" spans="1:14">
      <c r="A211" s="81" t="s">
        <v>574</v>
      </c>
      <c r="B211" s="81">
        <v>3</v>
      </c>
      <c r="C211" s="81">
        <v>3</v>
      </c>
      <c r="D211" s="81">
        <v>2</v>
      </c>
      <c r="E211" s="81">
        <v>2</v>
      </c>
      <c r="F211" s="81">
        <v>2</v>
      </c>
      <c r="G211" s="81">
        <v>2</v>
      </c>
      <c r="H211" s="81">
        <v>3</v>
      </c>
      <c r="I211" s="81" t="s">
        <v>1035</v>
      </c>
      <c r="J211" s="79"/>
      <c r="K211" s="79"/>
      <c r="L211" s="79"/>
      <c r="M211" s="79"/>
      <c r="N211" s="79"/>
    </row>
    <row r="212" ht="26" spans="1:14">
      <c r="A212" s="81" t="s">
        <v>575</v>
      </c>
      <c r="B212" s="81">
        <v>3</v>
      </c>
      <c r="C212" s="81">
        <v>3</v>
      </c>
      <c r="D212" s="81">
        <v>2</v>
      </c>
      <c r="E212" s="81">
        <v>2</v>
      </c>
      <c r="F212" s="81">
        <v>3</v>
      </c>
      <c r="G212" s="81">
        <v>2</v>
      </c>
      <c r="H212" s="81">
        <v>3</v>
      </c>
      <c r="I212" s="81" t="s">
        <v>1035</v>
      </c>
      <c r="J212" s="79"/>
      <c r="K212" s="79"/>
      <c r="L212" s="79"/>
      <c r="M212" s="79"/>
      <c r="N212" s="79"/>
    </row>
    <row r="213" ht="26" spans="1:14">
      <c r="A213" s="81" t="s">
        <v>577</v>
      </c>
      <c r="B213" s="81">
        <v>3</v>
      </c>
      <c r="C213" s="81">
        <v>3</v>
      </c>
      <c r="D213" s="81">
        <v>2</v>
      </c>
      <c r="E213" s="81">
        <v>2</v>
      </c>
      <c r="F213" s="81">
        <v>3</v>
      </c>
      <c r="G213" s="81">
        <v>2</v>
      </c>
      <c r="H213" s="81">
        <v>3</v>
      </c>
      <c r="I213" s="81" t="s">
        <v>1035</v>
      </c>
      <c r="J213" s="79"/>
      <c r="K213" s="79"/>
      <c r="L213" s="79"/>
      <c r="M213" s="79"/>
      <c r="N213" s="79"/>
    </row>
    <row r="214" ht="26" spans="1:14">
      <c r="A214" s="81" t="s">
        <v>578</v>
      </c>
      <c r="B214" s="81">
        <v>3</v>
      </c>
      <c r="C214" s="81">
        <v>3</v>
      </c>
      <c r="D214" s="81">
        <v>2</v>
      </c>
      <c r="E214" s="81">
        <v>2</v>
      </c>
      <c r="F214" s="81">
        <v>3</v>
      </c>
      <c r="G214" s="81">
        <v>2</v>
      </c>
      <c r="H214" s="81">
        <v>3</v>
      </c>
      <c r="I214" s="81" t="s">
        <v>1035</v>
      </c>
      <c r="J214" s="79"/>
      <c r="K214" s="79"/>
      <c r="L214" s="79"/>
      <c r="M214" s="79"/>
      <c r="N214" s="79"/>
    </row>
    <row r="215" ht="26" spans="1:14">
      <c r="A215" s="81" t="s">
        <v>579</v>
      </c>
      <c r="B215" s="81">
        <v>3</v>
      </c>
      <c r="C215" s="81">
        <v>3</v>
      </c>
      <c r="D215" s="81">
        <v>2</v>
      </c>
      <c r="E215" s="81">
        <v>2</v>
      </c>
      <c r="F215" s="81">
        <v>3</v>
      </c>
      <c r="G215" s="81">
        <v>2</v>
      </c>
      <c r="H215" s="81">
        <v>3</v>
      </c>
      <c r="I215" s="81" t="s">
        <v>1035</v>
      </c>
      <c r="J215" s="79"/>
      <c r="K215" s="79"/>
      <c r="L215" s="79"/>
      <c r="M215" s="79"/>
      <c r="N215" s="79"/>
    </row>
    <row r="216" ht="26" spans="1:14">
      <c r="A216" s="81" t="s">
        <v>580</v>
      </c>
      <c r="B216" s="81">
        <v>3</v>
      </c>
      <c r="C216" s="81">
        <v>3</v>
      </c>
      <c r="D216" s="81">
        <v>2</v>
      </c>
      <c r="E216" s="81">
        <v>2</v>
      </c>
      <c r="F216" s="81">
        <v>3</v>
      </c>
      <c r="G216" s="81">
        <v>2</v>
      </c>
      <c r="H216" s="81">
        <v>3</v>
      </c>
      <c r="I216" s="81" t="s">
        <v>1035</v>
      </c>
      <c r="J216" s="79"/>
      <c r="K216" s="79"/>
      <c r="L216" s="79"/>
      <c r="M216" s="79"/>
      <c r="N216" s="79"/>
    </row>
    <row r="217" ht="26" spans="1:14">
      <c r="A217" s="81" t="s">
        <v>581</v>
      </c>
      <c r="B217" s="81">
        <v>3</v>
      </c>
      <c r="C217" s="81">
        <v>3</v>
      </c>
      <c r="D217" s="81">
        <v>2</v>
      </c>
      <c r="E217" s="81">
        <v>2</v>
      </c>
      <c r="F217" s="81">
        <v>3</v>
      </c>
      <c r="G217" s="81">
        <v>2</v>
      </c>
      <c r="H217" s="81">
        <v>3</v>
      </c>
      <c r="I217" s="81" t="s">
        <v>1035</v>
      </c>
      <c r="J217" s="79"/>
      <c r="K217" s="79"/>
      <c r="L217" s="79"/>
      <c r="M217" s="79"/>
      <c r="N217" s="79"/>
    </row>
    <row r="218" ht="26" spans="1:14">
      <c r="A218" s="81" t="s">
        <v>582</v>
      </c>
      <c r="B218" s="81">
        <v>3</v>
      </c>
      <c r="C218" s="81">
        <v>3</v>
      </c>
      <c r="D218" s="81">
        <v>2</v>
      </c>
      <c r="E218" s="81">
        <v>2</v>
      </c>
      <c r="F218" s="81">
        <v>3</v>
      </c>
      <c r="G218" s="81">
        <v>2</v>
      </c>
      <c r="H218" s="81">
        <v>3</v>
      </c>
      <c r="I218" s="81" t="s">
        <v>1035</v>
      </c>
      <c r="J218" s="79"/>
      <c r="K218" s="79"/>
      <c r="L218" s="79"/>
      <c r="M218" s="79"/>
      <c r="N218" s="79"/>
    </row>
    <row r="219" ht="26" spans="1:14">
      <c r="A219" s="81" t="s">
        <v>583</v>
      </c>
      <c r="B219" s="81">
        <v>3</v>
      </c>
      <c r="C219" s="81">
        <v>3</v>
      </c>
      <c r="D219" s="81">
        <v>2</v>
      </c>
      <c r="E219" s="81">
        <v>2</v>
      </c>
      <c r="F219" s="81">
        <v>3</v>
      </c>
      <c r="G219" s="81">
        <v>2</v>
      </c>
      <c r="H219" s="81">
        <v>3</v>
      </c>
      <c r="I219" s="81" t="s">
        <v>1035</v>
      </c>
      <c r="J219" s="79"/>
      <c r="K219" s="79"/>
      <c r="L219" s="79"/>
      <c r="M219" s="79"/>
      <c r="N219" s="79"/>
    </row>
    <row r="220" ht="26" spans="1:14">
      <c r="A220" s="81" t="s">
        <v>584</v>
      </c>
      <c r="B220" s="81">
        <v>3</v>
      </c>
      <c r="C220" s="81">
        <v>3</v>
      </c>
      <c r="D220" s="81">
        <v>2</v>
      </c>
      <c r="E220" s="81">
        <v>2</v>
      </c>
      <c r="F220" s="81">
        <v>3</v>
      </c>
      <c r="G220" s="81">
        <v>2</v>
      </c>
      <c r="H220" s="81">
        <v>3</v>
      </c>
      <c r="I220" s="81" t="s">
        <v>1035</v>
      </c>
      <c r="J220" s="79"/>
      <c r="K220" s="79"/>
      <c r="L220" s="79"/>
      <c r="M220" s="79"/>
      <c r="N220" s="79"/>
    </row>
    <row r="221" ht="26" spans="1:14">
      <c r="A221" s="81" t="s">
        <v>585</v>
      </c>
      <c r="B221" s="81">
        <v>3</v>
      </c>
      <c r="C221" s="81">
        <v>3</v>
      </c>
      <c r="D221" s="81">
        <v>2</v>
      </c>
      <c r="E221" s="81">
        <v>2</v>
      </c>
      <c r="F221" s="81">
        <v>3</v>
      </c>
      <c r="G221" s="81">
        <v>2</v>
      </c>
      <c r="H221" s="81">
        <v>3</v>
      </c>
      <c r="I221" s="81" t="s">
        <v>1035</v>
      </c>
      <c r="J221" s="79"/>
      <c r="K221" s="79"/>
      <c r="L221" s="79"/>
      <c r="M221" s="79"/>
      <c r="N221" s="79"/>
    </row>
    <row r="222" ht="26" spans="1:14">
      <c r="A222" s="81" t="s">
        <v>586</v>
      </c>
      <c r="B222" s="81">
        <v>3</v>
      </c>
      <c r="C222" s="81">
        <v>3</v>
      </c>
      <c r="D222" s="81">
        <v>2</v>
      </c>
      <c r="E222" s="81">
        <v>2</v>
      </c>
      <c r="F222" s="81">
        <v>3</v>
      </c>
      <c r="G222" s="81">
        <v>2</v>
      </c>
      <c r="H222" s="81">
        <v>3</v>
      </c>
      <c r="I222" s="81" t="s">
        <v>1035</v>
      </c>
      <c r="J222" s="79"/>
      <c r="K222" s="79"/>
      <c r="L222" s="79"/>
      <c r="M222" s="79"/>
      <c r="N222" s="79"/>
    </row>
    <row r="223" ht="26" spans="1:14">
      <c r="A223" s="81" t="s">
        <v>587</v>
      </c>
      <c r="B223" s="81">
        <v>3</v>
      </c>
      <c r="C223" s="81">
        <v>3</v>
      </c>
      <c r="D223" s="81">
        <v>2</v>
      </c>
      <c r="E223" s="81">
        <v>2</v>
      </c>
      <c r="F223" s="81">
        <v>3</v>
      </c>
      <c r="G223" s="81">
        <v>2</v>
      </c>
      <c r="H223" s="81">
        <v>3</v>
      </c>
      <c r="I223" s="81" t="s">
        <v>1035</v>
      </c>
      <c r="J223" s="79"/>
      <c r="K223" s="79"/>
      <c r="L223" s="79"/>
      <c r="M223" s="79"/>
      <c r="N223" s="79"/>
    </row>
    <row r="224" ht="26" spans="1:14">
      <c r="A224" s="81" t="s">
        <v>588</v>
      </c>
      <c r="B224" s="81">
        <v>3</v>
      </c>
      <c r="C224" s="81">
        <v>3</v>
      </c>
      <c r="D224" s="81">
        <v>2</v>
      </c>
      <c r="E224" s="81">
        <v>2</v>
      </c>
      <c r="F224" s="81">
        <v>3</v>
      </c>
      <c r="G224" s="81">
        <v>2</v>
      </c>
      <c r="H224" s="81">
        <v>3</v>
      </c>
      <c r="I224" s="81" t="s">
        <v>1035</v>
      </c>
      <c r="J224" s="79"/>
      <c r="K224" s="79"/>
      <c r="L224" s="79"/>
      <c r="M224" s="79"/>
      <c r="N224" s="79"/>
    </row>
    <row r="225" ht="26" spans="1:14">
      <c r="A225" s="81" t="s">
        <v>589</v>
      </c>
      <c r="B225" s="81">
        <v>3</v>
      </c>
      <c r="C225" s="81">
        <v>3</v>
      </c>
      <c r="D225" s="81">
        <v>2</v>
      </c>
      <c r="E225" s="81">
        <v>2</v>
      </c>
      <c r="F225" s="81">
        <v>3</v>
      </c>
      <c r="G225" s="81">
        <v>2</v>
      </c>
      <c r="H225" s="81">
        <v>3</v>
      </c>
      <c r="I225" s="81" t="s">
        <v>1035</v>
      </c>
      <c r="J225" s="79"/>
      <c r="K225" s="79"/>
      <c r="L225" s="79"/>
      <c r="M225" s="79"/>
      <c r="N225" s="79"/>
    </row>
    <row r="226" ht="26" spans="1:14">
      <c r="A226" s="81" t="s">
        <v>590</v>
      </c>
      <c r="B226" s="81">
        <v>3</v>
      </c>
      <c r="C226" s="81">
        <v>3</v>
      </c>
      <c r="D226" s="81">
        <v>2</v>
      </c>
      <c r="E226" s="81">
        <v>2</v>
      </c>
      <c r="F226" s="81">
        <v>3</v>
      </c>
      <c r="G226" s="81">
        <v>2</v>
      </c>
      <c r="H226" s="81">
        <v>3</v>
      </c>
      <c r="I226" s="81" t="s">
        <v>1035</v>
      </c>
      <c r="J226" s="79"/>
      <c r="K226" s="79"/>
      <c r="L226" s="79"/>
      <c r="M226" s="79"/>
      <c r="N226" s="79"/>
    </row>
    <row r="227" ht="26" spans="1:14">
      <c r="A227" s="81" t="s">
        <v>591</v>
      </c>
      <c r="B227" s="81">
        <v>3</v>
      </c>
      <c r="C227" s="81">
        <v>3</v>
      </c>
      <c r="D227" s="81">
        <v>2</v>
      </c>
      <c r="E227" s="81">
        <v>2</v>
      </c>
      <c r="F227" s="81">
        <v>3</v>
      </c>
      <c r="G227" s="81">
        <v>2</v>
      </c>
      <c r="H227" s="81">
        <v>3</v>
      </c>
      <c r="I227" s="81" t="s">
        <v>1035</v>
      </c>
      <c r="J227" s="79"/>
      <c r="K227" s="79"/>
      <c r="L227" s="79"/>
      <c r="M227" s="79"/>
      <c r="N227" s="79"/>
    </row>
    <row r="228" ht="26" spans="1:14">
      <c r="A228" s="81" t="s">
        <v>592</v>
      </c>
      <c r="B228" s="81">
        <v>3</v>
      </c>
      <c r="C228" s="81">
        <v>3</v>
      </c>
      <c r="D228" s="81">
        <v>2</v>
      </c>
      <c r="E228" s="81">
        <v>2</v>
      </c>
      <c r="F228" s="81">
        <v>3</v>
      </c>
      <c r="G228" s="81">
        <v>2</v>
      </c>
      <c r="H228" s="81">
        <v>3</v>
      </c>
      <c r="I228" s="81" t="s">
        <v>1035</v>
      </c>
      <c r="J228" s="79"/>
      <c r="K228" s="79"/>
      <c r="L228" s="79"/>
      <c r="M228" s="79"/>
      <c r="N228" s="79"/>
    </row>
    <row r="229" ht="26" spans="1:14">
      <c r="A229" s="81" t="s">
        <v>593</v>
      </c>
      <c r="B229" s="81">
        <v>3</v>
      </c>
      <c r="C229" s="81">
        <v>3</v>
      </c>
      <c r="D229" s="81">
        <v>2</v>
      </c>
      <c r="E229" s="81">
        <v>2</v>
      </c>
      <c r="F229" s="81">
        <v>3</v>
      </c>
      <c r="G229" s="81">
        <v>2</v>
      </c>
      <c r="H229" s="81">
        <v>3</v>
      </c>
      <c r="I229" s="81" t="s">
        <v>1035</v>
      </c>
      <c r="J229" s="79"/>
      <c r="K229" s="79"/>
      <c r="L229" s="79"/>
      <c r="M229" s="79"/>
      <c r="N229" s="79"/>
    </row>
    <row r="230" ht="26" spans="1:14">
      <c r="A230" s="81" t="s">
        <v>594</v>
      </c>
      <c r="B230" s="81">
        <v>3</v>
      </c>
      <c r="C230" s="81">
        <v>3</v>
      </c>
      <c r="D230" s="81">
        <v>2</v>
      </c>
      <c r="E230" s="81">
        <v>2</v>
      </c>
      <c r="F230" s="81">
        <v>3</v>
      </c>
      <c r="G230" s="81">
        <v>2</v>
      </c>
      <c r="H230" s="81">
        <v>3</v>
      </c>
      <c r="I230" s="81" t="s">
        <v>1035</v>
      </c>
      <c r="J230" s="79"/>
      <c r="K230" s="79"/>
      <c r="L230" s="79"/>
      <c r="M230" s="79"/>
      <c r="N230" s="79"/>
    </row>
    <row r="231" ht="26" spans="1:14">
      <c r="A231" s="81" t="s">
        <v>595</v>
      </c>
      <c r="B231" s="81">
        <v>3</v>
      </c>
      <c r="C231" s="81">
        <v>3</v>
      </c>
      <c r="D231" s="81">
        <v>2</v>
      </c>
      <c r="E231" s="81">
        <v>2</v>
      </c>
      <c r="F231" s="81">
        <v>3</v>
      </c>
      <c r="G231" s="81">
        <v>2</v>
      </c>
      <c r="H231" s="81">
        <v>3</v>
      </c>
      <c r="I231" s="81" t="s">
        <v>1035</v>
      </c>
      <c r="J231" s="79"/>
      <c r="K231" s="79"/>
      <c r="L231" s="79"/>
      <c r="M231" s="79"/>
      <c r="N231" s="79"/>
    </row>
    <row r="232" ht="26" spans="1:14">
      <c r="A232" s="81" t="s">
        <v>596</v>
      </c>
      <c r="B232" s="81">
        <v>3</v>
      </c>
      <c r="C232" s="81">
        <v>3</v>
      </c>
      <c r="D232" s="81">
        <v>2</v>
      </c>
      <c r="E232" s="81">
        <v>2</v>
      </c>
      <c r="F232" s="81">
        <v>3</v>
      </c>
      <c r="G232" s="81">
        <v>2</v>
      </c>
      <c r="H232" s="81">
        <v>3</v>
      </c>
      <c r="I232" s="81" t="s">
        <v>1035</v>
      </c>
      <c r="J232" s="79"/>
      <c r="K232" s="79"/>
      <c r="L232" s="79"/>
      <c r="M232" s="79"/>
      <c r="N232" s="79"/>
    </row>
    <row r="233" ht="26" spans="1:14">
      <c r="A233" s="81" t="s">
        <v>597</v>
      </c>
      <c r="B233" s="81">
        <v>3</v>
      </c>
      <c r="C233" s="81">
        <v>3</v>
      </c>
      <c r="D233" s="81">
        <v>2</v>
      </c>
      <c r="E233" s="81">
        <v>2</v>
      </c>
      <c r="F233" s="81">
        <v>3</v>
      </c>
      <c r="G233" s="81">
        <v>2</v>
      </c>
      <c r="H233" s="81">
        <v>3</v>
      </c>
      <c r="I233" s="81" t="s">
        <v>1035</v>
      </c>
      <c r="J233" s="79"/>
      <c r="K233" s="79"/>
      <c r="L233" s="79"/>
      <c r="M233" s="79"/>
      <c r="N233" s="79"/>
    </row>
    <row r="234" ht="26" spans="1:14">
      <c r="A234" s="81" t="s">
        <v>598</v>
      </c>
      <c r="B234" s="81">
        <v>3</v>
      </c>
      <c r="C234" s="81">
        <v>3</v>
      </c>
      <c r="D234" s="81">
        <v>2</v>
      </c>
      <c r="E234" s="81">
        <v>2</v>
      </c>
      <c r="F234" s="81">
        <v>3</v>
      </c>
      <c r="G234" s="81">
        <v>2</v>
      </c>
      <c r="H234" s="81">
        <v>3</v>
      </c>
      <c r="I234" s="81" t="s">
        <v>1035</v>
      </c>
      <c r="J234" s="79"/>
      <c r="K234" s="79"/>
      <c r="L234" s="79"/>
      <c r="M234" s="79"/>
      <c r="N234" s="79"/>
    </row>
    <row r="235" ht="26" spans="1:14">
      <c r="A235" s="81" t="s">
        <v>599</v>
      </c>
      <c r="B235" s="81">
        <v>3</v>
      </c>
      <c r="C235" s="81">
        <v>3</v>
      </c>
      <c r="D235" s="81">
        <v>2</v>
      </c>
      <c r="E235" s="81">
        <v>2</v>
      </c>
      <c r="F235" s="81">
        <v>3</v>
      </c>
      <c r="G235" s="81">
        <v>2</v>
      </c>
      <c r="H235" s="81">
        <v>3</v>
      </c>
      <c r="I235" s="81" t="s">
        <v>1035</v>
      </c>
      <c r="J235" s="79"/>
      <c r="K235" s="79"/>
      <c r="L235" s="79"/>
      <c r="M235" s="79"/>
      <c r="N235" s="79"/>
    </row>
    <row r="236" ht="26" spans="1:14">
      <c r="A236" s="81" t="s">
        <v>600</v>
      </c>
      <c r="B236" s="81">
        <v>3</v>
      </c>
      <c r="C236" s="81">
        <v>3</v>
      </c>
      <c r="D236" s="81">
        <v>2</v>
      </c>
      <c r="E236" s="81">
        <v>2</v>
      </c>
      <c r="F236" s="81">
        <v>3</v>
      </c>
      <c r="G236" s="81">
        <v>2</v>
      </c>
      <c r="H236" s="81">
        <v>3</v>
      </c>
      <c r="I236" s="81" t="s">
        <v>1035</v>
      </c>
      <c r="J236" s="79"/>
      <c r="K236" s="79"/>
      <c r="L236" s="79"/>
      <c r="M236" s="79"/>
      <c r="N236" s="79"/>
    </row>
    <row r="237" ht="26" spans="1:14">
      <c r="A237" s="81" t="s">
        <v>601</v>
      </c>
      <c r="B237" s="81">
        <v>3</v>
      </c>
      <c r="C237" s="81">
        <v>3</v>
      </c>
      <c r="D237" s="81">
        <v>2</v>
      </c>
      <c r="E237" s="81">
        <v>2</v>
      </c>
      <c r="F237" s="81">
        <v>3</v>
      </c>
      <c r="G237" s="81">
        <v>2</v>
      </c>
      <c r="H237" s="81">
        <v>3</v>
      </c>
      <c r="I237" s="81" t="s">
        <v>1035</v>
      </c>
      <c r="J237" s="79"/>
      <c r="K237" s="79"/>
      <c r="L237" s="79"/>
      <c r="M237" s="79"/>
      <c r="N237" s="79"/>
    </row>
    <row r="238" ht="26" spans="1:14">
      <c r="A238" s="81" t="s">
        <v>602</v>
      </c>
      <c r="B238" s="81">
        <v>3</v>
      </c>
      <c r="C238" s="81">
        <v>3</v>
      </c>
      <c r="D238" s="81">
        <v>2</v>
      </c>
      <c r="E238" s="81">
        <v>2</v>
      </c>
      <c r="F238" s="81">
        <v>3</v>
      </c>
      <c r="G238" s="81">
        <v>2</v>
      </c>
      <c r="H238" s="81">
        <v>3</v>
      </c>
      <c r="I238" s="81" t="s">
        <v>1035</v>
      </c>
      <c r="J238" s="79"/>
      <c r="K238" s="79"/>
      <c r="L238" s="79"/>
      <c r="M238" s="79"/>
      <c r="N238" s="79"/>
    </row>
    <row r="239" ht="26" spans="1:14">
      <c r="A239" s="81" t="s">
        <v>604</v>
      </c>
      <c r="B239" s="81">
        <v>2</v>
      </c>
      <c r="C239" s="81">
        <v>2</v>
      </c>
      <c r="D239" s="81">
        <v>2</v>
      </c>
      <c r="E239" s="81">
        <v>2</v>
      </c>
      <c r="F239" s="81">
        <v>3</v>
      </c>
      <c r="G239" s="81">
        <v>2</v>
      </c>
      <c r="H239" s="81">
        <v>3</v>
      </c>
      <c r="I239" s="81" t="s">
        <v>1035</v>
      </c>
      <c r="J239" s="79"/>
      <c r="K239" s="79"/>
      <c r="L239" s="79"/>
      <c r="M239" s="79"/>
      <c r="N239" s="79"/>
    </row>
    <row r="240" ht="26" spans="1:14">
      <c r="A240" s="81" t="s">
        <v>607</v>
      </c>
      <c r="B240" s="81">
        <v>2</v>
      </c>
      <c r="C240" s="81">
        <v>2</v>
      </c>
      <c r="D240" s="81">
        <v>2</v>
      </c>
      <c r="E240" s="81">
        <v>2</v>
      </c>
      <c r="F240" s="81">
        <v>3</v>
      </c>
      <c r="G240" s="81">
        <v>2</v>
      </c>
      <c r="H240" s="81">
        <v>3</v>
      </c>
      <c r="I240" s="81" t="s">
        <v>1035</v>
      </c>
      <c r="J240" s="79"/>
      <c r="K240" s="79"/>
      <c r="L240" s="79"/>
      <c r="M240" s="79"/>
      <c r="N240" s="79"/>
    </row>
    <row r="241" ht="26" spans="1:14">
      <c r="A241" s="81" t="s">
        <v>608</v>
      </c>
      <c r="B241" s="81">
        <v>2</v>
      </c>
      <c r="C241" s="81">
        <v>2</v>
      </c>
      <c r="D241" s="81">
        <v>2</v>
      </c>
      <c r="E241" s="81">
        <v>2</v>
      </c>
      <c r="F241" s="81">
        <v>3</v>
      </c>
      <c r="G241" s="81">
        <v>2</v>
      </c>
      <c r="H241" s="81">
        <v>3</v>
      </c>
      <c r="I241" s="81" t="s">
        <v>1035</v>
      </c>
      <c r="J241" s="79"/>
      <c r="K241" s="79"/>
      <c r="L241" s="79"/>
      <c r="M241" s="79"/>
      <c r="N241" s="79"/>
    </row>
    <row r="242" ht="26" spans="1:14">
      <c r="A242" s="81" t="s">
        <v>609</v>
      </c>
      <c r="B242" s="81">
        <v>2</v>
      </c>
      <c r="C242" s="81">
        <v>2</v>
      </c>
      <c r="D242" s="81">
        <v>2</v>
      </c>
      <c r="E242" s="81">
        <v>2</v>
      </c>
      <c r="F242" s="81">
        <v>3</v>
      </c>
      <c r="G242" s="81">
        <v>2</v>
      </c>
      <c r="H242" s="81">
        <v>3</v>
      </c>
      <c r="I242" s="81" t="s">
        <v>1035</v>
      </c>
      <c r="J242" s="79"/>
      <c r="K242" s="79"/>
      <c r="L242" s="79"/>
      <c r="M242" s="79"/>
      <c r="N242" s="79"/>
    </row>
    <row r="243" ht="26" spans="1:14">
      <c r="A243" s="81" t="s">
        <v>610</v>
      </c>
      <c r="B243" s="81">
        <v>2</v>
      </c>
      <c r="C243" s="81">
        <v>2</v>
      </c>
      <c r="D243" s="81">
        <v>2</v>
      </c>
      <c r="E243" s="81">
        <v>2</v>
      </c>
      <c r="F243" s="81">
        <v>3</v>
      </c>
      <c r="G243" s="81">
        <v>2</v>
      </c>
      <c r="H243" s="81">
        <v>3</v>
      </c>
      <c r="I243" s="81" t="s">
        <v>1035</v>
      </c>
      <c r="J243" s="79"/>
      <c r="K243" s="79"/>
      <c r="L243" s="79"/>
      <c r="M243" s="79"/>
      <c r="N243" s="79"/>
    </row>
    <row r="244" ht="26" spans="1:14">
      <c r="A244" s="81" t="s">
        <v>611</v>
      </c>
      <c r="B244" s="81">
        <v>2</v>
      </c>
      <c r="C244" s="81">
        <v>2</v>
      </c>
      <c r="D244" s="81">
        <v>2</v>
      </c>
      <c r="E244" s="81">
        <v>2</v>
      </c>
      <c r="F244" s="81">
        <v>3</v>
      </c>
      <c r="G244" s="81">
        <v>2</v>
      </c>
      <c r="H244" s="81">
        <v>3</v>
      </c>
      <c r="I244" s="81" t="s">
        <v>1035</v>
      </c>
      <c r="J244" s="79"/>
      <c r="K244" s="79"/>
      <c r="L244" s="79"/>
      <c r="M244" s="79"/>
      <c r="N244" s="79"/>
    </row>
    <row r="245" ht="26" spans="1:14">
      <c r="A245" s="81" t="s">
        <v>612</v>
      </c>
      <c r="B245" s="81">
        <v>2</v>
      </c>
      <c r="C245" s="81">
        <v>2</v>
      </c>
      <c r="D245" s="81">
        <v>2</v>
      </c>
      <c r="E245" s="81">
        <v>2</v>
      </c>
      <c r="F245" s="81">
        <v>3</v>
      </c>
      <c r="G245" s="81">
        <v>2</v>
      </c>
      <c r="H245" s="81">
        <v>3</v>
      </c>
      <c r="I245" s="81" t="s">
        <v>1035</v>
      </c>
      <c r="J245" s="79"/>
      <c r="K245" s="79"/>
      <c r="L245" s="79"/>
      <c r="M245" s="79"/>
      <c r="N245" s="79"/>
    </row>
    <row r="246" ht="26" spans="1:14">
      <c r="A246" s="81" t="s">
        <v>613</v>
      </c>
      <c r="B246" s="81">
        <v>2</v>
      </c>
      <c r="C246" s="81">
        <v>2</v>
      </c>
      <c r="D246" s="81">
        <v>2</v>
      </c>
      <c r="E246" s="81">
        <v>2</v>
      </c>
      <c r="F246" s="81">
        <v>3</v>
      </c>
      <c r="G246" s="81">
        <v>2</v>
      </c>
      <c r="H246" s="81">
        <v>3</v>
      </c>
      <c r="I246" s="81" t="s">
        <v>1035</v>
      </c>
      <c r="J246" s="79"/>
      <c r="K246" s="79"/>
      <c r="L246" s="79"/>
      <c r="M246" s="79"/>
      <c r="N246" s="79"/>
    </row>
    <row r="247" ht="26" spans="1:14">
      <c r="A247" s="81" t="s">
        <v>614</v>
      </c>
      <c r="B247" s="81">
        <v>3</v>
      </c>
      <c r="C247" s="81">
        <v>3</v>
      </c>
      <c r="D247" s="81">
        <v>2</v>
      </c>
      <c r="E247" s="81">
        <v>2</v>
      </c>
      <c r="F247" s="81">
        <v>3</v>
      </c>
      <c r="G247" s="81">
        <v>2</v>
      </c>
      <c r="H247" s="81">
        <v>3</v>
      </c>
      <c r="I247" s="81" t="s">
        <v>1035</v>
      </c>
      <c r="J247" s="79"/>
      <c r="K247" s="79"/>
      <c r="L247" s="79"/>
      <c r="M247" s="79"/>
      <c r="N247" s="79"/>
    </row>
    <row r="248" ht="26" spans="1:14">
      <c r="A248" s="81" t="s">
        <v>615</v>
      </c>
      <c r="B248" s="81">
        <v>2</v>
      </c>
      <c r="C248" s="81">
        <v>2</v>
      </c>
      <c r="D248" s="81">
        <v>2</v>
      </c>
      <c r="E248" s="81">
        <v>2</v>
      </c>
      <c r="F248" s="81">
        <v>3</v>
      </c>
      <c r="G248" s="81">
        <v>2</v>
      </c>
      <c r="H248" s="81">
        <v>3</v>
      </c>
      <c r="I248" s="81" t="s">
        <v>1035</v>
      </c>
      <c r="J248" s="79"/>
      <c r="K248" s="79"/>
      <c r="L248" s="79"/>
      <c r="M248" s="79"/>
      <c r="N248" s="79"/>
    </row>
    <row r="249" ht="26" spans="1:14">
      <c r="A249" s="81" t="s">
        <v>617</v>
      </c>
      <c r="B249" s="81">
        <v>2</v>
      </c>
      <c r="C249" s="81">
        <v>2</v>
      </c>
      <c r="D249" s="81">
        <v>2</v>
      </c>
      <c r="E249" s="81">
        <v>2</v>
      </c>
      <c r="F249" s="81">
        <v>3</v>
      </c>
      <c r="G249" s="81">
        <v>2</v>
      </c>
      <c r="H249" s="81">
        <v>3</v>
      </c>
      <c r="I249" s="81" t="s">
        <v>1035</v>
      </c>
      <c r="J249" s="79"/>
      <c r="K249" s="79"/>
      <c r="L249" s="79"/>
      <c r="M249" s="79"/>
      <c r="N249" s="79"/>
    </row>
    <row r="250" ht="26" spans="1:14">
      <c r="A250" s="81" t="s">
        <v>618</v>
      </c>
      <c r="B250" s="81">
        <v>2</v>
      </c>
      <c r="C250" s="81">
        <v>2</v>
      </c>
      <c r="D250" s="81">
        <v>2</v>
      </c>
      <c r="E250" s="81">
        <v>2</v>
      </c>
      <c r="F250" s="81">
        <v>3</v>
      </c>
      <c r="G250" s="81">
        <v>2</v>
      </c>
      <c r="H250" s="81">
        <v>3</v>
      </c>
      <c r="I250" s="81" t="s">
        <v>1035</v>
      </c>
      <c r="J250" s="79"/>
      <c r="K250" s="79"/>
      <c r="L250" s="79"/>
      <c r="M250" s="79"/>
      <c r="N250" s="79"/>
    </row>
    <row r="251" ht="26" spans="1:14">
      <c r="A251" s="81" t="s">
        <v>619</v>
      </c>
      <c r="B251" s="81">
        <v>2</v>
      </c>
      <c r="C251" s="81">
        <v>2</v>
      </c>
      <c r="D251" s="81">
        <v>2</v>
      </c>
      <c r="E251" s="81">
        <v>2</v>
      </c>
      <c r="F251" s="81">
        <v>3</v>
      </c>
      <c r="G251" s="81">
        <v>2</v>
      </c>
      <c r="H251" s="81">
        <v>3</v>
      </c>
      <c r="I251" s="81" t="s">
        <v>1035</v>
      </c>
      <c r="J251" s="79"/>
      <c r="K251" s="79"/>
      <c r="L251" s="79"/>
      <c r="M251" s="79"/>
      <c r="N251" s="79"/>
    </row>
    <row r="252" ht="26" spans="1:14">
      <c r="A252" s="81" t="s">
        <v>620</v>
      </c>
      <c r="B252" s="81">
        <v>2</v>
      </c>
      <c r="C252" s="81">
        <v>2</v>
      </c>
      <c r="D252" s="81">
        <v>2</v>
      </c>
      <c r="E252" s="81">
        <v>2</v>
      </c>
      <c r="F252" s="81">
        <v>3</v>
      </c>
      <c r="G252" s="81">
        <v>2</v>
      </c>
      <c r="H252" s="81">
        <v>3</v>
      </c>
      <c r="I252" s="81" t="s">
        <v>1035</v>
      </c>
      <c r="J252" s="79"/>
      <c r="K252" s="79"/>
      <c r="L252" s="79"/>
      <c r="M252" s="79"/>
      <c r="N252" s="79"/>
    </row>
    <row r="253" ht="26" spans="1:14">
      <c r="A253" s="81" t="s">
        <v>621</v>
      </c>
      <c r="B253" s="81">
        <v>2</v>
      </c>
      <c r="C253" s="81">
        <v>2</v>
      </c>
      <c r="D253" s="81">
        <v>2</v>
      </c>
      <c r="E253" s="81">
        <v>2</v>
      </c>
      <c r="F253" s="81">
        <v>3</v>
      </c>
      <c r="G253" s="81">
        <v>2</v>
      </c>
      <c r="H253" s="81">
        <v>3</v>
      </c>
      <c r="I253" s="81" t="s">
        <v>1035</v>
      </c>
      <c r="J253" s="79"/>
      <c r="K253" s="79"/>
      <c r="L253" s="79"/>
      <c r="M253" s="79"/>
      <c r="N253" s="79"/>
    </row>
    <row r="254" ht="26" spans="1:14">
      <c r="A254" s="81" t="s">
        <v>622</v>
      </c>
      <c r="B254" s="81">
        <v>2</v>
      </c>
      <c r="C254" s="81">
        <v>2</v>
      </c>
      <c r="D254" s="81">
        <v>2</v>
      </c>
      <c r="E254" s="81">
        <v>2</v>
      </c>
      <c r="F254" s="81">
        <v>3</v>
      </c>
      <c r="G254" s="81">
        <v>2</v>
      </c>
      <c r="H254" s="81">
        <v>3</v>
      </c>
      <c r="I254" s="81" t="s">
        <v>1035</v>
      </c>
      <c r="J254" s="79"/>
      <c r="K254" s="79"/>
      <c r="L254" s="79"/>
      <c r="M254" s="79"/>
      <c r="N254" s="79"/>
    </row>
    <row r="255" ht="26" spans="1:14">
      <c r="A255" s="81" t="s">
        <v>623</v>
      </c>
      <c r="B255" s="81">
        <v>2</v>
      </c>
      <c r="C255" s="81">
        <v>2</v>
      </c>
      <c r="D255" s="81">
        <v>2</v>
      </c>
      <c r="E255" s="81">
        <v>2</v>
      </c>
      <c r="F255" s="81">
        <v>3</v>
      </c>
      <c r="G255" s="81">
        <v>2</v>
      </c>
      <c r="H255" s="81">
        <v>3</v>
      </c>
      <c r="I255" s="81" t="s">
        <v>1035</v>
      </c>
      <c r="J255" s="79"/>
      <c r="K255" s="79"/>
      <c r="L255" s="79"/>
      <c r="M255" s="79"/>
      <c r="N255" s="79"/>
    </row>
    <row r="256" ht="26" spans="1:14">
      <c r="A256" s="81" t="s">
        <v>624</v>
      </c>
      <c r="B256" s="81">
        <v>2</v>
      </c>
      <c r="C256" s="81">
        <v>2</v>
      </c>
      <c r="D256" s="81">
        <v>2</v>
      </c>
      <c r="E256" s="81">
        <v>2</v>
      </c>
      <c r="F256" s="81">
        <v>3</v>
      </c>
      <c r="G256" s="81">
        <v>2</v>
      </c>
      <c r="H256" s="81">
        <v>3</v>
      </c>
      <c r="I256" s="81" t="s">
        <v>1035</v>
      </c>
      <c r="J256" s="79"/>
      <c r="K256" s="79"/>
      <c r="L256" s="79"/>
      <c r="M256" s="79"/>
      <c r="N256" s="79"/>
    </row>
    <row r="257" ht="26" spans="1:14">
      <c r="A257" s="81" t="s">
        <v>625</v>
      </c>
      <c r="B257" s="81">
        <v>2</v>
      </c>
      <c r="C257" s="81">
        <v>2</v>
      </c>
      <c r="D257" s="81">
        <v>2</v>
      </c>
      <c r="E257" s="81">
        <v>2</v>
      </c>
      <c r="F257" s="81">
        <v>3</v>
      </c>
      <c r="G257" s="81">
        <v>2</v>
      </c>
      <c r="H257" s="81">
        <v>3</v>
      </c>
      <c r="I257" s="81" t="s">
        <v>1035</v>
      </c>
      <c r="J257" s="79"/>
      <c r="K257" s="79"/>
      <c r="L257" s="79"/>
      <c r="M257" s="79"/>
      <c r="N257" s="79"/>
    </row>
    <row r="258" ht="26" spans="1:14">
      <c r="A258" s="81" t="s">
        <v>626</v>
      </c>
      <c r="B258" s="81">
        <v>2</v>
      </c>
      <c r="C258" s="81">
        <v>2</v>
      </c>
      <c r="D258" s="81">
        <v>2</v>
      </c>
      <c r="E258" s="81">
        <v>2</v>
      </c>
      <c r="F258" s="81">
        <v>3</v>
      </c>
      <c r="G258" s="81">
        <v>2</v>
      </c>
      <c r="H258" s="81">
        <v>3</v>
      </c>
      <c r="I258" s="81" t="s">
        <v>1035</v>
      </c>
      <c r="J258" s="79"/>
      <c r="K258" s="79"/>
      <c r="L258" s="79"/>
      <c r="M258" s="79"/>
      <c r="N258" s="79"/>
    </row>
    <row r="259" ht="26" spans="1:14">
      <c r="A259" s="81" t="s">
        <v>627</v>
      </c>
      <c r="B259" s="81">
        <v>2</v>
      </c>
      <c r="C259" s="81">
        <v>2</v>
      </c>
      <c r="D259" s="81">
        <v>2</v>
      </c>
      <c r="E259" s="81">
        <v>2</v>
      </c>
      <c r="F259" s="81">
        <v>3</v>
      </c>
      <c r="G259" s="81">
        <v>2</v>
      </c>
      <c r="H259" s="81">
        <v>3</v>
      </c>
      <c r="I259" s="81" t="s">
        <v>1035</v>
      </c>
      <c r="J259" s="79"/>
      <c r="K259" s="79"/>
      <c r="L259" s="79"/>
      <c r="M259" s="79"/>
      <c r="N259" s="79"/>
    </row>
    <row r="260" ht="26" spans="1:14">
      <c r="A260" s="81" t="s">
        <v>628</v>
      </c>
      <c r="B260" s="81">
        <v>2</v>
      </c>
      <c r="C260" s="81">
        <v>2</v>
      </c>
      <c r="D260" s="81">
        <v>2</v>
      </c>
      <c r="E260" s="81">
        <v>2</v>
      </c>
      <c r="F260" s="81">
        <v>2</v>
      </c>
      <c r="G260" s="81">
        <v>2</v>
      </c>
      <c r="H260" s="81">
        <v>2</v>
      </c>
      <c r="I260" s="81" t="s">
        <v>1035</v>
      </c>
      <c r="J260" s="79"/>
      <c r="K260" s="79"/>
      <c r="L260" s="79"/>
      <c r="M260" s="79"/>
      <c r="N260" s="79"/>
    </row>
    <row r="261" ht="26" spans="1:14">
      <c r="A261" s="81" t="s">
        <v>635</v>
      </c>
      <c r="B261" s="81">
        <v>2</v>
      </c>
      <c r="C261" s="81">
        <v>2</v>
      </c>
      <c r="D261" s="81">
        <v>2</v>
      </c>
      <c r="E261" s="81">
        <v>2</v>
      </c>
      <c r="F261" s="81">
        <v>2</v>
      </c>
      <c r="G261" s="81">
        <v>2</v>
      </c>
      <c r="H261" s="81">
        <v>2</v>
      </c>
      <c r="I261" s="81" t="s">
        <v>1035</v>
      </c>
      <c r="J261" s="79"/>
      <c r="K261" s="79"/>
      <c r="L261" s="79"/>
      <c r="M261" s="79"/>
      <c r="N261" s="79"/>
    </row>
    <row r="262" ht="26" spans="1:14">
      <c r="A262" s="81" t="s">
        <v>636</v>
      </c>
      <c r="B262" s="81">
        <v>2</v>
      </c>
      <c r="C262" s="81">
        <v>2</v>
      </c>
      <c r="D262" s="81">
        <v>2</v>
      </c>
      <c r="E262" s="81">
        <v>2</v>
      </c>
      <c r="F262" s="81">
        <v>2</v>
      </c>
      <c r="G262" s="81">
        <v>2</v>
      </c>
      <c r="H262" s="81">
        <v>2</v>
      </c>
      <c r="I262" s="81" t="s">
        <v>1035</v>
      </c>
      <c r="J262" s="79"/>
      <c r="K262" s="79"/>
      <c r="L262" s="79"/>
      <c r="M262" s="79"/>
      <c r="N262" s="79"/>
    </row>
    <row r="263" ht="26" spans="1:14">
      <c r="A263" s="81" t="s">
        <v>637</v>
      </c>
      <c r="B263" s="81">
        <v>2</v>
      </c>
      <c r="C263" s="81">
        <v>2</v>
      </c>
      <c r="D263" s="81">
        <v>2</v>
      </c>
      <c r="E263" s="81">
        <v>2</v>
      </c>
      <c r="F263" s="81">
        <v>2</v>
      </c>
      <c r="G263" s="81">
        <v>2</v>
      </c>
      <c r="H263" s="81">
        <v>2</v>
      </c>
      <c r="I263" s="81" t="s">
        <v>1035</v>
      </c>
      <c r="J263" s="79"/>
      <c r="K263" s="79"/>
      <c r="L263" s="79"/>
      <c r="M263" s="79"/>
      <c r="N263" s="79"/>
    </row>
    <row r="264" ht="26" spans="1:14">
      <c r="A264" s="81" t="s">
        <v>638</v>
      </c>
      <c r="B264" s="81">
        <v>2</v>
      </c>
      <c r="C264" s="81">
        <v>2</v>
      </c>
      <c r="D264" s="81">
        <v>2</v>
      </c>
      <c r="E264" s="81">
        <v>2</v>
      </c>
      <c r="F264" s="81">
        <v>2</v>
      </c>
      <c r="G264" s="81">
        <v>2</v>
      </c>
      <c r="H264" s="81">
        <v>2</v>
      </c>
      <c r="I264" s="81" t="s">
        <v>1035</v>
      </c>
      <c r="J264" s="79"/>
      <c r="K264" s="79"/>
      <c r="L264" s="79"/>
      <c r="M264" s="79"/>
      <c r="N264" s="79"/>
    </row>
    <row r="265" ht="26" spans="1:14">
      <c r="A265" s="81" t="s">
        <v>639</v>
      </c>
      <c r="B265" s="81">
        <v>2</v>
      </c>
      <c r="C265" s="81">
        <v>2</v>
      </c>
      <c r="D265" s="81">
        <v>2</v>
      </c>
      <c r="E265" s="81">
        <v>2</v>
      </c>
      <c r="F265" s="81">
        <v>2</v>
      </c>
      <c r="G265" s="81">
        <v>2</v>
      </c>
      <c r="H265" s="81">
        <v>2</v>
      </c>
      <c r="I265" s="81" t="s">
        <v>1035</v>
      </c>
      <c r="J265" s="79"/>
      <c r="K265" s="79"/>
      <c r="L265" s="79"/>
      <c r="M265" s="79"/>
      <c r="N265" s="79"/>
    </row>
    <row r="266" ht="26" spans="1:14">
      <c r="A266" s="81" t="s">
        <v>640</v>
      </c>
      <c r="B266" s="81">
        <v>2</v>
      </c>
      <c r="C266" s="81">
        <v>2</v>
      </c>
      <c r="D266" s="81">
        <v>2</v>
      </c>
      <c r="E266" s="81">
        <v>2</v>
      </c>
      <c r="F266" s="81">
        <v>2</v>
      </c>
      <c r="G266" s="81">
        <v>2</v>
      </c>
      <c r="H266" s="81">
        <v>2</v>
      </c>
      <c r="I266" s="81" t="s">
        <v>1035</v>
      </c>
      <c r="J266" s="79"/>
      <c r="K266" s="79"/>
      <c r="L266" s="79"/>
      <c r="M266" s="79"/>
      <c r="N266" s="79"/>
    </row>
    <row r="267" ht="26" spans="1:14">
      <c r="A267" s="81" t="s">
        <v>643</v>
      </c>
      <c r="B267" s="81">
        <v>2</v>
      </c>
      <c r="C267" s="81">
        <v>2</v>
      </c>
      <c r="D267" s="81">
        <v>2</v>
      </c>
      <c r="E267" s="81">
        <v>2</v>
      </c>
      <c r="F267" s="81">
        <v>2</v>
      </c>
      <c r="G267" s="81">
        <v>2</v>
      </c>
      <c r="H267" s="81">
        <v>2</v>
      </c>
      <c r="I267" s="81" t="s">
        <v>1035</v>
      </c>
      <c r="J267" s="79"/>
      <c r="K267" s="79"/>
      <c r="L267" s="79"/>
      <c r="M267" s="79"/>
      <c r="N267" s="79"/>
    </row>
    <row r="268" ht="26" spans="1:14">
      <c r="A268" s="81" t="s">
        <v>644</v>
      </c>
      <c r="B268" s="81">
        <v>3</v>
      </c>
      <c r="C268" s="81">
        <v>3</v>
      </c>
      <c r="D268" s="81">
        <v>2</v>
      </c>
      <c r="E268" s="81">
        <v>2</v>
      </c>
      <c r="F268" s="81">
        <v>3</v>
      </c>
      <c r="G268" s="81">
        <v>2</v>
      </c>
      <c r="H268" s="81">
        <v>3</v>
      </c>
      <c r="I268" s="81" t="s">
        <v>1035</v>
      </c>
      <c r="J268" s="79"/>
      <c r="K268" s="79"/>
      <c r="L268" s="79"/>
      <c r="M268" s="79"/>
      <c r="N268" s="79"/>
    </row>
    <row r="269" ht="26" spans="1:14">
      <c r="A269" s="81" t="s">
        <v>645</v>
      </c>
      <c r="B269" s="81">
        <v>3</v>
      </c>
      <c r="C269" s="81">
        <v>3</v>
      </c>
      <c r="D269" s="81">
        <v>2</v>
      </c>
      <c r="E269" s="81">
        <v>2</v>
      </c>
      <c r="F269" s="81">
        <v>3</v>
      </c>
      <c r="G269" s="81">
        <v>2</v>
      </c>
      <c r="H269" s="81">
        <v>3</v>
      </c>
      <c r="I269" s="81" t="s">
        <v>1035</v>
      </c>
      <c r="J269" s="79"/>
      <c r="K269" s="79"/>
      <c r="L269" s="79"/>
      <c r="M269" s="79"/>
      <c r="N269" s="79"/>
    </row>
    <row r="270" ht="26" spans="1:14">
      <c r="A270" s="81" t="s">
        <v>646</v>
      </c>
      <c r="B270" s="81">
        <v>2</v>
      </c>
      <c r="C270" s="81">
        <v>2</v>
      </c>
      <c r="D270" s="81">
        <v>2</v>
      </c>
      <c r="E270" s="81">
        <v>2</v>
      </c>
      <c r="F270" s="81">
        <v>2</v>
      </c>
      <c r="G270" s="81">
        <v>2</v>
      </c>
      <c r="H270" s="81">
        <v>2</v>
      </c>
      <c r="I270" s="81" t="s">
        <v>1035</v>
      </c>
      <c r="J270" s="79"/>
      <c r="K270" s="79"/>
      <c r="L270" s="79"/>
      <c r="M270" s="79"/>
      <c r="N270" s="79"/>
    </row>
    <row r="271" ht="26" spans="1:14">
      <c r="A271" s="81" t="s">
        <v>648</v>
      </c>
      <c r="B271" s="81">
        <v>2</v>
      </c>
      <c r="C271" s="81">
        <v>2</v>
      </c>
      <c r="D271" s="81">
        <v>2</v>
      </c>
      <c r="E271" s="81">
        <v>2</v>
      </c>
      <c r="F271" s="81">
        <v>2</v>
      </c>
      <c r="G271" s="81">
        <v>2</v>
      </c>
      <c r="H271" s="81">
        <v>2</v>
      </c>
      <c r="I271" s="81" t="s">
        <v>1035</v>
      </c>
      <c r="J271" s="79"/>
      <c r="K271" s="79"/>
      <c r="L271" s="79"/>
      <c r="M271" s="79"/>
      <c r="N271" s="79"/>
    </row>
    <row r="272" ht="26" spans="1:14">
      <c r="A272" s="81" t="s">
        <v>649</v>
      </c>
      <c r="B272" s="81">
        <v>2</v>
      </c>
      <c r="C272" s="81">
        <v>2</v>
      </c>
      <c r="D272" s="81">
        <v>2</v>
      </c>
      <c r="E272" s="81">
        <v>2</v>
      </c>
      <c r="F272" s="81">
        <v>2</v>
      </c>
      <c r="G272" s="81">
        <v>2</v>
      </c>
      <c r="H272" s="81">
        <v>2</v>
      </c>
      <c r="I272" s="81" t="s">
        <v>1035</v>
      </c>
      <c r="J272" s="79"/>
      <c r="K272" s="79"/>
      <c r="L272" s="79"/>
      <c r="M272" s="79"/>
      <c r="N272" s="79"/>
    </row>
    <row r="273" ht="26" spans="1:14">
      <c r="A273" s="81" t="s">
        <v>650</v>
      </c>
      <c r="B273" s="81">
        <v>2</v>
      </c>
      <c r="C273" s="81">
        <v>2</v>
      </c>
      <c r="D273" s="81">
        <v>2</v>
      </c>
      <c r="E273" s="81">
        <v>2</v>
      </c>
      <c r="F273" s="81">
        <v>2</v>
      </c>
      <c r="G273" s="81">
        <v>2</v>
      </c>
      <c r="H273" s="81">
        <v>2</v>
      </c>
      <c r="I273" s="81" t="s">
        <v>1035</v>
      </c>
      <c r="J273" s="79"/>
      <c r="K273" s="79"/>
      <c r="L273" s="79"/>
      <c r="M273" s="79"/>
      <c r="N273" s="79"/>
    </row>
    <row r="274" ht="26" spans="1:14">
      <c r="A274" s="81" t="s">
        <v>651</v>
      </c>
      <c r="B274" s="81">
        <v>2</v>
      </c>
      <c r="C274" s="81">
        <v>2</v>
      </c>
      <c r="D274" s="81">
        <v>2</v>
      </c>
      <c r="E274" s="81">
        <v>2</v>
      </c>
      <c r="F274" s="81">
        <v>2</v>
      </c>
      <c r="G274" s="81">
        <v>2</v>
      </c>
      <c r="H274" s="81">
        <v>2</v>
      </c>
      <c r="I274" s="81" t="s">
        <v>1035</v>
      </c>
      <c r="J274" s="79"/>
      <c r="K274" s="79"/>
      <c r="L274" s="79"/>
      <c r="M274" s="79"/>
      <c r="N274" s="79"/>
    </row>
    <row r="275" ht="26" spans="1:14">
      <c r="A275" s="81" t="s">
        <v>652</v>
      </c>
      <c r="B275" s="81">
        <v>2</v>
      </c>
      <c r="C275" s="81">
        <v>2</v>
      </c>
      <c r="D275" s="81">
        <v>2</v>
      </c>
      <c r="E275" s="81">
        <v>2</v>
      </c>
      <c r="F275" s="81">
        <v>2</v>
      </c>
      <c r="G275" s="81">
        <v>2</v>
      </c>
      <c r="H275" s="81">
        <v>2</v>
      </c>
      <c r="I275" s="81" t="s">
        <v>1035</v>
      </c>
      <c r="J275" s="79"/>
      <c r="K275" s="79"/>
      <c r="L275" s="79"/>
      <c r="M275" s="79"/>
      <c r="N275" s="79"/>
    </row>
    <row r="276" ht="26" spans="1:14">
      <c r="A276" s="81" t="s">
        <v>653</v>
      </c>
      <c r="B276" s="81">
        <v>2</v>
      </c>
      <c r="C276" s="81">
        <v>2</v>
      </c>
      <c r="D276" s="81">
        <v>2</v>
      </c>
      <c r="E276" s="81">
        <v>2</v>
      </c>
      <c r="F276" s="81">
        <v>2</v>
      </c>
      <c r="G276" s="81">
        <v>2</v>
      </c>
      <c r="H276" s="81">
        <v>2</v>
      </c>
      <c r="I276" s="81" t="s">
        <v>1035</v>
      </c>
      <c r="J276" s="79"/>
      <c r="K276" s="79"/>
      <c r="L276" s="79"/>
      <c r="M276" s="79"/>
      <c r="N276" s="79"/>
    </row>
    <row r="277" ht="26" spans="1:14">
      <c r="A277" s="81" t="s">
        <v>654</v>
      </c>
      <c r="B277" s="81">
        <v>2</v>
      </c>
      <c r="C277" s="81">
        <v>2</v>
      </c>
      <c r="D277" s="81">
        <v>2</v>
      </c>
      <c r="E277" s="81">
        <v>2</v>
      </c>
      <c r="F277" s="81">
        <v>2</v>
      </c>
      <c r="G277" s="81">
        <v>2</v>
      </c>
      <c r="H277" s="81">
        <v>2</v>
      </c>
      <c r="I277" s="81" t="s">
        <v>1035</v>
      </c>
      <c r="J277" s="79"/>
      <c r="K277" s="79"/>
      <c r="L277" s="79"/>
      <c r="M277" s="79"/>
      <c r="N277" s="79"/>
    </row>
    <row r="278" ht="26" spans="1:14">
      <c r="A278" s="81" t="s">
        <v>655</v>
      </c>
      <c r="B278" s="81">
        <v>2</v>
      </c>
      <c r="C278" s="81">
        <v>2</v>
      </c>
      <c r="D278" s="81">
        <v>2</v>
      </c>
      <c r="E278" s="81">
        <v>2</v>
      </c>
      <c r="F278" s="81">
        <v>2</v>
      </c>
      <c r="G278" s="81">
        <v>2</v>
      </c>
      <c r="H278" s="81">
        <v>2</v>
      </c>
      <c r="I278" s="81" t="s">
        <v>1035</v>
      </c>
      <c r="J278" s="79"/>
      <c r="K278" s="79"/>
      <c r="L278" s="79"/>
      <c r="M278" s="79"/>
      <c r="N278" s="79"/>
    </row>
    <row r="279" ht="26" spans="1:14">
      <c r="A279" s="81" t="s">
        <v>656</v>
      </c>
      <c r="B279" s="81">
        <v>2</v>
      </c>
      <c r="C279" s="81">
        <v>2</v>
      </c>
      <c r="D279" s="81">
        <v>2</v>
      </c>
      <c r="E279" s="81">
        <v>2</v>
      </c>
      <c r="F279" s="81">
        <v>2</v>
      </c>
      <c r="G279" s="81">
        <v>2</v>
      </c>
      <c r="H279" s="81">
        <v>2</v>
      </c>
      <c r="I279" s="81" t="s">
        <v>1035</v>
      </c>
      <c r="J279" s="79"/>
      <c r="K279" s="79"/>
      <c r="L279" s="79"/>
      <c r="M279" s="79"/>
      <c r="N279" s="79"/>
    </row>
    <row r="280" ht="26" spans="1:14">
      <c r="A280" s="81" t="s">
        <v>657</v>
      </c>
      <c r="B280" s="81">
        <v>2</v>
      </c>
      <c r="C280" s="81">
        <v>2</v>
      </c>
      <c r="D280" s="81">
        <v>2</v>
      </c>
      <c r="E280" s="81">
        <v>2</v>
      </c>
      <c r="F280" s="81">
        <v>2</v>
      </c>
      <c r="G280" s="81">
        <v>2</v>
      </c>
      <c r="H280" s="81">
        <v>2</v>
      </c>
      <c r="I280" s="81" t="s">
        <v>1035</v>
      </c>
      <c r="J280" s="79"/>
      <c r="K280" s="79"/>
      <c r="L280" s="79"/>
      <c r="M280" s="79"/>
      <c r="N280" s="79"/>
    </row>
    <row r="281" ht="26" spans="1:14">
      <c r="A281" s="81" t="s">
        <v>658</v>
      </c>
      <c r="B281" s="81">
        <v>2</v>
      </c>
      <c r="C281" s="81">
        <v>2</v>
      </c>
      <c r="D281" s="81">
        <v>2</v>
      </c>
      <c r="E281" s="81">
        <v>2</v>
      </c>
      <c r="F281" s="81">
        <v>2</v>
      </c>
      <c r="G281" s="81">
        <v>2</v>
      </c>
      <c r="H281" s="81">
        <v>2</v>
      </c>
      <c r="I281" s="81" t="s">
        <v>1035</v>
      </c>
      <c r="J281" s="79"/>
      <c r="K281" s="79"/>
      <c r="L281" s="79"/>
      <c r="M281" s="79"/>
      <c r="N281" s="79"/>
    </row>
    <row r="282" ht="26" spans="1:14">
      <c r="A282" s="81" t="s">
        <v>659</v>
      </c>
      <c r="B282" s="81">
        <v>2</v>
      </c>
      <c r="C282" s="81">
        <v>2</v>
      </c>
      <c r="D282" s="81">
        <v>2</v>
      </c>
      <c r="E282" s="81">
        <v>2</v>
      </c>
      <c r="F282" s="81">
        <v>2</v>
      </c>
      <c r="G282" s="81">
        <v>2</v>
      </c>
      <c r="H282" s="81">
        <v>2</v>
      </c>
      <c r="I282" s="81" t="s">
        <v>1035</v>
      </c>
      <c r="J282" s="79"/>
      <c r="K282" s="79"/>
      <c r="L282" s="79"/>
      <c r="M282" s="79"/>
      <c r="N282" s="79"/>
    </row>
    <row r="283" ht="26" spans="1:14">
      <c r="A283" s="81" t="s">
        <v>660</v>
      </c>
      <c r="B283" s="81">
        <v>2</v>
      </c>
      <c r="C283" s="81">
        <v>2</v>
      </c>
      <c r="D283" s="81">
        <v>2</v>
      </c>
      <c r="E283" s="81">
        <v>2</v>
      </c>
      <c r="F283" s="81">
        <v>2</v>
      </c>
      <c r="G283" s="81">
        <v>2</v>
      </c>
      <c r="H283" s="81">
        <v>2</v>
      </c>
      <c r="I283" s="81" t="s">
        <v>1035</v>
      </c>
      <c r="J283" s="79"/>
      <c r="K283" s="79"/>
      <c r="L283" s="79"/>
      <c r="M283" s="79"/>
      <c r="N283" s="79"/>
    </row>
    <row r="284" ht="26" spans="1:14">
      <c r="A284" s="81" t="s">
        <v>661</v>
      </c>
      <c r="B284" s="81">
        <v>2</v>
      </c>
      <c r="C284" s="81">
        <v>2</v>
      </c>
      <c r="D284" s="81">
        <v>2</v>
      </c>
      <c r="E284" s="81">
        <v>2</v>
      </c>
      <c r="F284" s="81">
        <v>2</v>
      </c>
      <c r="G284" s="81">
        <v>2</v>
      </c>
      <c r="H284" s="81">
        <v>2</v>
      </c>
      <c r="I284" s="81" t="s">
        <v>1035</v>
      </c>
      <c r="J284" s="79"/>
      <c r="K284" s="79"/>
      <c r="L284" s="79"/>
      <c r="M284" s="79"/>
      <c r="N284" s="79"/>
    </row>
    <row r="285" ht="26" spans="1:14">
      <c r="A285" s="81" t="s">
        <v>662</v>
      </c>
      <c r="B285" s="81">
        <v>2</v>
      </c>
      <c r="C285" s="81">
        <v>2</v>
      </c>
      <c r="D285" s="81">
        <v>2</v>
      </c>
      <c r="E285" s="81">
        <v>2</v>
      </c>
      <c r="F285" s="81">
        <v>2</v>
      </c>
      <c r="G285" s="81">
        <v>2</v>
      </c>
      <c r="H285" s="81">
        <v>2</v>
      </c>
      <c r="I285" s="81" t="s">
        <v>1035</v>
      </c>
      <c r="J285" s="79"/>
      <c r="K285" s="79"/>
      <c r="L285" s="79"/>
      <c r="M285" s="79"/>
      <c r="N285" s="79"/>
    </row>
    <row r="286" ht="26" spans="1:14">
      <c r="A286" s="81" t="s">
        <v>663</v>
      </c>
      <c r="B286" s="81">
        <v>2</v>
      </c>
      <c r="C286" s="81">
        <v>2</v>
      </c>
      <c r="D286" s="81">
        <v>2</v>
      </c>
      <c r="E286" s="81">
        <v>2</v>
      </c>
      <c r="F286" s="81">
        <v>2</v>
      </c>
      <c r="G286" s="81">
        <v>2</v>
      </c>
      <c r="H286" s="81">
        <v>2</v>
      </c>
      <c r="I286" s="81" t="s">
        <v>1035</v>
      </c>
      <c r="J286" s="79"/>
      <c r="K286" s="79"/>
      <c r="L286" s="79"/>
      <c r="M286" s="79"/>
      <c r="N286" s="79"/>
    </row>
    <row r="287" ht="26" spans="1:14">
      <c r="A287" s="81" t="s">
        <v>664</v>
      </c>
      <c r="B287" s="81">
        <v>2</v>
      </c>
      <c r="C287" s="81">
        <v>2</v>
      </c>
      <c r="D287" s="81">
        <v>2</v>
      </c>
      <c r="E287" s="81">
        <v>2</v>
      </c>
      <c r="F287" s="81">
        <v>2</v>
      </c>
      <c r="G287" s="81">
        <v>2</v>
      </c>
      <c r="H287" s="81">
        <v>2</v>
      </c>
      <c r="I287" s="81" t="s">
        <v>1035</v>
      </c>
      <c r="J287" s="79"/>
      <c r="K287" s="79"/>
      <c r="L287" s="79"/>
      <c r="M287" s="79"/>
      <c r="N287" s="79"/>
    </row>
    <row r="288" ht="26" spans="1:14">
      <c r="A288" s="81" t="s">
        <v>665</v>
      </c>
      <c r="B288" s="81">
        <v>2</v>
      </c>
      <c r="C288" s="81">
        <v>2</v>
      </c>
      <c r="D288" s="81">
        <v>2</v>
      </c>
      <c r="E288" s="81">
        <v>2</v>
      </c>
      <c r="F288" s="81">
        <v>2</v>
      </c>
      <c r="G288" s="81">
        <v>2</v>
      </c>
      <c r="H288" s="81">
        <v>2</v>
      </c>
      <c r="I288" s="81" t="s">
        <v>1035</v>
      </c>
      <c r="J288" s="79"/>
      <c r="K288" s="79"/>
      <c r="L288" s="79"/>
      <c r="M288" s="79"/>
      <c r="N288" s="79"/>
    </row>
    <row r="289" ht="26" spans="1:14">
      <c r="A289" s="81" t="s">
        <v>666</v>
      </c>
      <c r="B289" s="81">
        <v>2</v>
      </c>
      <c r="C289" s="81">
        <v>2</v>
      </c>
      <c r="D289" s="81">
        <v>2</v>
      </c>
      <c r="E289" s="81">
        <v>2</v>
      </c>
      <c r="F289" s="81">
        <v>2</v>
      </c>
      <c r="G289" s="81">
        <v>2</v>
      </c>
      <c r="H289" s="81">
        <v>2</v>
      </c>
      <c r="I289" s="81" t="s">
        <v>1035</v>
      </c>
      <c r="J289" s="79"/>
      <c r="K289" s="79"/>
      <c r="L289" s="79"/>
      <c r="M289" s="79"/>
      <c r="N289" s="79"/>
    </row>
    <row r="290" ht="26" spans="1:14">
      <c r="A290" s="81" t="s">
        <v>667</v>
      </c>
      <c r="B290" s="81">
        <v>2</v>
      </c>
      <c r="C290" s="81">
        <v>2</v>
      </c>
      <c r="D290" s="81">
        <v>2</v>
      </c>
      <c r="E290" s="81">
        <v>2</v>
      </c>
      <c r="F290" s="81">
        <v>2</v>
      </c>
      <c r="G290" s="81">
        <v>2</v>
      </c>
      <c r="H290" s="81">
        <v>2</v>
      </c>
      <c r="I290" s="81" t="s">
        <v>1035</v>
      </c>
      <c r="J290" s="79"/>
      <c r="K290" s="79"/>
      <c r="L290" s="79"/>
      <c r="M290" s="79"/>
      <c r="N290" s="79"/>
    </row>
    <row r="291" ht="26" spans="1:14">
      <c r="A291" s="81" t="s">
        <v>668</v>
      </c>
      <c r="B291" s="81">
        <v>2</v>
      </c>
      <c r="C291" s="81">
        <v>2</v>
      </c>
      <c r="D291" s="81">
        <v>2</v>
      </c>
      <c r="E291" s="81">
        <v>2</v>
      </c>
      <c r="F291" s="81">
        <v>2</v>
      </c>
      <c r="G291" s="81">
        <v>2</v>
      </c>
      <c r="H291" s="81">
        <v>2</v>
      </c>
      <c r="I291" s="81" t="s">
        <v>1035</v>
      </c>
      <c r="J291" s="79"/>
      <c r="K291" s="79"/>
      <c r="L291" s="79"/>
      <c r="M291" s="79"/>
      <c r="N291" s="79"/>
    </row>
    <row r="292" ht="26" spans="1:14">
      <c r="A292" s="81" t="s">
        <v>669</v>
      </c>
      <c r="B292" s="81">
        <v>2</v>
      </c>
      <c r="C292" s="81">
        <v>2</v>
      </c>
      <c r="D292" s="81">
        <v>2</v>
      </c>
      <c r="E292" s="81">
        <v>2</v>
      </c>
      <c r="F292" s="81">
        <v>2</v>
      </c>
      <c r="G292" s="81">
        <v>2</v>
      </c>
      <c r="H292" s="81">
        <v>2</v>
      </c>
      <c r="I292" s="81" t="s">
        <v>1035</v>
      </c>
      <c r="J292" s="79"/>
      <c r="K292" s="79"/>
      <c r="L292" s="79"/>
      <c r="M292" s="79"/>
      <c r="N292" s="79"/>
    </row>
    <row r="293" ht="26" spans="1:14">
      <c r="A293" s="81" t="s">
        <v>670</v>
      </c>
      <c r="B293" s="81">
        <v>2</v>
      </c>
      <c r="C293" s="81">
        <v>2</v>
      </c>
      <c r="D293" s="81">
        <v>2</v>
      </c>
      <c r="E293" s="81">
        <v>2</v>
      </c>
      <c r="F293" s="81">
        <v>2</v>
      </c>
      <c r="G293" s="81">
        <v>2</v>
      </c>
      <c r="H293" s="81">
        <v>2</v>
      </c>
      <c r="I293" s="81" t="s">
        <v>1035</v>
      </c>
      <c r="J293" s="79"/>
      <c r="K293" s="79"/>
      <c r="L293" s="79"/>
      <c r="M293" s="79"/>
      <c r="N293" s="79"/>
    </row>
    <row r="294" ht="26" spans="1:14">
      <c r="A294" s="81" t="s">
        <v>671</v>
      </c>
      <c r="B294" s="81">
        <v>2</v>
      </c>
      <c r="C294" s="81">
        <v>2</v>
      </c>
      <c r="D294" s="81">
        <v>2</v>
      </c>
      <c r="E294" s="81">
        <v>2</v>
      </c>
      <c r="F294" s="81">
        <v>2</v>
      </c>
      <c r="G294" s="81">
        <v>2</v>
      </c>
      <c r="H294" s="81">
        <v>2</v>
      </c>
      <c r="I294" s="81" t="s">
        <v>1035</v>
      </c>
      <c r="J294" s="79"/>
      <c r="K294" s="79"/>
      <c r="L294" s="79"/>
      <c r="M294" s="79"/>
      <c r="N294" s="79"/>
    </row>
    <row r="295" ht="26" spans="1:14">
      <c r="A295" s="81" t="s">
        <v>672</v>
      </c>
      <c r="B295" s="81">
        <v>2</v>
      </c>
      <c r="C295" s="81">
        <v>2</v>
      </c>
      <c r="D295" s="81">
        <v>2</v>
      </c>
      <c r="E295" s="81">
        <v>2</v>
      </c>
      <c r="F295" s="81">
        <v>2</v>
      </c>
      <c r="G295" s="81">
        <v>2</v>
      </c>
      <c r="H295" s="81">
        <v>2</v>
      </c>
      <c r="I295" s="81" t="s">
        <v>1035</v>
      </c>
      <c r="J295" s="79"/>
      <c r="K295" s="79"/>
      <c r="L295" s="79"/>
      <c r="M295" s="79"/>
      <c r="N295" s="79"/>
    </row>
    <row r="296" ht="26" spans="1:14">
      <c r="A296" s="81" t="s">
        <v>673</v>
      </c>
      <c r="B296" s="81">
        <v>2</v>
      </c>
      <c r="C296" s="81">
        <v>2</v>
      </c>
      <c r="D296" s="81">
        <v>2</v>
      </c>
      <c r="E296" s="81">
        <v>2</v>
      </c>
      <c r="F296" s="81">
        <v>2</v>
      </c>
      <c r="G296" s="81">
        <v>2</v>
      </c>
      <c r="H296" s="81">
        <v>2</v>
      </c>
      <c r="I296" s="81" t="s">
        <v>1035</v>
      </c>
      <c r="J296" s="79"/>
      <c r="K296" s="79"/>
      <c r="L296" s="79"/>
      <c r="M296" s="79"/>
      <c r="N296" s="79"/>
    </row>
    <row r="297" ht="26" spans="1:14">
      <c r="A297" s="81" t="s">
        <v>674</v>
      </c>
      <c r="B297" s="81">
        <v>2</v>
      </c>
      <c r="C297" s="81">
        <v>2</v>
      </c>
      <c r="D297" s="81">
        <v>2</v>
      </c>
      <c r="E297" s="81">
        <v>2</v>
      </c>
      <c r="F297" s="81">
        <v>2</v>
      </c>
      <c r="G297" s="81">
        <v>2</v>
      </c>
      <c r="H297" s="81">
        <v>2</v>
      </c>
      <c r="I297" s="81" t="s">
        <v>1035</v>
      </c>
      <c r="J297" s="79"/>
      <c r="K297" s="79"/>
      <c r="L297" s="79"/>
      <c r="M297" s="79"/>
      <c r="N297" s="79"/>
    </row>
    <row r="298" ht="26" spans="1:14">
      <c r="A298" s="81" t="s">
        <v>675</v>
      </c>
      <c r="B298" s="81">
        <v>2</v>
      </c>
      <c r="C298" s="81">
        <v>2</v>
      </c>
      <c r="D298" s="81">
        <v>2</v>
      </c>
      <c r="E298" s="81">
        <v>2</v>
      </c>
      <c r="F298" s="81">
        <v>2</v>
      </c>
      <c r="G298" s="81">
        <v>2</v>
      </c>
      <c r="H298" s="81">
        <v>2</v>
      </c>
      <c r="I298" s="81" t="s">
        <v>1035</v>
      </c>
      <c r="J298" s="79"/>
      <c r="K298" s="79"/>
      <c r="L298" s="79"/>
      <c r="M298" s="79"/>
      <c r="N298" s="79"/>
    </row>
    <row r="299" ht="26" spans="1:14">
      <c r="A299" s="81" t="s">
        <v>676</v>
      </c>
      <c r="B299" s="81">
        <v>2</v>
      </c>
      <c r="C299" s="81">
        <v>2</v>
      </c>
      <c r="D299" s="81">
        <v>2</v>
      </c>
      <c r="E299" s="81">
        <v>2</v>
      </c>
      <c r="F299" s="81">
        <v>2</v>
      </c>
      <c r="G299" s="81">
        <v>2</v>
      </c>
      <c r="H299" s="81">
        <v>2</v>
      </c>
      <c r="I299" s="81" t="s">
        <v>1035</v>
      </c>
      <c r="J299" s="79"/>
      <c r="K299" s="79"/>
      <c r="L299" s="79"/>
      <c r="M299" s="79"/>
      <c r="N299" s="79"/>
    </row>
    <row r="300" ht="26" spans="1:14">
      <c r="A300" s="81" t="s">
        <v>677</v>
      </c>
      <c r="B300" s="81">
        <v>2</v>
      </c>
      <c r="C300" s="81">
        <v>2</v>
      </c>
      <c r="D300" s="81">
        <v>2</v>
      </c>
      <c r="E300" s="81">
        <v>2</v>
      </c>
      <c r="F300" s="81">
        <v>2</v>
      </c>
      <c r="G300" s="81">
        <v>2</v>
      </c>
      <c r="H300" s="81">
        <v>2</v>
      </c>
      <c r="I300" s="81" t="s">
        <v>1035</v>
      </c>
      <c r="J300" s="79"/>
      <c r="K300" s="79"/>
      <c r="L300" s="79"/>
      <c r="M300" s="79"/>
      <c r="N300" s="79"/>
    </row>
    <row r="301" ht="26" spans="1:14">
      <c r="A301" s="81" t="s">
        <v>678</v>
      </c>
      <c r="B301" s="81">
        <v>2</v>
      </c>
      <c r="C301" s="81">
        <v>2</v>
      </c>
      <c r="D301" s="81">
        <v>2</v>
      </c>
      <c r="E301" s="81">
        <v>2</v>
      </c>
      <c r="F301" s="81">
        <v>2</v>
      </c>
      <c r="G301" s="81">
        <v>2</v>
      </c>
      <c r="H301" s="81">
        <v>2</v>
      </c>
      <c r="I301" s="81" t="s">
        <v>1035</v>
      </c>
      <c r="J301" s="79"/>
      <c r="K301" s="79"/>
      <c r="L301" s="79"/>
      <c r="M301" s="79"/>
      <c r="N301" s="79"/>
    </row>
    <row r="302" ht="26" spans="1:14">
      <c r="A302" s="81" t="s">
        <v>679</v>
      </c>
      <c r="B302" s="81">
        <v>2</v>
      </c>
      <c r="C302" s="81">
        <v>2</v>
      </c>
      <c r="D302" s="81">
        <v>2</v>
      </c>
      <c r="E302" s="81">
        <v>2</v>
      </c>
      <c r="F302" s="81">
        <v>2</v>
      </c>
      <c r="G302" s="81">
        <v>2</v>
      </c>
      <c r="H302" s="81">
        <v>2</v>
      </c>
      <c r="I302" s="81" t="s">
        <v>1035</v>
      </c>
      <c r="J302" s="79"/>
      <c r="K302" s="79"/>
      <c r="L302" s="79"/>
      <c r="M302" s="79"/>
      <c r="N302" s="79"/>
    </row>
    <row r="303" ht="26" spans="1:14">
      <c r="A303" s="81" t="s">
        <v>680</v>
      </c>
      <c r="B303" s="81">
        <v>2</v>
      </c>
      <c r="C303" s="81">
        <v>2</v>
      </c>
      <c r="D303" s="81">
        <v>2</v>
      </c>
      <c r="E303" s="81">
        <v>2</v>
      </c>
      <c r="F303" s="81">
        <v>2</v>
      </c>
      <c r="G303" s="81">
        <v>2</v>
      </c>
      <c r="H303" s="81">
        <v>2</v>
      </c>
      <c r="I303" s="81" t="s">
        <v>1035</v>
      </c>
      <c r="J303" s="79"/>
      <c r="K303" s="79"/>
      <c r="L303" s="79"/>
      <c r="M303" s="79"/>
      <c r="N303" s="79"/>
    </row>
    <row r="304" ht="26" spans="1:14">
      <c r="A304" s="81" t="s">
        <v>681</v>
      </c>
      <c r="B304" s="81">
        <v>2</v>
      </c>
      <c r="C304" s="81">
        <v>2</v>
      </c>
      <c r="D304" s="81">
        <v>2</v>
      </c>
      <c r="E304" s="81">
        <v>2</v>
      </c>
      <c r="F304" s="81">
        <v>2</v>
      </c>
      <c r="G304" s="81">
        <v>2</v>
      </c>
      <c r="H304" s="81">
        <v>2</v>
      </c>
      <c r="I304" s="81" t="s">
        <v>1035</v>
      </c>
      <c r="J304" s="79"/>
      <c r="K304" s="79"/>
      <c r="L304" s="79"/>
      <c r="M304" s="79"/>
      <c r="N304" s="79"/>
    </row>
    <row r="305" ht="26" spans="1:14">
      <c r="A305" s="81" t="s">
        <v>682</v>
      </c>
      <c r="B305" s="81">
        <v>2</v>
      </c>
      <c r="C305" s="81">
        <v>2</v>
      </c>
      <c r="D305" s="81">
        <v>2</v>
      </c>
      <c r="E305" s="81">
        <v>2</v>
      </c>
      <c r="F305" s="81">
        <v>2</v>
      </c>
      <c r="G305" s="81">
        <v>2</v>
      </c>
      <c r="H305" s="81">
        <v>2</v>
      </c>
      <c r="I305" s="81" t="s">
        <v>1035</v>
      </c>
      <c r="J305" s="79"/>
      <c r="K305" s="79"/>
      <c r="L305" s="79"/>
      <c r="M305" s="79"/>
      <c r="N305" s="79"/>
    </row>
    <row r="306" ht="26" spans="1:14">
      <c r="A306" s="81" t="s">
        <v>683</v>
      </c>
      <c r="B306" s="81">
        <v>2</v>
      </c>
      <c r="C306" s="81">
        <v>2</v>
      </c>
      <c r="D306" s="81">
        <v>2</v>
      </c>
      <c r="E306" s="81">
        <v>2</v>
      </c>
      <c r="F306" s="81">
        <v>2</v>
      </c>
      <c r="G306" s="81">
        <v>2</v>
      </c>
      <c r="H306" s="81">
        <v>2</v>
      </c>
      <c r="I306" s="81" t="s">
        <v>1035</v>
      </c>
      <c r="J306" s="79"/>
      <c r="K306" s="79"/>
      <c r="L306" s="79"/>
      <c r="M306" s="79"/>
      <c r="N306" s="79"/>
    </row>
    <row r="307" ht="26" spans="1:14">
      <c r="A307" s="81" t="s">
        <v>684</v>
      </c>
      <c r="B307" s="81">
        <v>2</v>
      </c>
      <c r="C307" s="81">
        <v>2</v>
      </c>
      <c r="D307" s="81">
        <v>2</v>
      </c>
      <c r="E307" s="81">
        <v>2</v>
      </c>
      <c r="F307" s="81">
        <v>2</v>
      </c>
      <c r="G307" s="81">
        <v>2</v>
      </c>
      <c r="H307" s="81">
        <v>2</v>
      </c>
      <c r="I307" s="81" t="s">
        <v>1035</v>
      </c>
      <c r="J307" s="79"/>
      <c r="K307" s="79"/>
      <c r="L307" s="79"/>
      <c r="M307" s="79"/>
      <c r="N307" s="79"/>
    </row>
    <row r="308" ht="26" spans="1:14">
      <c r="A308" s="81" t="s">
        <v>685</v>
      </c>
      <c r="B308" s="81">
        <v>2</v>
      </c>
      <c r="C308" s="81">
        <v>2</v>
      </c>
      <c r="D308" s="81">
        <v>2</v>
      </c>
      <c r="E308" s="81">
        <v>2</v>
      </c>
      <c r="F308" s="81">
        <v>2</v>
      </c>
      <c r="G308" s="81">
        <v>2</v>
      </c>
      <c r="H308" s="81">
        <v>2</v>
      </c>
      <c r="I308" s="81" t="s">
        <v>1035</v>
      </c>
      <c r="J308" s="79"/>
      <c r="K308" s="79"/>
      <c r="L308" s="79"/>
      <c r="M308" s="79"/>
      <c r="N308" s="79"/>
    </row>
    <row r="309" ht="26" spans="1:14">
      <c r="A309" s="81" t="s">
        <v>686</v>
      </c>
      <c r="B309" s="81">
        <v>2</v>
      </c>
      <c r="C309" s="81">
        <v>2</v>
      </c>
      <c r="D309" s="81">
        <v>2</v>
      </c>
      <c r="E309" s="81">
        <v>2</v>
      </c>
      <c r="F309" s="81">
        <v>2</v>
      </c>
      <c r="G309" s="81">
        <v>2</v>
      </c>
      <c r="H309" s="81">
        <v>2</v>
      </c>
      <c r="I309" s="81" t="s">
        <v>1035</v>
      </c>
      <c r="J309" s="79"/>
      <c r="K309" s="79"/>
      <c r="L309" s="79"/>
      <c r="M309" s="79"/>
      <c r="N309" s="79"/>
    </row>
    <row r="310" ht="26" spans="1:14">
      <c r="A310" s="81" t="s">
        <v>687</v>
      </c>
      <c r="B310" s="81">
        <v>2</v>
      </c>
      <c r="C310" s="81">
        <v>2</v>
      </c>
      <c r="D310" s="81">
        <v>2</v>
      </c>
      <c r="E310" s="81">
        <v>2</v>
      </c>
      <c r="F310" s="81">
        <v>2</v>
      </c>
      <c r="G310" s="81">
        <v>2</v>
      </c>
      <c r="H310" s="81">
        <v>2</v>
      </c>
      <c r="I310" s="81" t="s">
        <v>1035</v>
      </c>
      <c r="J310" s="79"/>
      <c r="K310" s="79"/>
      <c r="L310" s="79"/>
      <c r="M310" s="79"/>
      <c r="N310" s="79"/>
    </row>
    <row r="311" ht="26" spans="1:14">
      <c r="A311" s="81" t="s">
        <v>688</v>
      </c>
      <c r="B311" s="81">
        <v>2</v>
      </c>
      <c r="C311" s="81">
        <v>2</v>
      </c>
      <c r="D311" s="81">
        <v>2</v>
      </c>
      <c r="E311" s="81">
        <v>2</v>
      </c>
      <c r="F311" s="81">
        <v>2</v>
      </c>
      <c r="G311" s="81">
        <v>2</v>
      </c>
      <c r="H311" s="81">
        <v>2</v>
      </c>
      <c r="I311" s="81" t="s">
        <v>1035</v>
      </c>
      <c r="J311" s="79"/>
      <c r="K311" s="79"/>
      <c r="L311" s="79"/>
      <c r="M311" s="79"/>
      <c r="N311" s="79"/>
    </row>
    <row r="312" ht="26" spans="1:14">
      <c r="A312" s="81" t="s">
        <v>689</v>
      </c>
      <c r="B312" s="81">
        <v>2</v>
      </c>
      <c r="C312" s="81">
        <v>2</v>
      </c>
      <c r="D312" s="81">
        <v>2</v>
      </c>
      <c r="E312" s="81">
        <v>2</v>
      </c>
      <c r="F312" s="81">
        <v>2</v>
      </c>
      <c r="G312" s="81">
        <v>2</v>
      </c>
      <c r="H312" s="81">
        <v>2</v>
      </c>
      <c r="I312" s="81" t="s">
        <v>1035</v>
      </c>
      <c r="J312" s="79"/>
      <c r="K312" s="79"/>
      <c r="L312" s="79"/>
      <c r="M312" s="79"/>
      <c r="N312" s="79"/>
    </row>
    <row r="313" ht="26" spans="1:14">
      <c r="A313" s="81" t="s">
        <v>690</v>
      </c>
      <c r="B313" s="81">
        <v>2</v>
      </c>
      <c r="C313" s="81">
        <v>2</v>
      </c>
      <c r="D313" s="81">
        <v>2</v>
      </c>
      <c r="E313" s="81">
        <v>2</v>
      </c>
      <c r="F313" s="81">
        <v>2</v>
      </c>
      <c r="G313" s="81">
        <v>2</v>
      </c>
      <c r="H313" s="81">
        <v>2</v>
      </c>
      <c r="I313" s="81" t="s">
        <v>1035</v>
      </c>
      <c r="J313" s="79"/>
      <c r="K313" s="79"/>
      <c r="L313" s="79"/>
      <c r="M313" s="79"/>
      <c r="N313" s="79"/>
    </row>
    <row r="314" ht="26" spans="1:14">
      <c r="A314" s="81" t="s">
        <v>691</v>
      </c>
      <c r="B314" s="81">
        <v>2</v>
      </c>
      <c r="C314" s="81">
        <v>2</v>
      </c>
      <c r="D314" s="81">
        <v>2</v>
      </c>
      <c r="E314" s="81">
        <v>2</v>
      </c>
      <c r="F314" s="81">
        <v>2</v>
      </c>
      <c r="G314" s="81">
        <v>2</v>
      </c>
      <c r="H314" s="81">
        <v>2</v>
      </c>
      <c r="I314" s="81" t="s">
        <v>1035</v>
      </c>
      <c r="J314" s="79"/>
      <c r="K314" s="79"/>
      <c r="L314" s="79"/>
      <c r="M314" s="79"/>
      <c r="N314" s="79"/>
    </row>
    <row r="315" ht="26" spans="1:14">
      <c r="A315" s="81" t="s">
        <v>696</v>
      </c>
      <c r="B315" s="81">
        <v>2</v>
      </c>
      <c r="C315" s="81">
        <v>2</v>
      </c>
      <c r="D315" s="81">
        <v>2</v>
      </c>
      <c r="E315" s="81">
        <v>2</v>
      </c>
      <c r="F315" s="81">
        <v>2</v>
      </c>
      <c r="G315" s="81">
        <v>2</v>
      </c>
      <c r="H315" s="81">
        <v>2</v>
      </c>
      <c r="I315" s="81" t="s">
        <v>1035</v>
      </c>
      <c r="J315" s="79"/>
      <c r="K315" s="79"/>
      <c r="L315" s="79"/>
      <c r="M315" s="79"/>
      <c r="N315" s="79"/>
    </row>
    <row r="316" ht="26" spans="1:14">
      <c r="A316" s="81" t="s">
        <v>700</v>
      </c>
      <c r="B316" s="81">
        <v>2</v>
      </c>
      <c r="C316" s="81">
        <v>2</v>
      </c>
      <c r="D316" s="81">
        <v>2</v>
      </c>
      <c r="E316" s="81">
        <v>2</v>
      </c>
      <c r="F316" s="81">
        <v>2</v>
      </c>
      <c r="G316" s="81">
        <v>2</v>
      </c>
      <c r="H316" s="81">
        <v>2</v>
      </c>
      <c r="I316" s="81" t="s">
        <v>1035</v>
      </c>
      <c r="J316" s="79"/>
      <c r="K316" s="79"/>
      <c r="L316" s="79"/>
      <c r="M316" s="79"/>
      <c r="N316" s="79"/>
    </row>
    <row r="317" ht="26" spans="1:14">
      <c r="A317" s="81" t="s">
        <v>701</v>
      </c>
      <c r="B317" s="81">
        <v>2</v>
      </c>
      <c r="C317" s="81">
        <v>2</v>
      </c>
      <c r="D317" s="81">
        <v>2</v>
      </c>
      <c r="E317" s="81">
        <v>2</v>
      </c>
      <c r="F317" s="81">
        <v>2</v>
      </c>
      <c r="G317" s="81">
        <v>2</v>
      </c>
      <c r="H317" s="81">
        <v>2</v>
      </c>
      <c r="I317" s="81" t="s">
        <v>1035</v>
      </c>
      <c r="J317" s="79"/>
      <c r="K317" s="79"/>
      <c r="L317" s="79"/>
      <c r="M317" s="79"/>
      <c r="N317" s="79"/>
    </row>
    <row r="318" ht="26" spans="1:14">
      <c r="A318" s="81" t="s">
        <v>702</v>
      </c>
      <c r="B318" s="81">
        <v>2</v>
      </c>
      <c r="C318" s="81">
        <v>2</v>
      </c>
      <c r="D318" s="81">
        <v>2</v>
      </c>
      <c r="E318" s="81">
        <v>2</v>
      </c>
      <c r="F318" s="81">
        <v>2</v>
      </c>
      <c r="G318" s="81">
        <v>2</v>
      </c>
      <c r="H318" s="81">
        <v>2</v>
      </c>
      <c r="I318" s="81" t="s">
        <v>1035</v>
      </c>
      <c r="J318" s="79"/>
      <c r="K318" s="79"/>
      <c r="L318" s="79"/>
      <c r="M318" s="79"/>
      <c r="N318" s="79"/>
    </row>
    <row r="319" ht="26" spans="1:14">
      <c r="A319" s="81" t="s">
        <v>703</v>
      </c>
      <c r="B319" s="81">
        <v>2</v>
      </c>
      <c r="C319" s="81">
        <v>2</v>
      </c>
      <c r="D319" s="81">
        <v>2</v>
      </c>
      <c r="E319" s="81">
        <v>2</v>
      </c>
      <c r="F319" s="81">
        <v>2</v>
      </c>
      <c r="G319" s="81">
        <v>2</v>
      </c>
      <c r="H319" s="81">
        <v>2</v>
      </c>
      <c r="I319" s="81" t="s">
        <v>1035</v>
      </c>
      <c r="J319" s="79"/>
      <c r="K319" s="79"/>
      <c r="L319" s="79"/>
      <c r="M319" s="79"/>
      <c r="N319" s="79"/>
    </row>
    <row r="320" ht="26" spans="1:14">
      <c r="A320" s="81" t="s">
        <v>704</v>
      </c>
      <c r="B320" s="81">
        <v>2</v>
      </c>
      <c r="C320" s="81">
        <v>2</v>
      </c>
      <c r="D320" s="81">
        <v>2</v>
      </c>
      <c r="E320" s="81">
        <v>2</v>
      </c>
      <c r="F320" s="81">
        <v>2</v>
      </c>
      <c r="G320" s="81">
        <v>2</v>
      </c>
      <c r="H320" s="81">
        <v>2</v>
      </c>
      <c r="I320" s="81" t="s">
        <v>1035</v>
      </c>
      <c r="J320" s="79"/>
      <c r="K320" s="79"/>
      <c r="L320" s="79"/>
      <c r="M320" s="79"/>
      <c r="N320" s="79"/>
    </row>
    <row r="321" ht="26" spans="1:14">
      <c r="A321" s="81" t="s">
        <v>705</v>
      </c>
      <c r="B321" s="81">
        <v>2</v>
      </c>
      <c r="C321" s="81">
        <v>2</v>
      </c>
      <c r="D321" s="81">
        <v>2</v>
      </c>
      <c r="E321" s="81">
        <v>2</v>
      </c>
      <c r="F321" s="81">
        <v>2</v>
      </c>
      <c r="G321" s="81">
        <v>2</v>
      </c>
      <c r="H321" s="81">
        <v>2</v>
      </c>
      <c r="I321" s="81" t="s">
        <v>1035</v>
      </c>
      <c r="J321" s="79"/>
      <c r="K321" s="79"/>
      <c r="L321" s="79"/>
      <c r="M321" s="79"/>
      <c r="N321" s="79"/>
    </row>
    <row r="322" ht="26" spans="1:14">
      <c r="A322" s="81" t="s">
        <v>706</v>
      </c>
      <c r="B322" s="81">
        <v>2</v>
      </c>
      <c r="C322" s="81">
        <v>2</v>
      </c>
      <c r="D322" s="81">
        <v>2</v>
      </c>
      <c r="E322" s="81">
        <v>2</v>
      </c>
      <c r="F322" s="81">
        <v>2</v>
      </c>
      <c r="G322" s="81">
        <v>2</v>
      </c>
      <c r="H322" s="81">
        <v>2</v>
      </c>
      <c r="I322" s="81" t="s">
        <v>1035</v>
      </c>
      <c r="J322" s="79"/>
      <c r="K322" s="79"/>
      <c r="L322" s="79"/>
      <c r="M322" s="79"/>
      <c r="N322" s="79"/>
    </row>
    <row r="323" ht="26" spans="1:14">
      <c r="A323" s="81" t="s">
        <v>708</v>
      </c>
      <c r="B323" s="81">
        <v>2</v>
      </c>
      <c r="C323" s="81">
        <v>2</v>
      </c>
      <c r="D323" s="81">
        <v>2</v>
      </c>
      <c r="E323" s="81">
        <v>2</v>
      </c>
      <c r="F323" s="81">
        <v>2</v>
      </c>
      <c r="G323" s="81">
        <v>2</v>
      </c>
      <c r="H323" s="81">
        <v>2</v>
      </c>
      <c r="I323" s="81" t="s">
        <v>1035</v>
      </c>
      <c r="J323" s="79"/>
      <c r="K323" s="79"/>
      <c r="L323" s="79"/>
      <c r="M323" s="79"/>
      <c r="N323" s="79"/>
    </row>
    <row r="324" ht="26" spans="1:14">
      <c r="A324" s="81" t="s">
        <v>709</v>
      </c>
      <c r="B324" s="81">
        <v>2</v>
      </c>
      <c r="C324" s="81">
        <v>2</v>
      </c>
      <c r="D324" s="81">
        <v>2</v>
      </c>
      <c r="E324" s="81">
        <v>2</v>
      </c>
      <c r="F324" s="81">
        <v>2</v>
      </c>
      <c r="G324" s="81">
        <v>2</v>
      </c>
      <c r="H324" s="81">
        <v>2</v>
      </c>
      <c r="I324" s="81" t="s">
        <v>1035</v>
      </c>
      <c r="J324" s="79"/>
      <c r="K324" s="79"/>
      <c r="L324" s="79"/>
      <c r="M324" s="79"/>
      <c r="N324" s="79"/>
    </row>
    <row r="325" ht="26" spans="1:14">
      <c r="A325" s="81" t="s">
        <v>710</v>
      </c>
      <c r="B325" s="81">
        <v>2</v>
      </c>
      <c r="C325" s="81">
        <v>2</v>
      </c>
      <c r="D325" s="81">
        <v>2</v>
      </c>
      <c r="E325" s="81">
        <v>2</v>
      </c>
      <c r="F325" s="81">
        <v>2</v>
      </c>
      <c r="G325" s="81">
        <v>2</v>
      </c>
      <c r="H325" s="81">
        <v>2</v>
      </c>
      <c r="I325" s="81" t="s">
        <v>1035</v>
      </c>
      <c r="J325" s="79"/>
      <c r="K325" s="79"/>
      <c r="L325" s="79"/>
      <c r="M325" s="79"/>
      <c r="N325" s="79"/>
    </row>
    <row r="326" ht="26" spans="1:14">
      <c r="A326" s="81" t="s">
        <v>714</v>
      </c>
      <c r="B326" s="81">
        <v>2</v>
      </c>
      <c r="C326" s="81">
        <v>2</v>
      </c>
      <c r="D326" s="81">
        <v>2</v>
      </c>
      <c r="E326" s="81">
        <v>2</v>
      </c>
      <c r="F326" s="81">
        <v>2</v>
      </c>
      <c r="G326" s="81">
        <v>2</v>
      </c>
      <c r="H326" s="81">
        <v>2</v>
      </c>
      <c r="I326" s="81" t="s">
        <v>1035</v>
      </c>
      <c r="J326" s="79"/>
      <c r="K326" s="79"/>
      <c r="L326" s="79"/>
      <c r="M326" s="79"/>
      <c r="N326" s="79"/>
    </row>
    <row r="327" ht="26" spans="1:14">
      <c r="A327" s="81" t="s">
        <v>715</v>
      </c>
      <c r="B327" s="81">
        <v>2</v>
      </c>
      <c r="C327" s="81">
        <v>2</v>
      </c>
      <c r="D327" s="81">
        <v>2</v>
      </c>
      <c r="E327" s="81">
        <v>2</v>
      </c>
      <c r="F327" s="81">
        <v>2</v>
      </c>
      <c r="G327" s="81">
        <v>2</v>
      </c>
      <c r="H327" s="81">
        <v>2</v>
      </c>
      <c r="I327" s="81" t="s">
        <v>1035</v>
      </c>
      <c r="J327" s="79"/>
      <c r="K327" s="79"/>
      <c r="L327" s="79"/>
      <c r="M327" s="79"/>
      <c r="N327" s="79"/>
    </row>
    <row r="328" ht="26" spans="1:14">
      <c r="A328" s="81" t="s">
        <v>716</v>
      </c>
      <c r="B328" s="81">
        <v>2</v>
      </c>
      <c r="C328" s="81">
        <v>2</v>
      </c>
      <c r="D328" s="81">
        <v>2</v>
      </c>
      <c r="E328" s="81">
        <v>2</v>
      </c>
      <c r="F328" s="81">
        <v>2</v>
      </c>
      <c r="G328" s="81">
        <v>2</v>
      </c>
      <c r="H328" s="81">
        <v>2</v>
      </c>
      <c r="I328" s="81" t="s">
        <v>1035</v>
      </c>
      <c r="J328" s="79"/>
      <c r="K328" s="79"/>
      <c r="L328" s="79"/>
      <c r="M328" s="79"/>
      <c r="N328" s="79"/>
    </row>
    <row r="329" ht="26" spans="1:14">
      <c r="A329" s="81" t="s">
        <v>717</v>
      </c>
      <c r="B329" s="81">
        <v>2</v>
      </c>
      <c r="C329" s="81">
        <v>2</v>
      </c>
      <c r="D329" s="81">
        <v>2</v>
      </c>
      <c r="E329" s="81">
        <v>2</v>
      </c>
      <c r="F329" s="81">
        <v>2</v>
      </c>
      <c r="G329" s="81">
        <v>2</v>
      </c>
      <c r="H329" s="81">
        <v>2</v>
      </c>
      <c r="I329" s="81" t="s">
        <v>1035</v>
      </c>
      <c r="J329" s="79"/>
      <c r="K329" s="79"/>
      <c r="L329" s="79"/>
      <c r="M329" s="79"/>
      <c r="N329" s="79"/>
    </row>
    <row r="330" ht="26" spans="1:14">
      <c r="A330" s="81" t="s">
        <v>718</v>
      </c>
      <c r="B330" s="81">
        <v>2</v>
      </c>
      <c r="C330" s="81">
        <v>2</v>
      </c>
      <c r="D330" s="81">
        <v>2</v>
      </c>
      <c r="E330" s="81">
        <v>2</v>
      </c>
      <c r="F330" s="81">
        <v>2</v>
      </c>
      <c r="G330" s="81">
        <v>2</v>
      </c>
      <c r="H330" s="81">
        <v>2</v>
      </c>
      <c r="I330" s="81" t="s">
        <v>1035</v>
      </c>
      <c r="J330" s="79"/>
      <c r="K330" s="79"/>
      <c r="L330" s="79"/>
      <c r="M330" s="79"/>
      <c r="N330" s="79"/>
    </row>
    <row r="331" ht="26" spans="1:14">
      <c r="A331" s="81" t="s">
        <v>719</v>
      </c>
      <c r="B331" s="81">
        <v>2</v>
      </c>
      <c r="C331" s="81">
        <v>2</v>
      </c>
      <c r="D331" s="81">
        <v>2</v>
      </c>
      <c r="E331" s="81">
        <v>2</v>
      </c>
      <c r="F331" s="81">
        <v>2</v>
      </c>
      <c r="G331" s="81">
        <v>2</v>
      </c>
      <c r="H331" s="81">
        <v>2</v>
      </c>
      <c r="I331" s="81" t="s">
        <v>1035</v>
      </c>
      <c r="J331" s="79"/>
      <c r="K331" s="79"/>
      <c r="L331" s="79"/>
      <c r="M331" s="79"/>
      <c r="N331" s="79"/>
    </row>
    <row r="332" ht="26" spans="1:14">
      <c r="A332" s="81" t="s">
        <v>720</v>
      </c>
      <c r="B332" s="81">
        <v>2</v>
      </c>
      <c r="C332" s="81">
        <v>2</v>
      </c>
      <c r="D332" s="81">
        <v>2</v>
      </c>
      <c r="E332" s="81">
        <v>2</v>
      </c>
      <c r="F332" s="81">
        <v>2</v>
      </c>
      <c r="G332" s="81">
        <v>2</v>
      </c>
      <c r="H332" s="81">
        <v>2</v>
      </c>
      <c r="I332" s="81" t="s">
        <v>1035</v>
      </c>
      <c r="J332" s="79"/>
      <c r="K332" s="79"/>
      <c r="L332" s="79"/>
      <c r="M332" s="79"/>
      <c r="N332" s="79"/>
    </row>
    <row r="333" ht="26" spans="1:14">
      <c r="A333" s="81" t="s">
        <v>721</v>
      </c>
      <c r="B333" s="81">
        <v>2</v>
      </c>
      <c r="C333" s="81">
        <v>2</v>
      </c>
      <c r="D333" s="81">
        <v>2</v>
      </c>
      <c r="E333" s="81">
        <v>2</v>
      </c>
      <c r="F333" s="81">
        <v>2</v>
      </c>
      <c r="G333" s="81">
        <v>2</v>
      </c>
      <c r="H333" s="81">
        <v>2</v>
      </c>
      <c r="I333" s="81" t="s">
        <v>1035</v>
      </c>
      <c r="J333" s="79"/>
      <c r="K333" s="79"/>
      <c r="L333" s="79"/>
      <c r="M333" s="79"/>
      <c r="N333" s="79"/>
    </row>
    <row r="334" ht="26" spans="1:14">
      <c r="A334" s="81" t="s">
        <v>722</v>
      </c>
      <c r="B334" s="81">
        <v>2</v>
      </c>
      <c r="C334" s="81">
        <v>2</v>
      </c>
      <c r="D334" s="81">
        <v>2</v>
      </c>
      <c r="E334" s="81">
        <v>2</v>
      </c>
      <c r="F334" s="81">
        <v>2</v>
      </c>
      <c r="G334" s="81">
        <v>2</v>
      </c>
      <c r="H334" s="81">
        <v>2</v>
      </c>
      <c r="I334" s="81" t="s">
        <v>1035</v>
      </c>
      <c r="J334" s="79"/>
      <c r="K334" s="79"/>
      <c r="L334" s="79"/>
      <c r="M334" s="79"/>
      <c r="N334" s="79"/>
    </row>
    <row r="335" ht="26" spans="1:14">
      <c r="A335" s="81" t="s">
        <v>723</v>
      </c>
      <c r="B335" s="81">
        <v>2</v>
      </c>
      <c r="C335" s="81">
        <v>2</v>
      </c>
      <c r="D335" s="81">
        <v>2</v>
      </c>
      <c r="E335" s="81">
        <v>2</v>
      </c>
      <c r="F335" s="81">
        <v>2</v>
      </c>
      <c r="G335" s="81">
        <v>2</v>
      </c>
      <c r="H335" s="81">
        <v>2</v>
      </c>
      <c r="I335" s="81" t="s">
        <v>1035</v>
      </c>
      <c r="J335" s="79"/>
      <c r="K335" s="79"/>
      <c r="L335" s="79"/>
      <c r="M335" s="79"/>
      <c r="N335" s="79"/>
    </row>
    <row r="336" ht="26" spans="1:14">
      <c r="A336" s="81" t="s">
        <v>727</v>
      </c>
      <c r="B336" s="81">
        <v>2</v>
      </c>
      <c r="C336" s="81">
        <v>2</v>
      </c>
      <c r="D336" s="81">
        <v>2</v>
      </c>
      <c r="E336" s="81">
        <v>2</v>
      </c>
      <c r="F336" s="81">
        <v>2</v>
      </c>
      <c r="G336" s="81">
        <v>2</v>
      </c>
      <c r="H336" s="81">
        <v>2</v>
      </c>
      <c r="I336" s="81" t="s">
        <v>1035</v>
      </c>
      <c r="J336" s="79"/>
      <c r="K336" s="79"/>
      <c r="L336" s="79"/>
      <c r="M336" s="79"/>
      <c r="N336" s="79"/>
    </row>
    <row r="337" ht="26" spans="1:14">
      <c r="A337" s="81" t="s">
        <v>728</v>
      </c>
      <c r="B337" s="81">
        <v>2</v>
      </c>
      <c r="C337" s="81">
        <v>2</v>
      </c>
      <c r="D337" s="81">
        <v>2</v>
      </c>
      <c r="E337" s="81">
        <v>2</v>
      </c>
      <c r="F337" s="81">
        <v>2</v>
      </c>
      <c r="G337" s="81">
        <v>2</v>
      </c>
      <c r="H337" s="81">
        <v>2</v>
      </c>
      <c r="I337" s="81" t="s">
        <v>1035</v>
      </c>
      <c r="J337" s="79"/>
      <c r="K337" s="79"/>
      <c r="L337" s="79"/>
      <c r="M337" s="79"/>
      <c r="N337" s="79"/>
    </row>
    <row r="338" ht="26" spans="1:14">
      <c r="A338" s="81" t="s">
        <v>729</v>
      </c>
      <c r="B338" s="81">
        <v>2</v>
      </c>
      <c r="C338" s="81">
        <v>2</v>
      </c>
      <c r="D338" s="81">
        <v>2</v>
      </c>
      <c r="E338" s="81">
        <v>2</v>
      </c>
      <c r="F338" s="81">
        <v>2</v>
      </c>
      <c r="G338" s="81">
        <v>2</v>
      </c>
      <c r="H338" s="81">
        <v>2</v>
      </c>
      <c r="I338" s="81" t="s">
        <v>1035</v>
      </c>
      <c r="J338" s="79"/>
      <c r="K338" s="79"/>
      <c r="L338" s="79"/>
      <c r="M338" s="79"/>
      <c r="N338" s="79"/>
    </row>
    <row r="339" ht="26" spans="1:14">
      <c r="A339" s="81" t="s">
        <v>732</v>
      </c>
      <c r="B339" s="81">
        <v>2</v>
      </c>
      <c r="C339" s="81">
        <v>2</v>
      </c>
      <c r="D339" s="81">
        <v>2</v>
      </c>
      <c r="E339" s="81">
        <v>2</v>
      </c>
      <c r="F339" s="81">
        <v>2</v>
      </c>
      <c r="G339" s="81">
        <v>2</v>
      </c>
      <c r="H339" s="81">
        <v>2</v>
      </c>
      <c r="I339" s="81" t="s">
        <v>1035</v>
      </c>
      <c r="J339" s="79"/>
      <c r="K339" s="79"/>
      <c r="L339" s="79"/>
      <c r="M339" s="79"/>
      <c r="N339" s="79"/>
    </row>
    <row r="340" ht="26" spans="1:14">
      <c r="A340" s="81" t="s">
        <v>733</v>
      </c>
      <c r="B340" s="81">
        <v>2</v>
      </c>
      <c r="C340" s="81">
        <v>2</v>
      </c>
      <c r="D340" s="81">
        <v>2</v>
      </c>
      <c r="E340" s="81">
        <v>2</v>
      </c>
      <c r="F340" s="81">
        <v>2</v>
      </c>
      <c r="G340" s="81">
        <v>2</v>
      </c>
      <c r="H340" s="81">
        <v>2</v>
      </c>
      <c r="I340" s="81" t="s">
        <v>1035</v>
      </c>
      <c r="J340" s="79"/>
      <c r="K340" s="79"/>
      <c r="L340" s="79"/>
      <c r="M340" s="79"/>
      <c r="N340" s="79"/>
    </row>
    <row r="341" ht="26" spans="1:14">
      <c r="A341" s="81" t="s">
        <v>734</v>
      </c>
      <c r="B341" s="81">
        <v>2</v>
      </c>
      <c r="C341" s="81">
        <v>2</v>
      </c>
      <c r="D341" s="81">
        <v>2</v>
      </c>
      <c r="E341" s="81">
        <v>2</v>
      </c>
      <c r="F341" s="81">
        <v>2</v>
      </c>
      <c r="G341" s="81">
        <v>2</v>
      </c>
      <c r="H341" s="81">
        <v>2</v>
      </c>
      <c r="I341" s="81" t="s">
        <v>1035</v>
      </c>
      <c r="J341" s="79"/>
      <c r="K341" s="79"/>
      <c r="L341" s="79"/>
      <c r="M341" s="79"/>
      <c r="N341" s="79"/>
    </row>
    <row r="342" ht="26" spans="1:14">
      <c r="A342" s="81" t="s">
        <v>735</v>
      </c>
      <c r="B342" s="81">
        <v>2</v>
      </c>
      <c r="C342" s="81">
        <v>2</v>
      </c>
      <c r="D342" s="81">
        <v>2</v>
      </c>
      <c r="E342" s="81">
        <v>2</v>
      </c>
      <c r="F342" s="81">
        <v>2</v>
      </c>
      <c r="G342" s="81">
        <v>2</v>
      </c>
      <c r="H342" s="81">
        <v>2</v>
      </c>
      <c r="I342" s="81" t="s">
        <v>1035</v>
      </c>
      <c r="J342" s="79"/>
      <c r="K342" s="79"/>
      <c r="L342" s="79"/>
      <c r="M342" s="79"/>
      <c r="N342" s="79"/>
    </row>
    <row r="343" ht="26" spans="1:14">
      <c r="A343" s="81" t="s">
        <v>737</v>
      </c>
      <c r="B343" s="81">
        <v>2</v>
      </c>
      <c r="C343" s="81">
        <v>2</v>
      </c>
      <c r="D343" s="81">
        <v>2</v>
      </c>
      <c r="E343" s="81">
        <v>2</v>
      </c>
      <c r="F343" s="81">
        <v>2</v>
      </c>
      <c r="G343" s="81">
        <v>2</v>
      </c>
      <c r="H343" s="81">
        <v>2</v>
      </c>
      <c r="I343" s="81" t="s">
        <v>1035</v>
      </c>
      <c r="J343" s="79"/>
      <c r="K343" s="79"/>
      <c r="L343" s="79"/>
      <c r="M343" s="79"/>
      <c r="N343" s="79"/>
    </row>
    <row r="344" ht="26" spans="1:14">
      <c r="A344" s="81" t="s">
        <v>738</v>
      </c>
      <c r="B344" s="81">
        <v>2</v>
      </c>
      <c r="C344" s="81">
        <v>2</v>
      </c>
      <c r="D344" s="81">
        <v>2</v>
      </c>
      <c r="E344" s="81">
        <v>2</v>
      </c>
      <c r="F344" s="81">
        <v>2</v>
      </c>
      <c r="G344" s="81">
        <v>2</v>
      </c>
      <c r="H344" s="81">
        <v>2</v>
      </c>
      <c r="I344" s="81" t="s">
        <v>1035</v>
      </c>
      <c r="J344" s="79"/>
      <c r="K344" s="79"/>
      <c r="L344" s="79"/>
      <c r="M344" s="79"/>
      <c r="N344" s="79"/>
    </row>
    <row r="345" ht="26" spans="1:14">
      <c r="A345" s="81" t="s">
        <v>739</v>
      </c>
      <c r="B345" s="81">
        <v>2</v>
      </c>
      <c r="C345" s="81">
        <v>2</v>
      </c>
      <c r="D345" s="81">
        <v>2</v>
      </c>
      <c r="E345" s="81">
        <v>2</v>
      </c>
      <c r="F345" s="81">
        <v>2</v>
      </c>
      <c r="G345" s="81">
        <v>2</v>
      </c>
      <c r="H345" s="81">
        <v>2</v>
      </c>
      <c r="I345" s="81" t="s">
        <v>1035</v>
      </c>
      <c r="J345" s="79"/>
      <c r="K345" s="79"/>
      <c r="L345" s="79"/>
      <c r="M345" s="79"/>
      <c r="N345" s="79"/>
    </row>
    <row r="346" ht="26" spans="1:14">
      <c r="A346" s="81" t="s">
        <v>740</v>
      </c>
      <c r="B346" s="81">
        <v>2</v>
      </c>
      <c r="C346" s="81">
        <v>2</v>
      </c>
      <c r="D346" s="81">
        <v>2</v>
      </c>
      <c r="E346" s="81">
        <v>2</v>
      </c>
      <c r="F346" s="81">
        <v>2</v>
      </c>
      <c r="G346" s="81">
        <v>2</v>
      </c>
      <c r="H346" s="81">
        <v>2</v>
      </c>
      <c r="I346" s="81" t="s">
        <v>1035</v>
      </c>
      <c r="J346" s="79"/>
      <c r="K346" s="79"/>
      <c r="L346" s="79"/>
      <c r="M346" s="79"/>
      <c r="N346" s="79"/>
    </row>
    <row r="347" ht="26" spans="1:14">
      <c r="A347" s="81" t="s">
        <v>741</v>
      </c>
      <c r="B347" s="81">
        <v>2</v>
      </c>
      <c r="C347" s="81">
        <v>2</v>
      </c>
      <c r="D347" s="81">
        <v>2</v>
      </c>
      <c r="E347" s="81">
        <v>2</v>
      </c>
      <c r="F347" s="81">
        <v>2</v>
      </c>
      <c r="G347" s="81">
        <v>2</v>
      </c>
      <c r="H347" s="81">
        <v>2</v>
      </c>
      <c r="I347" s="81" t="s">
        <v>1035</v>
      </c>
      <c r="J347" s="79"/>
      <c r="K347" s="79"/>
      <c r="L347" s="79"/>
      <c r="M347" s="79"/>
      <c r="N347" s="79"/>
    </row>
    <row r="348" ht="26" spans="1:14">
      <c r="A348" s="81" t="s">
        <v>742</v>
      </c>
      <c r="B348" s="81">
        <v>3</v>
      </c>
      <c r="C348" s="81">
        <v>3</v>
      </c>
      <c r="D348" s="81">
        <v>2</v>
      </c>
      <c r="E348" s="81">
        <v>2</v>
      </c>
      <c r="F348" s="81">
        <v>3</v>
      </c>
      <c r="G348" s="81">
        <v>2</v>
      </c>
      <c r="H348" s="81">
        <v>3</v>
      </c>
      <c r="I348" s="81" t="s">
        <v>1035</v>
      </c>
      <c r="J348" s="79"/>
      <c r="K348" s="79"/>
      <c r="L348" s="79"/>
      <c r="M348" s="79"/>
      <c r="N348" s="79"/>
    </row>
    <row r="349" ht="26" spans="1:14">
      <c r="A349" s="81" t="s">
        <v>743</v>
      </c>
      <c r="B349" s="81">
        <v>4</v>
      </c>
      <c r="C349" s="81">
        <v>4</v>
      </c>
      <c r="D349" s="81">
        <v>2</v>
      </c>
      <c r="E349" s="81">
        <v>3</v>
      </c>
      <c r="F349" s="81">
        <v>2</v>
      </c>
      <c r="G349" s="81">
        <v>3</v>
      </c>
      <c r="H349" s="81">
        <v>4</v>
      </c>
      <c r="I349" s="81" t="s">
        <v>1035</v>
      </c>
      <c r="J349" s="79"/>
      <c r="K349" s="79"/>
      <c r="L349" s="79"/>
      <c r="M349" s="79"/>
      <c r="N349" s="79"/>
    </row>
    <row r="350" ht="26" spans="1:14">
      <c r="A350" s="81" t="s">
        <v>747</v>
      </c>
      <c r="B350" s="81">
        <v>2</v>
      </c>
      <c r="C350" s="81">
        <v>2</v>
      </c>
      <c r="D350" s="81">
        <v>2</v>
      </c>
      <c r="E350" s="81">
        <v>2</v>
      </c>
      <c r="F350" s="81">
        <v>2</v>
      </c>
      <c r="G350" s="81">
        <v>2</v>
      </c>
      <c r="H350" s="81">
        <v>2</v>
      </c>
      <c r="I350" s="81" t="s">
        <v>1035</v>
      </c>
      <c r="J350" s="79"/>
      <c r="K350" s="79"/>
      <c r="L350" s="79"/>
      <c r="M350" s="79"/>
      <c r="N350" s="79"/>
    </row>
    <row r="351" ht="26" spans="1:14">
      <c r="A351" s="81" t="s">
        <v>749</v>
      </c>
      <c r="B351" s="81">
        <v>2</v>
      </c>
      <c r="C351" s="81">
        <v>2</v>
      </c>
      <c r="D351" s="81">
        <v>2</v>
      </c>
      <c r="E351" s="81">
        <v>2</v>
      </c>
      <c r="F351" s="81">
        <v>2</v>
      </c>
      <c r="G351" s="81">
        <v>2</v>
      </c>
      <c r="H351" s="81">
        <v>2</v>
      </c>
      <c r="I351" s="81" t="s">
        <v>1035</v>
      </c>
      <c r="J351" s="79"/>
      <c r="K351" s="79"/>
      <c r="L351" s="79"/>
      <c r="M351" s="79"/>
      <c r="N351" s="79"/>
    </row>
    <row r="352" ht="26" spans="1:14">
      <c r="A352" s="81" t="s">
        <v>750</v>
      </c>
      <c r="B352" s="81">
        <v>2</v>
      </c>
      <c r="C352" s="81">
        <v>2</v>
      </c>
      <c r="D352" s="81">
        <v>2</v>
      </c>
      <c r="E352" s="81">
        <v>2</v>
      </c>
      <c r="F352" s="81">
        <v>2</v>
      </c>
      <c r="G352" s="81">
        <v>2</v>
      </c>
      <c r="H352" s="81">
        <v>2</v>
      </c>
      <c r="I352" s="81" t="s">
        <v>1035</v>
      </c>
      <c r="J352" s="79"/>
      <c r="K352" s="79"/>
      <c r="L352" s="79"/>
      <c r="M352" s="79"/>
      <c r="N352" s="79"/>
    </row>
    <row r="353" ht="26" spans="1:14">
      <c r="A353" s="81" t="s">
        <v>751</v>
      </c>
      <c r="B353" s="81">
        <v>4</v>
      </c>
      <c r="C353" s="81">
        <v>4</v>
      </c>
      <c r="D353" s="81">
        <v>2</v>
      </c>
      <c r="E353" s="81">
        <v>3</v>
      </c>
      <c r="F353" s="81">
        <v>2</v>
      </c>
      <c r="G353" s="81">
        <v>3</v>
      </c>
      <c r="H353" s="81">
        <v>4</v>
      </c>
      <c r="I353" s="81" t="s">
        <v>1035</v>
      </c>
      <c r="J353" s="79"/>
      <c r="K353" s="79"/>
      <c r="L353" s="79"/>
      <c r="M353" s="79"/>
      <c r="N353" s="79"/>
    </row>
    <row r="354" ht="26" spans="1:14">
      <c r="A354" s="81" t="s">
        <v>753</v>
      </c>
      <c r="B354" s="81">
        <v>5</v>
      </c>
      <c r="C354" s="81">
        <v>5</v>
      </c>
      <c r="D354" s="81">
        <v>2</v>
      </c>
      <c r="E354" s="81">
        <v>3</v>
      </c>
      <c r="F354" s="81">
        <v>2</v>
      </c>
      <c r="G354" s="81">
        <v>3</v>
      </c>
      <c r="H354" s="81">
        <v>5</v>
      </c>
      <c r="I354" s="81" t="s">
        <v>1035</v>
      </c>
      <c r="J354" s="79"/>
      <c r="K354" s="79"/>
      <c r="L354" s="79"/>
      <c r="M354" s="79"/>
      <c r="N354" s="79"/>
    </row>
    <row r="355" ht="26" spans="1:14">
      <c r="A355" s="81" t="s">
        <v>757</v>
      </c>
      <c r="B355" s="81">
        <v>4</v>
      </c>
      <c r="C355" s="81">
        <v>4</v>
      </c>
      <c r="D355" s="81">
        <v>2</v>
      </c>
      <c r="E355" s="81">
        <v>3</v>
      </c>
      <c r="F355" s="81">
        <v>2</v>
      </c>
      <c r="G355" s="81">
        <v>3</v>
      </c>
      <c r="H355" s="81">
        <v>4</v>
      </c>
      <c r="I355" s="81" t="s">
        <v>1035</v>
      </c>
      <c r="J355" s="79"/>
      <c r="K355" s="79"/>
      <c r="L355" s="79"/>
      <c r="M355" s="79"/>
      <c r="N355" s="79"/>
    </row>
    <row r="356" ht="26" spans="1:14">
      <c r="A356" s="81" t="s">
        <v>759</v>
      </c>
      <c r="B356" s="81">
        <v>4</v>
      </c>
      <c r="C356" s="81">
        <v>4</v>
      </c>
      <c r="D356" s="81">
        <v>2</v>
      </c>
      <c r="E356" s="81">
        <v>3</v>
      </c>
      <c r="F356" s="81">
        <v>2</v>
      </c>
      <c r="G356" s="81">
        <v>3</v>
      </c>
      <c r="H356" s="81">
        <v>4</v>
      </c>
      <c r="I356" s="81" t="s">
        <v>1035</v>
      </c>
      <c r="J356" s="79"/>
      <c r="K356" s="79"/>
      <c r="L356" s="79"/>
      <c r="M356" s="79"/>
      <c r="N356" s="79"/>
    </row>
    <row r="357" ht="26" spans="1:14">
      <c r="A357" s="81" t="s">
        <v>761</v>
      </c>
      <c r="B357" s="81">
        <v>4</v>
      </c>
      <c r="C357" s="81">
        <v>4</v>
      </c>
      <c r="D357" s="81">
        <v>2</v>
      </c>
      <c r="E357" s="81">
        <v>3</v>
      </c>
      <c r="F357" s="81">
        <v>2</v>
      </c>
      <c r="G357" s="81">
        <v>3</v>
      </c>
      <c r="H357" s="81">
        <v>4</v>
      </c>
      <c r="I357" s="81" t="s">
        <v>1035</v>
      </c>
      <c r="J357" s="79"/>
      <c r="K357" s="79"/>
      <c r="L357" s="79"/>
      <c r="M357" s="79"/>
      <c r="N357" s="79"/>
    </row>
    <row r="358" ht="26" spans="1:14">
      <c r="A358" s="81" t="s">
        <v>763</v>
      </c>
      <c r="B358" s="81">
        <v>4</v>
      </c>
      <c r="C358" s="81">
        <v>4</v>
      </c>
      <c r="D358" s="81">
        <v>2</v>
      </c>
      <c r="E358" s="81">
        <v>3</v>
      </c>
      <c r="F358" s="81">
        <v>2</v>
      </c>
      <c r="G358" s="81">
        <v>3</v>
      </c>
      <c r="H358" s="81">
        <v>4</v>
      </c>
      <c r="I358" s="81" t="s">
        <v>1035</v>
      </c>
      <c r="J358" s="79"/>
      <c r="K358" s="79"/>
      <c r="L358" s="79"/>
      <c r="M358" s="79"/>
      <c r="N358" s="79"/>
    </row>
    <row r="359" ht="26" spans="1:14">
      <c r="A359" s="81" t="s">
        <v>765</v>
      </c>
      <c r="B359" s="81">
        <v>4</v>
      </c>
      <c r="C359" s="81">
        <v>4</v>
      </c>
      <c r="D359" s="81">
        <v>2</v>
      </c>
      <c r="E359" s="81">
        <v>3</v>
      </c>
      <c r="F359" s="81">
        <v>2</v>
      </c>
      <c r="G359" s="81">
        <v>3</v>
      </c>
      <c r="H359" s="81">
        <v>4</v>
      </c>
      <c r="I359" s="81" t="s">
        <v>1035</v>
      </c>
      <c r="J359" s="79"/>
      <c r="K359" s="79"/>
      <c r="L359" s="79"/>
      <c r="M359" s="79"/>
      <c r="N359" s="79"/>
    </row>
    <row r="360" ht="26" spans="1:14">
      <c r="A360" s="81" t="s">
        <v>768</v>
      </c>
      <c r="B360" s="81">
        <v>4</v>
      </c>
      <c r="C360" s="81">
        <v>4</v>
      </c>
      <c r="D360" s="81">
        <v>2</v>
      </c>
      <c r="E360" s="81">
        <v>3</v>
      </c>
      <c r="F360" s="81">
        <v>2</v>
      </c>
      <c r="G360" s="81">
        <v>3</v>
      </c>
      <c r="H360" s="81">
        <v>4</v>
      </c>
      <c r="I360" s="81" t="s">
        <v>1035</v>
      </c>
      <c r="J360" s="79"/>
      <c r="K360" s="79"/>
      <c r="L360" s="79"/>
      <c r="M360" s="79"/>
      <c r="N360" s="79"/>
    </row>
    <row r="361" ht="26" spans="1:14">
      <c r="A361" s="81" t="s">
        <v>770</v>
      </c>
      <c r="B361" s="81">
        <v>4</v>
      </c>
      <c r="C361" s="81">
        <v>4</v>
      </c>
      <c r="D361" s="81">
        <v>2</v>
      </c>
      <c r="E361" s="81">
        <v>3</v>
      </c>
      <c r="F361" s="81">
        <v>2</v>
      </c>
      <c r="G361" s="81">
        <v>3</v>
      </c>
      <c r="H361" s="81">
        <v>4</v>
      </c>
      <c r="I361" s="81" t="s">
        <v>1035</v>
      </c>
      <c r="J361" s="79"/>
      <c r="K361" s="79"/>
      <c r="L361" s="79"/>
      <c r="M361" s="79"/>
      <c r="N361" s="79"/>
    </row>
    <row r="362" ht="26" spans="1:14">
      <c r="A362" s="81" t="s">
        <v>772</v>
      </c>
      <c r="B362" s="81">
        <v>4</v>
      </c>
      <c r="C362" s="81">
        <v>4</v>
      </c>
      <c r="D362" s="81">
        <v>2</v>
      </c>
      <c r="E362" s="81">
        <v>3</v>
      </c>
      <c r="F362" s="81">
        <v>2</v>
      </c>
      <c r="G362" s="81">
        <v>3</v>
      </c>
      <c r="H362" s="81">
        <v>4</v>
      </c>
      <c r="I362" s="81" t="s">
        <v>1035</v>
      </c>
      <c r="J362" s="79"/>
      <c r="K362" s="79"/>
      <c r="L362" s="79"/>
      <c r="M362" s="79"/>
      <c r="N362" s="79"/>
    </row>
    <row r="363" ht="26" spans="1:14">
      <c r="A363" s="81" t="s">
        <v>774</v>
      </c>
      <c r="B363" s="81">
        <v>4</v>
      </c>
      <c r="C363" s="81">
        <v>4</v>
      </c>
      <c r="D363" s="81">
        <v>2</v>
      </c>
      <c r="E363" s="81">
        <v>3</v>
      </c>
      <c r="F363" s="81">
        <v>2</v>
      </c>
      <c r="G363" s="81">
        <v>3</v>
      </c>
      <c r="H363" s="81">
        <v>4</v>
      </c>
      <c r="I363" s="81" t="s">
        <v>1035</v>
      </c>
      <c r="J363" s="79"/>
      <c r="K363" s="79"/>
      <c r="L363" s="79"/>
      <c r="M363" s="79"/>
      <c r="N363" s="79"/>
    </row>
    <row r="364" ht="26" spans="1:14">
      <c r="A364" s="81" t="s">
        <v>777</v>
      </c>
      <c r="B364" s="81">
        <v>4</v>
      </c>
      <c r="C364" s="81">
        <v>4</v>
      </c>
      <c r="D364" s="81">
        <v>2</v>
      </c>
      <c r="E364" s="81">
        <v>3</v>
      </c>
      <c r="F364" s="81">
        <v>2</v>
      </c>
      <c r="G364" s="81">
        <v>3</v>
      </c>
      <c r="H364" s="81">
        <v>4</v>
      </c>
      <c r="I364" s="81" t="s">
        <v>1035</v>
      </c>
      <c r="J364" s="79"/>
      <c r="K364" s="79"/>
      <c r="L364" s="79"/>
      <c r="M364" s="79"/>
      <c r="N364" s="79"/>
    </row>
    <row r="365" ht="26" spans="1:14">
      <c r="A365" s="81" t="s">
        <v>779</v>
      </c>
      <c r="B365" s="81">
        <v>2</v>
      </c>
      <c r="C365" s="81">
        <v>2</v>
      </c>
      <c r="D365" s="81">
        <v>2</v>
      </c>
      <c r="E365" s="81">
        <v>2</v>
      </c>
      <c r="F365" s="81">
        <v>2</v>
      </c>
      <c r="G365" s="81">
        <v>2</v>
      </c>
      <c r="H365" s="81">
        <v>2</v>
      </c>
      <c r="I365" s="81" t="s">
        <v>1035</v>
      </c>
      <c r="J365" s="79"/>
      <c r="K365" s="79"/>
      <c r="L365" s="79"/>
      <c r="M365" s="79"/>
      <c r="N365" s="79"/>
    </row>
    <row r="366" ht="26" spans="1:14">
      <c r="A366" s="81" t="s">
        <v>781</v>
      </c>
      <c r="B366" s="81">
        <v>2</v>
      </c>
      <c r="C366" s="81">
        <v>2</v>
      </c>
      <c r="D366" s="81">
        <v>2</v>
      </c>
      <c r="E366" s="81">
        <v>2</v>
      </c>
      <c r="F366" s="81">
        <v>2</v>
      </c>
      <c r="G366" s="81">
        <v>2</v>
      </c>
      <c r="H366" s="81">
        <v>2</v>
      </c>
      <c r="I366" s="81" t="s">
        <v>1035</v>
      </c>
      <c r="J366" s="79"/>
      <c r="K366" s="79"/>
      <c r="L366" s="79"/>
      <c r="M366" s="79"/>
      <c r="N366" s="79"/>
    </row>
    <row r="367" ht="26" spans="1:14">
      <c r="A367" s="81" t="s">
        <v>783</v>
      </c>
      <c r="B367" s="81">
        <v>4</v>
      </c>
      <c r="C367" s="81">
        <v>4</v>
      </c>
      <c r="D367" s="81">
        <v>2</v>
      </c>
      <c r="E367" s="81">
        <v>3</v>
      </c>
      <c r="F367" s="81">
        <v>2</v>
      </c>
      <c r="G367" s="81">
        <v>3</v>
      </c>
      <c r="H367" s="81">
        <v>4</v>
      </c>
      <c r="I367" s="81" t="s">
        <v>1035</v>
      </c>
      <c r="J367" s="79"/>
      <c r="K367" s="79"/>
      <c r="L367" s="79"/>
      <c r="M367" s="79"/>
      <c r="N367" s="79"/>
    </row>
    <row r="368" ht="26" spans="1:14">
      <c r="A368" s="81" t="s">
        <v>784</v>
      </c>
      <c r="B368" s="81">
        <v>4</v>
      </c>
      <c r="C368" s="81">
        <v>4</v>
      </c>
      <c r="D368" s="81">
        <v>2</v>
      </c>
      <c r="E368" s="81">
        <v>3</v>
      </c>
      <c r="F368" s="81">
        <v>2</v>
      </c>
      <c r="G368" s="81">
        <v>3</v>
      </c>
      <c r="H368" s="81">
        <v>4</v>
      </c>
      <c r="I368" s="81" t="s">
        <v>1035</v>
      </c>
      <c r="J368" s="79"/>
      <c r="K368" s="79"/>
      <c r="L368" s="79"/>
      <c r="M368" s="79"/>
      <c r="N368" s="79"/>
    </row>
    <row r="369" ht="26" spans="1:14">
      <c r="A369" s="81" t="s">
        <v>785</v>
      </c>
      <c r="B369" s="81">
        <v>4</v>
      </c>
      <c r="C369" s="81">
        <v>4</v>
      </c>
      <c r="D369" s="81">
        <v>2</v>
      </c>
      <c r="E369" s="81">
        <v>3</v>
      </c>
      <c r="F369" s="81">
        <v>2</v>
      </c>
      <c r="G369" s="81">
        <v>3</v>
      </c>
      <c r="H369" s="81">
        <v>4</v>
      </c>
      <c r="I369" s="81" t="s">
        <v>1035</v>
      </c>
      <c r="J369" s="79"/>
      <c r="K369" s="79"/>
      <c r="L369" s="79"/>
      <c r="M369" s="79"/>
      <c r="N369" s="79"/>
    </row>
    <row r="370" ht="26" spans="1:14">
      <c r="A370" s="81" t="s">
        <v>788</v>
      </c>
      <c r="B370" s="81">
        <v>5</v>
      </c>
      <c r="C370" s="81">
        <v>5</v>
      </c>
      <c r="D370" s="81">
        <v>2</v>
      </c>
      <c r="E370" s="81">
        <v>3</v>
      </c>
      <c r="F370" s="81">
        <v>2</v>
      </c>
      <c r="G370" s="81">
        <v>3</v>
      </c>
      <c r="H370" s="81">
        <v>5</v>
      </c>
      <c r="I370" s="81" t="s">
        <v>1035</v>
      </c>
      <c r="J370" s="79"/>
      <c r="K370" s="79"/>
      <c r="L370" s="79"/>
      <c r="M370" s="79"/>
      <c r="N370" s="79"/>
    </row>
    <row r="371" ht="26" spans="1:14">
      <c r="A371" s="81" t="s">
        <v>790</v>
      </c>
      <c r="B371" s="81">
        <v>4</v>
      </c>
      <c r="C371" s="81">
        <v>4</v>
      </c>
      <c r="D371" s="81">
        <v>2</v>
      </c>
      <c r="E371" s="81">
        <v>3</v>
      </c>
      <c r="F371" s="81">
        <v>2</v>
      </c>
      <c r="G371" s="81">
        <v>3</v>
      </c>
      <c r="H371" s="81">
        <v>4</v>
      </c>
      <c r="I371" s="81" t="s">
        <v>1035</v>
      </c>
      <c r="J371" s="79"/>
      <c r="K371" s="79"/>
      <c r="L371" s="79"/>
      <c r="M371" s="79"/>
      <c r="N371" s="79"/>
    </row>
    <row r="372" ht="26" spans="1:14">
      <c r="A372" s="81" t="s">
        <v>791</v>
      </c>
      <c r="B372" s="81">
        <v>4</v>
      </c>
      <c r="C372" s="81">
        <v>4</v>
      </c>
      <c r="D372" s="81">
        <v>2</v>
      </c>
      <c r="E372" s="81">
        <v>3</v>
      </c>
      <c r="F372" s="81">
        <v>2</v>
      </c>
      <c r="G372" s="81">
        <v>3</v>
      </c>
      <c r="H372" s="81">
        <v>4</v>
      </c>
      <c r="I372" s="81" t="s">
        <v>1035</v>
      </c>
      <c r="J372" s="79"/>
      <c r="K372" s="79"/>
      <c r="L372" s="79"/>
      <c r="M372" s="79"/>
      <c r="N372" s="79"/>
    </row>
    <row r="373" ht="26" spans="1:14">
      <c r="A373" s="81" t="s">
        <v>794</v>
      </c>
      <c r="B373" s="81">
        <v>4</v>
      </c>
      <c r="C373" s="81">
        <v>4</v>
      </c>
      <c r="D373" s="81">
        <v>2</v>
      </c>
      <c r="E373" s="81">
        <v>3</v>
      </c>
      <c r="F373" s="81">
        <v>2</v>
      </c>
      <c r="G373" s="81">
        <v>3</v>
      </c>
      <c r="H373" s="81">
        <v>4</v>
      </c>
      <c r="I373" s="81" t="s">
        <v>1035</v>
      </c>
      <c r="J373" s="79"/>
      <c r="K373" s="79"/>
      <c r="L373" s="79"/>
      <c r="M373" s="79"/>
      <c r="N373" s="79"/>
    </row>
    <row r="374" ht="26" spans="1:14">
      <c r="A374" s="81" t="s">
        <v>795</v>
      </c>
      <c r="B374" s="81">
        <v>4</v>
      </c>
      <c r="C374" s="81">
        <v>4</v>
      </c>
      <c r="D374" s="81">
        <v>2</v>
      </c>
      <c r="E374" s="81">
        <v>3</v>
      </c>
      <c r="F374" s="81">
        <v>2</v>
      </c>
      <c r="G374" s="81">
        <v>3</v>
      </c>
      <c r="H374" s="81">
        <v>4</v>
      </c>
      <c r="I374" s="81" t="s">
        <v>1035</v>
      </c>
      <c r="J374" s="79"/>
      <c r="K374" s="79"/>
      <c r="L374" s="79"/>
      <c r="M374" s="79"/>
      <c r="N374" s="79"/>
    </row>
    <row r="375" ht="26" spans="1:14">
      <c r="A375" s="81" t="s">
        <v>797</v>
      </c>
      <c r="B375" s="81">
        <v>4</v>
      </c>
      <c r="C375" s="81">
        <v>4</v>
      </c>
      <c r="D375" s="81">
        <v>2</v>
      </c>
      <c r="E375" s="81">
        <v>3</v>
      </c>
      <c r="F375" s="81">
        <v>2</v>
      </c>
      <c r="G375" s="81">
        <v>3</v>
      </c>
      <c r="H375" s="81">
        <v>4</v>
      </c>
      <c r="I375" s="81" t="s">
        <v>1035</v>
      </c>
      <c r="J375" s="79"/>
      <c r="K375" s="79"/>
      <c r="L375" s="79"/>
      <c r="M375" s="79"/>
      <c r="N375" s="79"/>
    </row>
    <row r="376" ht="26" spans="1:14">
      <c r="A376" s="81" t="s">
        <v>799</v>
      </c>
      <c r="B376" s="81">
        <v>5</v>
      </c>
      <c r="C376" s="81">
        <v>5</v>
      </c>
      <c r="D376" s="81">
        <v>2</v>
      </c>
      <c r="E376" s="81">
        <v>3</v>
      </c>
      <c r="F376" s="81">
        <v>2</v>
      </c>
      <c r="G376" s="81">
        <v>3</v>
      </c>
      <c r="H376" s="81">
        <v>5</v>
      </c>
      <c r="I376" s="81" t="s">
        <v>1035</v>
      </c>
      <c r="J376" s="79"/>
      <c r="K376" s="79"/>
      <c r="L376" s="79"/>
      <c r="M376" s="79"/>
      <c r="N376" s="79"/>
    </row>
    <row r="377" ht="26" spans="1:14">
      <c r="A377" s="81" t="s">
        <v>801</v>
      </c>
      <c r="B377" s="81">
        <v>2</v>
      </c>
      <c r="C377" s="81">
        <v>2</v>
      </c>
      <c r="D377" s="81">
        <v>2</v>
      </c>
      <c r="E377" s="81">
        <v>2</v>
      </c>
      <c r="F377" s="81">
        <v>2</v>
      </c>
      <c r="G377" s="81">
        <v>2</v>
      </c>
      <c r="H377" s="81">
        <v>2</v>
      </c>
      <c r="I377" s="81" t="s">
        <v>1035</v>
      </c>
      <c r="J377" s="79"/>
      <c r="K377" s="79"/>
      <c r="L377" s="79"/>
      <c r="M377" s="79"/>
      <c r="N377" s="79"/>
    </row>
    <row r="378" ht="26" spans="1:14">
      <c r="A378" s="81" t="s">
        <v>803</v>
      </c>
      <c r="B378" s="81">
        <v>4</v>
      </c>
      <c r="C378" s="81">
        <v>4</v>
      </c>
      <c r="D378" s="81">
        <v>2</v>
      </c>
      <c r="E378" s="81">
        <v>3</v>
      </c>
      <c r="F378" s="81">
        <v>2</v>
      </c>
      <c r="G378" s="81">
        <v>3</v>
      </c>
      <c r="H378" s="81">
        <v>4</v>
      </c>
      <c r="I378" s="81" t="s">
        <v>1035</v>
      </c>
      <c r="J378" s="79"/>
      <c r="K378" s="79"/>
      <c r="L378" s="79"/>
      <c r="M378" s="79"/>
      <c r="N378" s="79"/>
    </row>
    <row r="379" ht="26" spans="1:14">
      <c r="A379" s="81" t="s">
        <v>806</v>
      </c>
      <c r="B379" s="81">
        <v>3</v>
      </c>
      <c r="C379" s="81">
        <v>3</v>
      </c>
      <c r="D379" s="81">
        <v>2</v>
      </c>
      <c r="E379" s="81">
        <v>2</v>
      </c>
      <c r="F379" s="81">
        <v>2</v>
      </c>
      <c r="G379" s="81">
        <v>2</v>
      </c>
      <c r="H379" s="81">
        <v>3</v>
      </c>
      <c r="I379" s="81" t="s">
        <v>1035</v>
      </c>
      <c r="J379" s="79"/>
      <c r="K379" s="79"/>
      <c r="L379" s="79"/>
      <c r="M379" s="79"/>
      <c r="N379" s="79"/>
    </row>
    <row r="380" ht="26" spans="1:14">
      <c r="A380" s="81" t="s">
        <v>807</v>
      </c>
      <c r="B380" s="81">
        <v>3</v>
      </c>
      <c r="C380" s="81">
        <v>3</v>
      </c>
      <c r="D380" s="81">
        <v>2</v>
      </c>
      <c r="E380" s="81">
        <v>2</v>
      </c>
      <c r="F380" s="81">
        <v>2</v>
      </c>
      <c r="G380" s="81">
        <v>2</v>
      </c>
      <c r="H380" s="81">
        <v>3</v>
      </c>
      <c r="I380" s="81" t="s">
        <v>1035</v>
      </c>
      <c r="J380" s="79"/>
      <c r="K380" s="79"/>
      <c r="L380" s="79"/>
      <c r="M380" s="79"/>
      <c r="N380" s="79"/>
    </row>
    <row r="381" ht="26" spans="1:14">
      <c r="A381" s="81" t="s">
        <v>809</v>
      </c>
      <c r="B381" s="81">
        <v>4</v>
      </c>
      <c r="C381" s="81">
        <v>4</v>
      </c>
      <c r="D381" s="81">
        <v>2</v>
      </c>
      <c r="E381" s="81">
        <v>3</v>
      </c>
      <c r="F381" s="81">
        <v>2</v>
      </c>
      <c r="G381" s="81">
        <v>3</v>
      </c>
      <c r="H381" s="81">
        <v>4</v>
      </c>
      <c r="I381" s="81" t="s">
        <v>1035</v>
      </c>
      <c r="J381" s="79"/>
      <c r="K381" s="79"/>
      <c r="L381" s="79"/>
      <c r="M381" s="79"/>
      <c r="N381" s="79"/>
    </row>
    <row r="382" ht="26" spans="1:14">
      <c r="A382" s="81" t="s">
        <v>811</v>
      </c>
      <c r="B382" s="81">
        <v>4</v>
      </c>
      <c r="C382" s="81">
        <v>4</v>
      </c>
      <c r="D382" s="81">
        <v>2</v>
      </c>
      <c r="E382" s="81">
        <v>3</v>
      </c>
      <c r="F382" s="81">
        <v>2</v>
      </c>
      <c r="G382" s="81">
        <v>3</v>
      </c>
      <c r="H382" s="81">
        <v>4</v>
      </c>
      <c r="I382" s="81" t="s">
        <v>1035</v>
      </c>
      <c r="J382" s="79"/>
      <c r="K382" s="79"/>
      <c r="L382" s="79"/>
      <c r="M382" s="79"/>
      <c r="N382" s="79"/>
    </row>
    <row r="383" ht="26" spans="1:14">
      <c r="A383" s="81" t="s">
        <v>814</v>
      </c>
      <c r="B383" s="81">
        <v>2</v>
      </c>
      <c r="C383" s="81">
        <v>2</v>
      </c>
      <c r="D383" s="81">
        <v>2</v>
      </c>
      <c r="E383" s="81">
        <v>2</v>
      </c>
      <c r="F383" s="81">
        <v>2</v>
      </c>
      <c r="G383" s="81">
        <v>2</v>
      </c>
      <c r="H383" s="81">
        <v>2</v>
      </c>
      <c r="I383" s="81" t="s">
        <v>1035</v>
      </c>
      <c r="J383" s="79"/>
      <c r="K383" s="79"/>
      <c r="L383" s="79"/>
      <c r="M383" s="79"/>
      <c r="N383" s="79"/>
    </row>
    <row r="384" ht="26" spans="1:14">
      <c r="A384" s="81" t="s">
        <v>815</v>
      </c>
      <c r="B384" s="81">
        <v>4</v>
      </c>
      <c r="C384" s="81">
        <v>4</v>
      </c>
      <c r="D384" s="81">
        <v>2</v>
      </c>
      <c r="E384" s="81">
        <v>3</v>
      </c>
      <c r="F384" s="81">
        <v>2</v>
      </c>
      <c r="G384" s="81">
        <v>3</v>
      </c>
      <c r="H384" s="81">
        <v>4</v>
      </c>
      <c r="I384" s="81" t="s">
        <v>1035</v>
      </c>
      <c r="J384" s="79"/>
      <c r="K384" s="79"/>
      <c r="L384" s="79"/>
      <c r="M384" s="79"/>
      <c r="N384" s="79"/>
    </row>
    <row r="385" ht="26" spans="1:14">
      <c r="A385" s="81" t="s">
        <v>817</v>
      </c>
      <c r="B385" s="81">
        <v>4</v>
      </c>
      <c r="C385" s="81">
        <v>4</v>
      </c>
      <c r="D385" s="81">
        <v>2</v>
      </c>
      <c r="E385" s="81">
        <v>3</v>
      </c>
      <c r="F385" s="81">
        <v>2</v>
      </c>
      <c r="G385" s="81">
        <v>3</v>
      </c>
      <c r="H385" s="81">
        <v>4</v>
      </c>
      <c r="I385" s="81" t="s">
        <v>1035</v>
      </c>
      <c r="J385" s="79"/>
      <c r="K385" s="79"/>
      <c r="L385" s="79"/>
      <c r="M385" s="79"/>
      <c r="N385" s="79"/>
    </row>
    <row r="386" ht="26" spans="1:14">
      <c r="A386" s="81" t="s">
        <v>819</v>
      </c>
      <c r="B386" s="81">
        <v>2</v>
      </c>
      <c r="C386" s="81">
        <v>2</v>
      </c>
      <c r="D386" s="81">
        <v>2</v>
      </c>
      <c r="E386" s="81">
        <v>2</v>
      </c>
      <c r="F386" s="81">
        <v>2</v>
      </c>
      <c r="G386" s="81">
        <v>2</v>
      </c>
      <c r="H386" s="81">
        <v>2</v>
      </c>
      <c r="I386" s="81" t="s">
        <v>1035</v>
      </c>
      <c r="J386" s="79"/>
      <c r="K386" s="79"/>
      <c r="L386" s="79"/>
      <c r="M386" s="79"/>
      <c r="N386" s="79"/>
    </row>
    <row r="387" ht="26" spans="1:14">
      <c r="A387" s="81" t="s">
        <v>820</v>
      </c>
      <c r="B387" s="81">
        <v>2</v>
      </c>
      <c r="C387" s="81">
        <v>2</v>
      </c>
      <c r="D387" s="81">
        <v>2</v>
      </c>
      <c r="E387" s="81">
        <v>2</v>
      </c>
      <c r="F387" s="81">
        <v>2</v>
      </c>
      <c r="G387" s="81">
        <v>2</v>
      </c>
      <c r="H387" s="81">
        <v>2</v>
      </c>
      <c r="I387" s="81" t="s">
        <v>1035</v>
      </c>
      <c r="J387" s="79"/>
      <c r="K387" s="79"/>
      <c r="L387" s="79"/>
      <c r="M387" s="79"/>
      <c r="N387" s="79"/>
    </row>
    <row r="388" ht="26" spans="1:14">
      <c r="A388" s="81" t="s">
        <v>822</v>
      </c>
      <c r="B388" s="81">
        <v>4</v>
      </c>
      <c r="C388" s="81">
        <v>4</v>
      </c>
      <c r="D388" s="81">
        <v>2</v>
      </c>
      <c r="E388" s="81">
        <v>3</v>
      </c>
      <c r="F388" s="81">
        <v>2</v>
      </c>
      <c r="G388" s="81">
        <v>3</v>
      </c>
      <c r="H388" s="81">
        <v>4</v>
      </c>
      <c r="I388" s="81" t="s">
        <v>1035</v>
      </c>
      <c r="J388" s="79"/>
      <c r="K388" s="79"/>
      <c r="L388" s="79"/>
      <c r="M388" s="79"/>
      <c r="N388" s="79"/>
    </row>
    <row r="389" ht="26" spans="1:14">
      <c r="A389" s="81" t="s">
        <v>824</v>
      </c>
      <c r="B389" s="81">
        <v>4</v>
      </c>
      <c r="C389" s="81">
        <v>4</v>
      </c>
      <c r="D389" s="81">
        <v>2</v>
      </c>
      <c r="E389" s="81">
        <v>3</v>
      </c>
      <c r="F389" s="81">
        <v>2</v>
      </c>
      <c r="G389" s="81">
        <v>3</v>
      </c>
      <c r="H389" s="81">
        <v>4</v>
      </c>
      <c r="I389" s="81" t="s">
        <v>1035</v>
      </c>
      <c r="J389" s="79"/>
      <c r="K389" s="79"/>
      <c r="L389" s="79"/>
      <c r="M389" s="79"/>
      <c r="N389" s="79"/>
    </row>
    <row r="390" ht="26" spans="1:14">
      <c r="A390" s="81" t="s">
        <v>826</v>
      </c>
      <c r="B390" s="81">
        <v>2</v>
      </c>
      <c r="C390" s="81">
        <v>2</v>
      </c>
      <c r="D390" s="81">
        <v>2</v>
      </c>
      <c r="E390" s="81">
        <v>2</v>
      </c>
      <c r="F390" s="81">
        <v>2</v>
      </c>
      <c r="G390" s="81">
        <v>2</v>
      </c>
      <c r="H390" s="81">
        <v>2</v>
      </c>
      <c r="I390" s="81" t="s">
        <v>1035</v>
      </c>
      <c r="J390" s="79"/>
      <c r="K390" s="79"/>
      <c r="L390" s="79"/>
      <c r="M390" s="79"/>
      <c r="N390" s="79"/>
    </row>
    <row r="391" ht="26" spans="1:14">
      <c r="A391" s="81" t="s">
        <v>827</v>
      </c>
      <c r="B391" s="81">
        <v>2</v>
      </c>
      <c r="C391" s="81">
        <v>2</v>
      </c>
      <c r="D391" s="81">
        <v>2</v>
      </c>
      <c r="E391" s="81">
        <v>2</v>
      </c>
      <c r="F391" s="81">
        <v>2</v>
      </c>
      <c r="G391" s="81">
        <v>2</v>
      </c>
      <c r="H391" s="81">
        <v>2</v>
      </c>
      <c r="I391" s="81" t="s">
        <v>1035</v>
      </c>
      <c r="J391" s="79"/>
      <c r="K391" s="79"/>
      <c r="L391" s="79"/>
      <c r="M391" s="79"/>
      <c r="N391" s="79"/>
    </row>
    <row r="392" ht="26" spans="1:14">
      <c r="A392" s="81" t="s">
        <v>829</v>
      </c>
      <c r="B392" s="81">
        <v>2</v>
      </c>
      <c r="C392" s="81">
        <v>2</v>
      </c>
      <c r="D392" s="81">
        <v>2</v>
      </c>
      <c r="E392" s="81">
        <v>2</v>
      </c>
      <c r="F392" s="81">
        <v>2</v>
      </c>
      <c r="G392" s="81">
        <v>2</v>
      </c>
      <c r="H392" s="81">
        <v>2</v>
      </c>
      <c r="I392" s="81" t="s">
        <v>1035</v>
      </c>
      <c r="J392" s="79"/>
      <c r="K392" s="79"/>
      <c r="L392" s="79"/>
      <c r="M392" s="79"/>
      <c r="N392" s="79"/>
    </row>
    <row r="393" ht="26" spans="1:14">
      <c r="A393" s="81" t="s">
        <v>831</v>
      </c>
      <c r="B393" s="81">
        <v>4</v>
      </c>
      <c r="C393" s="81">
        <v>4</v>
      </c>
      <c r="D393" s="81">
        <v>2</v>
      </c>
      <c r="E393" s="81">
        <v>3</v>
      </c>
      <c r="F393" s="81">
        <v>2</v>
      </c>
      <c r="G393" s="81">
        <v>3</v>
      </c>
      <c r="H393" s="81">
        <v>4</v>
      </c>
      <c r="I393" s="81" t="s">
        <v>1035</v>
      </c>
      <c r="J393" s="79"/>
      <c r="K393" s="79"/>
      <c r="L393" s="79"/>
      <c r="M393" s="79"/>
      <c r="N393" s="79"/>
    </row>
    <row r="394" ht="26" spans="1:14">
      <c r="A394" s="81" t="s">
        <v>833</v>
      </c>
      <c r="B394" s="81">
        <v>2</v>
      </c>
      <c r="C394" s="81">
        <v>2</v>
      </c>
      <c r="D394" s="81">
        <v>2</v>
      </c>
      <c r="E394" s="81">
        <v>2</v>
      </c>
      <c r="F394" s="81">
        <v>2</v>
      </c>
      <c r="G394" s="81">
        <v>2</v>
      </c>
      <c r="H394" s="81">
        <v>2</v>
      </c>
      <c r="I394" s="81" t="s">
        <v>1035</v>
      </c>
      <c r="J394" s="79"/>
      <c r="K394" s="79"/>
      <c r="L394" s="79"/>
      <c r="M394" s="79"/>
      <c r="N394" s="79"/>
    </row>
    <row r="395" ht="26" spans="1:14">
      <c r="A395" s="81" t="s">
        <v>835</v>
      </c>
      <c r="B395" s="81">
        <v>2</v>
      </c>
      <c r="C395" s="81">
        <v>2</v>
      </c>
      <c r="D395" s="81">
        <v>2</v>
      </c>
      <c r="E395" s="81">
        <v>2</v>
      </c>
      <c r="F395" s="81">
        <v>2</v>
      </c>
      <c r="G395" s="81">
        <v>2</v>
      </c>
      <c r="H395" s="81">
        <v>2</v>
      </c>
      <c r="I395" s="81" t="s">
        <v>1035</v>
      </c>
      <c r="J395" s="79"/>
      <c r="K395" s="79"/>
      <c r="L395" s="79"/>
      <c r="M395" s="79"/>
      <c r="N395" s="79"/>
    </row>
    <row r="396" ht="26" spans="1:14">
      <c r="A396" s="81" t="s">
        <v>837</v>
      </c>
      <c r="B396" s="81">
        <v>2</v>
      </c>
      <c r="C396" s="81">
        <v>2</v>
      </c>
      <c r="D396" s="81">
        <v>2</v>
      </c>
      <c r="E396" s="81">
        <v>2</v>
      </c>
      <c r="F396" s="81">
        <v>2</v>
      </c>
      <c r="G396" s="81">
        <v>2</v>
      </c>
      <c r="H396" s="81">
        <v>2</v>
      </c>
      <c r="I396" s="81" t="s">
        <v>1035</v>
      </c>
      <c r="J396" s="79"/>
      <c r="K396" s="79"/>
      <c r="L396" s="79"/>
      <c r="M396" s="79"/>
      <c r="N396" s="79"/>
    </row>
    <row r="397" ht="26" spans="1:14">
      <c r="A397" s="81" t="s">
        <v>839</v>
      </c>
      <c r="B397" s="81">
        <v>2</v>
      </c>
      <c r="C397" s="81">
        <v>2</v>
      </c>
      <c r="D397" s="81">
        <v>2</v>
      </c>
      <c r="E397" s="81">
        <v>2</v>
      </c>
      <c r="F397" s="81">
        <v>2</v>
      </c>
      <c r="G397" s="81">
        <v>2</v>
      </c>
      <c r="H397" s="81">
        <v>2</v>
      </c>
      <c r="I397" s="81" t="s">
        <v>1035</v>
      </c>
      <c r="J397" s="79"/>
      <c r="K397" s="79"/>
      <c r="L397" s="79"/>
      <c r="M397" s="79"/>
      <c r="N397" s="79"/>
    </row>
    <row r="398" ht="26" spans="1:14">
      <c r="A398" s="81" t="s">
        <v>842</v>
      </c>
      <c r="B398" s="81">
        <v>2</v>
      </c>
      <c r="C398" s="81">
        <v>2</v>
      </c>
      <c r="D398" s="81">
        <v>2</v>
      </c>
      <c r="E398" s="81">
        <v>2</v>
      </c>
      <c r="F398" s="81">
        <v>2</v>
      </c>
      <c r="G398" s="81">
        <v>2</v>
      </c>
      <c r="H398" s="81">
        <v>2</v>
      </c>
      <c r="I398" s="81" t="s">
        <v>1035</v>
      </c>
      <c r="J398" s="79"/>
      <c r="K398" s="79"/>
      <c r="L398" s="79"/>
      <c r="M398" s="79"/>
      <c r="N398" s="79"/>
    </row>
    <row r="399" ht="26" spans="1:14">
      <c r="A399" s="81" t="s">
        <v>844</v>
      </c>
      <c r="B399" s="81">
        <v>2</v>
      </c>
      <c r="C399" s="81">
        <v>2</v>
      </c>
      <c r="D399" s="81">
        <v>2</v>
      </c>
      <c r="E399" s="81">
        <v>2</v>
      </c>
      <c r="F399" s="81">
        <v>2</v>
      </c>
      <c r="G399" s="81">
        <v>2</v>
      </c>
      <c r="H399" s="81">
        <v>2</v>
      </c>
      <c r="I399" s="81" t="s">
        <v>1035</v>
      </c>
      <c r="J399" s="79"/>
      <c r="K399" s="79"/>
      <c r="L399" s="79"/>
      <c r="M399" s="79"/>
      <c r="N399" s="79"/>
    </row>
    <row r="400" ht="26" spans="1:14">
      <c r="A400" s="81" t="s">
        <v>845</v>
      </c>
      <c r="B400" s="81">
        <v>2</v>
      </c>
      <c r="C400" s="81">
        <v>2</v>
      </c>
      <c r="D400" s="81">
        <v>2</v>
      </c>
      <c r="E400" s="81">
        <v>2</v>
      </c>
      <c r="F400" s="81">
        <v>2</v>
      </c>
      <c r="G400" s="81">
        <v>2</v>
      </c>
      <c r="H400" s="81">
        <v>2</v>
      </c>
      <c r="I400" s="81" t="s">
        <v>1035</v>
      </c>
      <c r="J400" s="79"/>
      <c r="K400" s="79"/>
      <c r="L400" s="79"/>
      <c r="M400" s="79"/>
      <c r="N400" s="79"/>
    </row>
    <row r="401" ht="26" spans="1:14">
      <c r="A401" s="81" t="s">
        <v>847</v>
      </c>
      <c r="B401" s="81">
        <v>2</v>
      </c>
      <c r="C401" s="81">
        <v>2</v>
      </c>
      <c r="D401" s="81">
        <v>2</v>
      </c>
      <c r="E401" s="81">
        <v>2</v>
      </c>
      <c r="F401" s="81">
        <v>2</v>
      </c>
      <c r="G401" s="81">
        <v>2</v>
      </c>
      <c r="H401" s="81">
        <v>2</v>
      </c>
      <c r="I401" s="81" t="s">
        <v>1035</v>
      </c>
      <c r="J401" s="79"/>
      <c r="K401" s="79"/>
      <c r="L401" s="79"/>
      <c r="M401" s="79"/>
      <c r="N401" s="79"/>
    </row>
    <row r="402" ht="26" spans="1:14">
      <c r="A402" s="81" t="s">
        <v>849</v>
      </c>
      <c r="B402" s="81">
        <v>2</v>
      </c>
      <c r="C402" s="81">
        <v>2</v>
      </c>
      <c r="D402" s="81">
        <v>2</v>
      </c>
      <c r="E402" s="81">
        <v>2</v>
      </c>
      <c r="F402" s="81">
        <v>2</v>
      </c>
      <c r="G402" s="81">
        <v>2</v>
      </c>
      <c r="H402" s="81">
        <v>2</v>
      </c>
      <c r="I402" s="81" t="s">
        <v>1035</v>
      </c>
      <c r="J402" s="79"/>
      <c r="K402" s="79"/>
      <c r="L402" s="79"/>
      <c r="M402" s="79"/>
      <c r="N402" s="79"/>
    </row>
    <row r="403" ht="26" spans="1:14">
      <c r="A403" s="81" t="s">
        <v>851</v>
      </c>
      <c r="B403" s="81">
        <v>2</v>
      </c>
      <c r="C403" s="81">
        <v>2</v>
      </c>
      <c r="D403" s="81">
        <v>2</v>
      </c>
      <c r="E403" s="81">
        <v>2</v>
      </c>
      <c r="F403" s="81">
        <v>2</v>
      </c>
      <c r="G403" s="81">
        <v>2</v>
      </c>
      <c r="H403" s="81">
        <v>2</v>
      </c>
      <c r="I403" s="81" t="s">
        <v>1035</v>
      </c>
      <c r="J403" s="79"/>
      <c r="K403" s="79"/>
      <c r="L403" s="79"/>
      <c r="M403" s="79"/>
      <c r="N403" s="79"/>
    </row>
    <row r="404" ht="26" spans="1:14">
      <c r="A404" s="81" t="s">
        <v>852</v>
      </c>
      <c r="B404" s="81">
        <v>2</v>
      </c>
      <c r="C404" s="81">
        <v>2</v>
      </c>
      <c r="D404" s="81">
        <v>2</v>
      </c>
      <c r="E404" s="81">
        <v>2</v>
      </c>
      <c r="F404" s="81">
        <v>2</v>
      </c>
      <c r="G404" s="81">
        <v>2</v>
      </c>
      <c r="H404" s="81">
        <v>2</v>
      </c>
      <c r="I404" s="81" t="s">
        <v>1035</v>
      </c>
      <c r="J404" s="79"/>
      <c r="K404" s="79"/>
      <c r="L404" s="79"/>
      <c r="M404" s="79"/>
      <c r="N404" s="79"/>
    </row>
    <row r="405" ht="26" spans="1:14">
      <c r="A405" s="81" t="s">
        <v>854</v>
      </c>
      <c r="B405" s="81">
        <v>2</v>
      </c>
      <c r="C405" s="81">
        <v>2</v>
      </c>
      <c r="D405" s="81">
        <v>2</v>
      </c>
      <c r="E405" s="81">
        <v>2</v>
      </c>
      <c r="F405" s="81">
        <v>2</v>
      </c>
      <c r="G405" s="81">
        <v>2</v>
      </c>
      <c r="H405" s="81">
        <v>2</v>
      </c>
      <c r="I405" s="81" t="s">
        <v>1035</v>
      </c>
      <c r="J405" s="79"/>
      <c r="K405" s="79"/>
      <c r="L405" s="79"/>
      <c r="M405" s="79"/>
      <c r="N405" s="79"/>
    </row>
    <row r="406" ht="26" spans="1:14">
      <c r="A406" s="81" t="s">
        <v>855</v>
      </c>
      <c r="B406" s="81">
        <v>2</v>
      </c>
      <c r="C406" s="81">
        <v>2</v>
      </c>
      <c r="D406" s="81">
        <v>2</v>
      </c>
      <c r="E406" s="81">
        <v>2</v>
      </c>
      <c r="F406" s="81">
        <v>2</v>
      </c>
      <c r="G406" s="81">
        <v>2</v>
      </c>
      <c r="H406" s="81">
        <v>2</v>
      </c>
      <c r="I406" s="81" t="s">
        <v>1035</v>
      </c>
      <c r="J406" s="79"/>
      <c r="K406" s="79"/>
      <c r="L406" s="79"/>
      <c r="M406" s="79"/>
      <c r="N406" s="79"/>
    </row>
    <row r="407" ht="26" spans="1:14">
      <c r="A407" s="81" t="s">
        <v>857</v>
      </c>
      <c r="B407" s="81">
        <v>2</v>
      </c>
      <c r="C407" s="81">
        <v>2</v>
      </c>
      <c r="D407" s="81">
        <v>2</v>
      </c>
      <c r="E407" s="81">
        <v>2</v>
      </c>
      <c r="F407" s="81">
        <v>2</v>
      </c>
      <c r="G407" s="81">
        <v>2</v>
      </c>
      <c r="H407" s="81">
        <v>2</v>
      </c>
      <c r="I407" s="81" t="s">
        <v>1035</v>
      </c>
      <c r="J407" s="79"/>
      <c r="K407" s="79"/>
      <c r="L407" s="79"/>
      <c r="M407" s="79"/>
      <c r="N407" s="79"/>
    </row>
    <row r="408" ht="26" spans="1:14">
      <c r="A408" s="81" t="s">
        <v>860</v>
      </c>
      <c r="B408" s="81">
        <v>2</v>
      </c>
      <c r="C408" s="81">
        <v>2</v>
      </c>
      <c r="D408" s="81">
        <v>2</v>
      </c>
      <c r="E408" s="81">
        <v>2</v>
      </c>
      <c r="F408" s="81">
        <v>2</v>
      </c>
      <c r="G408" s="81">
        <v>2</v>
      </c>
      <c r="H408" s="81">
        <v>2</v>
      </c>
      <c r="I408" s="81" t="s">
        <v>1035</v>
      </c>
      <c r="J408" s="79"/>
      <c r="K408" s="79"/>
      <c r="L408" s="79"/>
      <c r="M408" s="79"/>
      <c r="N408" s="79"/>
    </row>
    <row r="409" ht="26" spans="1:14">
      <c r="A409" s="81" t="s">
        <v>862</v>
      </c>
      <c r="B409" s="81">
        <v>2</v>
      </c>
      <c r="C409" s="81">
        <v>2</v>
      </c>
      <c r="D409" s="81">
        <v>2</v>
      </c>
      <c r="E409" s="81">
        <v>2</v>
      </c>
      <c r="F409" s="81">
        <v>2</v>
      </c>
      <c r="G409" s="81">
        <v>2</v>
      </c>
      <c r="H409" s="81">
        <v>2</v>
      </c>
      <c r="I409" s="81" t="s">
        <v>1035</v>
      </c>
      <c r="J409" s="79"/>
      <c r="K409" s="79"/>
      <c r="L409" s="79"/>
      <c r="M409" s="79"/>
      <c r="N409" s="79"/>
    </row>
    <row r="410" ht="26" spans="1:14">
      <c r="A410" s="81" t="s">
        <v>864</v>
      </c>
      <c r="B410" s="81">
        <v>2</v>
      </c>
      <c r="C410" s="81">
        <v>2</v>
      </c>
      <c r="D410" s="81">
        <v>2</v>
      </c>
      <c r="E410" s="81">
        <v>2</v>
      </c>
      <c r="F410" s="81">
        <v>2</v>
      </c>
      <c r="G410" s="81">
        <v>2</v>
      </c>
      <c r="H410" s="81">
        <v>2</v>
      </c>
      <c r="I410" s="81" t="s">
        <v>1035</v>
      </c>
      <c r="J410" s="79"/>
      <c r="K410" s="79"/>
      <c r="L410" s="79"/>
      <c r="M410" s="79"/>
      <c r="N410" s="79"/>
    </row>
    <row r="411" ht="26" spans="1:14">
      <c r="A411" s="81" t="s">
        <v>866</v>
      </c>
      <c r="B411" s="81">
        <v>2</v>
      </c>
      <c r="C411" s="81">
        <v>2</v>
      </c>
      <c r="D411" s="81">
        <v>2</v>
      </c>
      <c r="E411" s="81">
        <v>2</v>
      </c>
      <c r="F411" s="81">
        <v>2</v>
      </c>
      <c r="G411" s="81">
        <v>2</v>
      </c>
      <c r="H411" s="81">
        <v>2</v>
      </c>
      <c r="I411" s="81" t="s">
        <v>1035</v>
      </c>
      <c r="J411" s="79"/>
      <c r="K411" s="79"/>
      <c r="L411" s="79"/>
      <c r="M411" s="79"/>
      <c r="N411" s="79"/>
    </row>
    <row r="412" ht="26" spans="1:14">
      <c r="A412" s="81" t="s">
        <v>868</v>
      </c>
      <c r="B412" s="81">
        <v>2</v>
      </c>
      <c r="C412" s="81">
        <v>2</v>
      </c>
      <c r="D412" s="81">
        <v>2</v>
      </c>
      <c r="E412" s="81">
        <v>2</v>
      </c>
      <c r="F412" s="81">
        <v>2</v>
      </c>
      <c r="G412" s="81">
        <v>2</v>
      </c>
      <c r="H412" s="81">
        <v>2</v>
      </c>
      <c r="I412" s="81" t="s">
        <v>1035</v>
      </c>
      <c r="J412" s="79"/>
      <c r="K412" s="79"/>
      <c r="L412" s="79"/>
      <c r="M412" s="79"/>
      <c r="N412" s="79"/>
    </row>
    <row r="413" ht="26" spans="1:14">
      <c r="A413" s="81" t="s">
        <v>870</v>
      </c>
      <c r="B413" s="81">
        <v>2</v>
      </c>
      <c r="C413" s="81">
        <v>2</v>
      </c>
      <c r="D413" s="81">
        <v>2</v>
      </c>
      <c r="E413" s="81">
        <v>2</v>
      </c>
      <c r="F413" s="81">
        <v>2</v>
      </c>
      <c r="G413" s="81">
        <v>2</v>
      </c>
      <c r="H413" s="81">
        <v>2</v>
      </c>
      <c r="I413" s="81" t="s">
        <v>1035</v>
      </c>
      <c r="J413" s="79"/>
      <c r="K413" s="79"/>
      <c r="L413" s="79"/>
      <c r="M413" s="79"/>
      <c r="N413" s="79"/>
    </row>
    <row r="414" ht="26" spans="1:14">
      <c r="A414" s="81" t="s">
        <v>872</v>
      </c>
      <c r="B414" s="81">
        <v>2</v>
      </c>
      <c r="C414" s="81">
        <v>2</v>
      </c>
      <c r="D414" s="81">
        <v>2</v>
      </c>
      <c r="E414" s="81">
        <v>2</v>
      </c>
      <c r="F414" s="81">
        <v>2</v>
      </c>
      <c r="G414" s="81">
        <v>2</v>
      </c>
      <c r="H414" s="81">
        <v>2</v>
      </c>
      <c r="I414" s="81" t="s">
        <v>1035</v>
      </c>
      <c r="J414" s="79"/>
      <c r="K414" s="79"/>
      <c r="L414" s="79"/>
      <c r="M414" s="79"/>
      <c r="N414" s="79"/>
    </row>
    <row r="415" ht="26" spans="1:14">
      <c r="A415" s="81" t="s">
        <v>874</v>
      </c>
      <c r="B415" s="81">
        <v>2</v>
      </c>
      <c r="C415" s="81">
        <v>2</v>
      </c>
      <c r="D415" s="81">
        <v>2</v>
      </c>
      <c r="E415" s="81">
        <v>2</v>
      </c>
      <c r="F415" s="81">
        <v>2</v>
      </c>
      <c r="G415" s="81">
        <v>2</v>
      </c>
      <c r="H415" s="81">
        <v>2</v>
      </c>
      <c r="I415" s="81" t="s">
        <v>1035</v>
      </c>
      <c r="J415" s="79"/>
      <c r="K415" s="79"/>
      <c r="L415" s="79"/>
      <c r="M415" s="79"/>
      <c r="N415" s="79"/>
    </row>
    <row r="416" ht="26" spans="1:14">
      <c r="A416" s="81" t="s">
        <v>876</v>
      </c>
      <c r="B416" s="81">
        <v>2</v>
      </c>
      <c r="C416" s="81">
        <v>2</v>
      </c>
      <c r="D416" s="81">
        <v>2</v>
      </c>
      <c r="E416" s="81">
        <v>2</v>
      </c>
      <c r="F416" s="81">
        <v>2</v>
      </c>
      <c r="G416" s="81">
        <v>2</v>
      </c>
      <c r="H416" s="81">
        <v>2</v>
      </c>
      <c r="I416" s="81" t="s">
        <v>1035</v>
      </c>
      <c r="J416" s="79"/>
      <c r="K416" s="79"/>
      <c r="L416" s="79"/>
      <c r="M416" s="79"/>
      <c r="N416" s="79"/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6"/>
  <sheetViews>
    <sheetView showGridLines="0" workbookViewId="0">
      <selection activeCell="A1" sqref="A1:L1"/>
    </sheetView>
  </sheetViews>
  <sheetFormatPr defaultColWidth="9" defaultRowHeight="14.5"/>
  <cols>
    <col min="1" max="1" width="20" customWidth="1"/>
    <col min="2" max="2" width="12" customWidth="1"/>
    <col min="3" max="3" width="13" customWidth="1"/>
    <col min="4" max="4" width="44" customWidth="1"/>
    <col min="5" max="6" width="11" customWidth="1"/>
    <col min="7" max="8" width="14" customWidth="1"/>
    <col min="9" max="9" width="11" customWidth="1"/>
    <col min="10" max="10" width="39" customWidth="1"/>
    <col min="11" max="12" width="10" customWidth="1"/>
  </cols>
  <sheetData>
    <row r="1" ht="21" spans="1:12">
      <c r="A1" s="78" t="s">
        <v>1036</v>
      </c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>
      <c r="A3" s="80" t="s">
        <v>72</v>
      </c>
      <c r="B3" s="80" t="s">
        <v>76</v>
      </c>
      <c r="C3" s="80" t="s">
        <v>84</v>
      </c>
      <c r="D3" s="80" t="s">
        <v>74</v>
      </c>
      <c r="E3" s="80" t="s">
        <v>86</v>
      </c>
      <c r="F3" s="80" t="s">
        <v>94</v>
      </c>
      <c r="G3" s="80" t="s">
        <v>102</v>
      </c>
      <c r="H3" s="80" t="s">
        <v>110</v>
      </c>
      <c r="I3" s="80" t="s">
        <v>125</v>
      </c>
      <c r="J3" s="80" t="s">
        <v>1037</v>
      </c>
      <c r="K3" s="79"/>
      <c r="L3" s="79"/>
    </row>
    <row r="4" spans="1:12">
      <c r="A4" s="81" t="s">
        <v>236</v>
      </c>
      <c r="B4" s="81" t="s">
        <v>77</v>
      </c>
      <c r="C4" s="81" t="s">
        <v>85</v>
      </c>
      <c r="D4" s="81" t="s">
        <v>883</v>
      </c>
      <c r="E4" s="81">
        <v>4</v>
      </c>
      <c r="F4" s="81">
        <v>5</v>
      </c>
      <c r="G4" s="81" t="s">
        <v>199</v>
      </c>
      <c r="H4" s="81" t="s">
        <v>884</v>
      </c>
      <c r="I4" s="81" t="s">
        <v>243</v>
      </c>
      <c r="J4" s="81" t="s">
        <v>1038</v>
      </c>
      <c r="K4" s="79"/>
      <c r="L4" s="79"/>
    </row>
    <row r="5" spans="1:12">
      <c r="A5" s="81" t="s">
        <v>244</v>
      </c>
      <c r="B5" s="81" t="s">
        <v>77</v>
      </c>
      <c r="C5" s="81" t="s">
        <v>85</v>
      </c>
      <c r="D5" s="81" t="s">
        <v>883</v>
      </c>
      <c r="E5" s="81">
        <v>4</v>
      </c>
      <c r="F5" s="81">
        <v>5</v>
      </c>
      <c r="G5" s="81" t="s">
        <v>199</v>
      </c>
      <c r="H5" s="81" t="s">
        <v>884</v>
      </c>
      <c r="I5" s="81" t="s">
        <v>243</v>
      </c>
      <c r="J5" s="81" t="s">
        <v>1038</v>
      </c>
      <c r="K5" s="79"/>
      <c r="L5" s="79"/>
    </row>
    <row r="6" spans="1:12">
      <c r="A6" s="81" t="s">
        <v>247</v>
      </c>
      <c r="B6" s="81" t="s">
        <v>77</v>
      </c>
      <c r="C6" s="81" t="s">
        <v>85</v>
      </c>
      <c r="D6" s="81" t="s">
        <v>883</v>
      </c>
      <c r="E6" s="81">
        <v>4</v>
      </c>
      <c r="F6" s="81">
        <v>5</v>
      </c>
      <c r="G6" s="81" t="s">
        <v>199</v>
      </c>
      <c r="H6" s="81" t="s">
        <v>884</v>
      </c>
      <c r="I6" s="81" t="s">
        <v>243</v>
      </c>
      <c r="J6" s="81" t="s">
        <v>1038</v>
      </c>
      <c r="K6" s="79"/>
      <c r="L6" s="79"/>
    </row>
    <row r="7" spans="1:12">
      <c r="A7" s="81" t="s">
        <v>250</v>
      </c>
      <c r="B7" s="81" t="s">
        <v>77</v>
      </c>
      <c r="C7" s="81" t="s">
        <v>85</v>
      </c>
      <c r="D7" s="81" t="s">
        <v>883</v>
      </c>
      <c r="E7" s="81">
        <v>4</v>
      </c>
      <c r="F7" s="81">
        <v>5</v>
      </c>
      <c r="G7" s="81" t="s">
        <v>199</v>
      </c>
      <c r="H7" s="81" t="s">
        <v>884</v>
      </c>
      <c r="I7" s="81" t="s">
        <v>243</v>
      </c>
      <c r="J7" s="81" t="s">
        <v>1038</v>
      </c>
      <c r="K7" s="79"/>
      <c r="L7" s="79"/>
    </row>
    <row r="8" spans="1:12">
      <c r="A8" s="81" t="s">
        <v>255</v>
      </c>
      <c r="B8" s="81" t="s">
        <v>77</v>
      </c>
      <c r="C8" s="81" t="s">
        <v>85</v>
      </c>
      <c r="D8" s="81" t="s">
        <v>883</v>
      </c>
      <c r="E8" s="81">
        <v>4</v>
      </c>
      <c r="F8" s="81">
        <v>5</v>
      </c>
      <c r="G8" s="81" t="s">
        <v>199</v>
      </c>
      <c r="H8" s="81" t="s">
        <v>884</v>
      </c>
      <c r="I8" s="81" t="s">
        <v>243</v>
      </c>
      <c r="J8" s="81" t="s">
        <v>1038</v>
      </c>
      <c r="K8" s="79"/>
      <c r="L8" s="79"/>
    </row>
    <row r="9" spans="1:12">
      <c r="A9" s="81" t="s">
        <v>258</v>
      </c>
      <c r="B9" s="81" t="s">
        <v>77</v>
      </c>
      <c r="C9" s="81" t="s">
        <v>85</v>
      </c>
      <c r="D9" s="81" t="s">
        <v>883</v>
      </c>
      <c r="E9" s="81">
        <v>4</v>
      </c>
      <c r="F9" s="81">
        <v>5</v>
      </c>
      <c r="G9" s="81" t="s">
        <v>199</v>
      </c>
      <c r="H9" s="81" t="s">
        <v>884</v>
      </c>
      <c r="I9" s="81" t="s">
        <v>243</v>
      </c>
      <c r="J9" s="81" t="s">
        <v>1038</v>
      </c>
      <c r="K9" s="79"/>
      <c r="L9" s="79"/>
    </row>
    <row r="10" spans="1:12">
      <c r="A10" s="81" t="s">
        <v>259</v>
      </c>
      <c r="B10" s="81" t="s">
        <v>77</v>
      </c>
      <c r="C10" s="81" t="s">
        <v>85</v>
      </c>
      <c r="D10" s="81" t="s">
        <v>885</v>
      </c>
      <c r="E10" s="81">
        <v>2</v>
      </c>
      <c r="F10" s="81">
        <v>5</v>
      </c>
      <c r="G10" s="81" t="s">
        <v>200</v>
      </c>
      <c r="H10" s="81" t="s">
        <v>884</v>
      </c>
      <c r="I10" s="81" t="s">
        <v>243</v>
      </c>
      <c r="J10" s="81" t="s">
        <v>1039</v>
      </c>
      <c r="K10" s="79"/>
      <c r="L10" s="79"/>
    </row>
    <row r="11" spans="1:12">
      <c r="A11" s="81" t="s">
        <v>261</v>
      </c>
      <c r="B11" s="81" t="s">
        <v>77</v>
      </c>
      <c r="C11" s="81" t="s">
        <v>85</v>
      </c>
      <c r="D11" s="81" t="s">
        <v>885</v>
      </c>
      <c r="E11" s="81">
        <v>2</v>
      </c>
      <c r="F11" s="81">
        <v>5</v>
      </c>
      <c r="G11" s="81" t="s">
        <v>200</v>
      </c>
      <c r="H11" s="81" t="s">
        <v>884</v>
      </c>
      <c r="I11" s="81" t="s">
        <v>243</v>
      </c>
      <c r="J11" s="81" t="s">
        <v>1039</v>
      </c>
      <c r="K11" s="79"/>
      <c r="L11" s="79"/>
    </row>
    <row r="12" spans="1:12">
      <c r="A12" s="81" t="s">
        <v>262</v>
      </c>
      <c r="B12" s="81" t="s">
        <v>77</v>
      </c>
      <c r="C12" s="81" t="s">
        <v>85</v>
      </c>
      <c r="D12" s="81" t="s">
        <v>885</v>
      </c>
      <c r="E12" s="81">
        <v>2</v>
      </c>
      <c r="F12" s="81">
        <v>5</v>
      </c>
      <c r="G12" s="81" t="s">
        <v>200</v>
      </c>
      <c r="H12" s="81" t="s">
        <v>884</v>
      </c>
      <c r="I12" s="81" t="s">
        <v>243</v>
      </c>
      <c r="J12" s="81" t="s">
        <v>1039</v>
      </c>
      <c r="K12" s="79"/>
      <c r="L12" s="79"/>
    </row>
    <row r="13" spans="1:12">
      <c r="A13" s="81" t="s">
        <v>263</v>
      </c>
      <c r="B13" s="81" t="s">
        <v>77</v>
      </c>
      <c r="C13" s="81" t="s">
        <v>85</v>
      </c>
      <c r="D13" s="81" t="s">
        <v>885</v>
      </c>
      <c r="E13" s="81">
        <v>2</v>
      </c>
      <c r="F13" s="81">
        <v>5</v>
      </c>
      <c r="G13" s="81" t="s">
        <v>200</v>
      </c>
      <c r="H13" s="81" t="s">
        <v>884</v>
      </c>
      <c r="I13" s="81" t="s">
        <v>243</v>
      </c>
      <c r="J13" s="81" t="s">
        <v>1039</v>
      </c>
      <c r="K13" s="79"/>
      <c r="L13" s="79"/>
    </row>
    <row r="14" spans="1:12">
      <c r="A14" s="81" t="s">
        <v>264</v>
      </c>
      <c r="B14" s="81" t="s">
        <v>77</v>
      </c>
      <c r="C14" s="81" t="s">
        <v>85</v>
      </c>
      <c r="D14" s="81" t="s">
        <v>885</v>
      </c>
      <c r="E14" s="81">
        <v>2</v>
      </c>
      <c r="F14" s="81">
        <v>5</v>
      </c>
      <c r="G14" s="81" t="s">
        <v>200</v>
      </c>
      <c r="H14" s="81" t="s">
        <v>884</v>
      </c>
      <c r="I14" s="81" t="s">
        <v>243</v>
      </c>
      <c r="J14" s="81" t="s">
        <v>1039</v>
      </c>
      <c r="K14" s="79"/>
      <c r="L14" s="79"/>
    </row>
    <row r="15" spans="1:12">
      <c r="A15" s="81" t="s">
        <v>265</v>
      </c>
      <c r="B15" s="81" t="s">
        <v>77</v>
      </c>
      <c r="C15" s="81" t="s">
        <v>85</v>
      </c>
      <c r="D15" s="81" t="s">
        <v>885</v>
      </c>
      <c r="E15" s="81">
        <v>2</v>
      </c>
      <c r="F15" s="81">
        <v>5</v>
      </c>
      <c r="G15" s="81" t="s">
        <v>200</v>
      </c>
      <c r="H15" s="81" t="s">
        <v>884</v>
      </c>
      <c r="I15" s="81" t="s">
        <v>243</v>
      </c>
      <c r="J15" s="81" t="s">
        <v>1039</v>
      </c>
      <c r="K15" s="79"/>
      <c r="L15" s="79"/>
    </row>
    <row r="16" spans="1:12">
      <c r="A16" s="81" t="s">
        <v>266</v>
      </c>
      <c r="B16" s="81" t="s">
        <v>77</v>
      </c>
      <c r="C16" s="81" t="s">
        <v>85</v>
      </c>
      <c r="D16" s="81" t="s">
        <v>885</v>
      </c>
      <c r="E16" s="81">
        <v>2</v>
      </c>
      <c r="F16" s="81">
        <v>5</v>
      </c>
      <c r="G16" s="81" t="s">
        <v>200</v>
      </c>
      <c r="H16" s="81" t="s">
        <v>884</v>
      </c>
      <c r="I16" s="81" t="s">
        <v>243</v>
      </c>
      <c r="J16" s="81" t="s">
        <v>1039</v>
      </c>
      <c r="K16" s="79"/>
      <c r="L16" s="79"/>
    </row>
    <row r="17" spans="1:12">
      <c r="A17" s="81" t="s">
        <v>268</v>
      </c>
      <c r="B17" s="81" t="s">
        <v>77</v>
      </c>
      <c r="C17" s="81" t="s">
        <v>85</v>
      </c>
      <c r="D17" s="81" t="s">
        <v>885</v>
      </c>
      <c r="E17" s="81">
        <v>2</v>
      </c>
      <c r="F17" s="81">
        <v>5</v>
      </c>
      <c r="G17" s="81" t="s">
        <v>200</v>
      </c>
      <c r="H17" s="81" t="s">
        <v>884</v>
      </c>
      <c r="I17" s="81" t="s">
        <v>243</v>
      </c>
      <c r="J17" s="81" t="s">
        <v>1039</v>
      </c>
      <c r="K17" s="79"/>
      <c r="L17" s="79"/>
    </row>
    <row r="18" spans="1:12">
      <c r="A18" s="81" t="s">
        <v>269</v>
      </c>
      <c r="B18" s="81" t="s">
        <v>77</v>
      </c>
      <c r="C18" s="81" t="s">
        <v>85</v>
      </c>
      <c r="D18" s="81" t="s">
        <v>885</v>
      </c>
      <c r="E18" s="81">
        <v>2</v>
      </c>
      <c r="F18" s="81">
        <v>5</v>
      </c>
      <c r="G18" s="81" t="s">
        <v>200</v>
      </c>
      <c r="H18" s="81" t="s">
        <v>884</v>
      </c>
      <c r="I18" s="81" t="s">
        <v>243</v>
      </c>
      <c r="J18" s="81" t="s">
        <v>1039</v>
      </c>
      <c r="K18" s="79"/>
      <c r="L18" s="79"/>
    </row>
    <row r="19" spans="1:12">
      <c r="A19" s="81" t="s">
        <v>270</v>
      </c>
      <c r="B19" s="81" t="s">
        <v>77</v>
      </c>
      <c r="C19" s="81" t="s">
        <v>85</v>
      </c>
      <c r="D19" s="81" t="s">
        <v>885</v>
      </c>
      <c r="E19" s="81">
        <v>2</v>
      </c>
      <c r="F19" s="81">
        <v>5</v>
      </c>
      <c r="G19" s="81" t="s">
        <v>200</v>
      </c>
      <c r="H19" s="81" t="s">
        <v>884</v>
      </c>
      <c r="I19" s="81" t="s">
        <v>243</v>
      </c>
      <c r="J19" s="81" t="s">
        <v>1039</v>
      </c>
      <c r="K19" s="79"/>
      <c r="L19" s="79"/>
    </row>
    <row r="20" spans="1:12">
      <c r="A20" s="81" t="s">
        <v>271</v>
      </c>
      <c r="B20" s="81" t="s">
        <v>77</v>
      </c>
      <c r="C20" s="81" t="s">
        <v>85</v>
      </c>
      <c r="D20" s="81" t="s">
        <v>885</v>
      </c>
      <c r="E20" s="81">
        <v>2</v>
      </c>
      <c r="F20" s="81">
        <v>5</v>
      </c>
      <c r="G20" s="81" t="s">
        <v>200</v>
      </c>
      <c r="H20" s="81" t="s">
        <v>884</v>
      </c>
      <c r="I20" s="81" t="s">
        <v>243</v>
      </c>
      <c r="J20" s="81" t="s">
        <v>1039</v>
      </c>
      <c r="K20" s="79"/>
      <c r="L20" s="79"/>
    </row>
    <row r="21" spans="1:12">
      <c r="A21" s="81" t="s">
        <v>272</v>
      </c>
      <c r="B21" s="81" t="s">
        <v>77</v>
      </c>
      <c r="C21" s="81" t="s">
        <v>85</v>
      </c>
      <c r="D21" s="81" t="s">
        <v>885</v>
      </c>
      <c r="E21" s="81">
        <v>2</v>
      </c>
      <c r="F21" s="81">
        <v>5</v>
      </c>
      <c r="G21" s="81" t="s">
        <v>200</v>
      </c>
      <c r="H21" s="81" t="s">
        <v>884</v>
      </c>
      <c r="I21" s="81" t="s">
        <v>243</v>
      </c>
      <c r="J21" s="81" t="s">
        <v>1039</v>
      </c>
      <c r="K21" s="79"/>
      <c r="L21" s="79"/>
    </row>
    <row r="22" spans="1:12">
      <c r="A22" s="81" t="s">
        <v>273</v>
      </c>
      <c r="B22" s="81" t="s">
        <v>77</v>
      </c>
      <c r="C22" s="81" t="s">
        <v>85</v>
      </c>
      <c r="D22" s="81" t="s">
        <v>885</v>
      </c>
      <c r="E22" s="81">
        <v>2</v>
      </c>
      <c r="F22" s="81">
        <v>5</v>
      </c>
      <c r="G22" s="81" t="s">
        <v>200</v>
      </c>
      <c r="H22" s="81" t="s">
        <v>884</v>
      </c>
      <c r="I22" s="81" t="s">
        <v>243</v>
      </c>
      <c r="J22" s="81" t="s">
        <v>1039</v>
      </c>
      <c r="K22" s="79"/>
      <c r="L22" s="79"/>
    </row>
    <row r="23" spans="1:12">
      <c r="A23" s="81" t="s">
        <v>277</v>
      </c>
      <c r="B23" s="81" t="s">
        <v>77</v>
      </c>
      <c r="C23" s="81" t="s">
        <v>85</v>
      </c>
      <c r="D23" s="81" t="s">
        <v>885</v>
      </c>
      <c r="E23" s="81">
        <v>2</v>
      </c>
      <c r="F23" s="81">
        <v>5</v>
      </c>
      <c r="G23" s="81" t="s">
        <v>200</v>
      </c>
      <c r="H23" s="81" t="s">
        <v>884</v>
      </c>
      <c r="I23" s="81" t="s">
        <v>243</v>
      </c>
      <c r="J23" s="81" t="s">
        <v>1039</v>
      </c>
      <c r="K23" s="79"/>
      <c r="L23" s="79"/>
    </row>
    <row r="24" spans="1:12">
      <c r="A24" s="81" t="s">
        <v>279</v>
      </c>
      <c r="B24" s="81" t="s">
        <v>77</v>
      </c>
      <c r="C24" s="81" t="s">
        <v>85</v>
      </c>
      <c r="D24" s="81" t="s">
        <v>885</v>
      </c>
      <c r="E24" s="81">
        <v>2</v>
      </c>
      <c r="F24" s="81">
        <v>5</v>
      </c>
      <c r="G24" s="81" t="s">
        <v>200</v>
      </c>
      <c r="H24" s="81" t="s">
        <v>884</v>
      </c>
      <c r="I24" s="81" t="s">
        <v>243</v>
      </c>
      <c r="J24" s="81" t="s">
        <v>1039</v>
      </c>
      <c r="K24" s="79"/>
      <c r="L24" s="79"/>
    </row>
    <row r="25" spans="1:12">
      <c r="A25" s="81" t="s">
        <v>280</v>
      </c>
      <c r="B25" s="81" t="s">
        <v>77</v>
      </c>
      <c r="C25" s="81" t="s">
        <v>85</v>
      </c>
      <c r="D25" s="81" t="s">
        <v>885</v>
      </c>
      <c r="E25" s="81">
        <v>2</v>
      </c>
      <c r="F25" s="81">
        <v>5</v>
      </c>
      <c r="G25" s="81" t="s">
        <v>200</v>
      </c>
      <c r="H25" s="81" t="s">
        <v>884</v>
      </c>
      <c r="I25" s="81" t="s">
        <v>243</v>
      </c>
      <c r="J25" s="81" t="s">
        <v>1039</v>
      </c>
      <c r="K25" s="79"/>
      <c r="L25" s="79"/>
    </row>
    <row r="26" spans="1:12">
      <c r="A26" s="81" t="s">
        <v>281</v>
      </c>
      <c r="B26" s="81" t="s">
        <v>77</v>
      </c>
      <c r="C26" s="81" t="s">
        <v>85</v>
      </c>
      <c r="D26" s="81" t="s">
        <v>885</v>
      </c>
      <c r="E26" s="81">
        <v>2</v>
      </c>
      <c r="F26" s="81">
        <v>5</v>
      </c>
      <c r="G26" s="81" t="s">
        <v>200</v>
      </c>
      <c r="H26" s="81" t="s">
        <v>884</v>
      </c>
      <c r="I26" s="81" t="s">
        <v>243</v>
      </c>
      <c r="J26" s="81" t="s">
        <v>1039</v>
      </c>
      <c r="K26" s="79"/>
      <c r="L26" s="79"/>
    </row>
    <row r="27" spans="1:12">
      <c r="A27" s="81" t="s">
        <v>282</v>
      </c>
      <c r="B27" s="81" t="s">
        <v>77</v>
      </c>
      <c r="C27" s="81" t="s">
        <v>85</v>
      </c>
      <c r="D27" s="81" t="s">
        <v>885</v>
      </c>
      <c r="E27" s="81">
        <v>2</v>
      </c>
      <c r="F27" s="81">
        <v>5</v>
      </c>
      <c r="G27" s="81" t="s">
        <v>200</v>
      </c>
      <c r="H27" s="81" t="s">
        <v>884</v>
      </c>
      <c r="I27" s="81" t="s">
        <v>243</v>
      </c>
      <c r="J27" s="81" t="s">
        <v>1039</v>
      </c>
      <c r="K27" s="79"/>
      <c r="L27" s="79"/>
    </row>
    <row r="28" spans="1:12">
      <c r="A28" s="81" t="s">
        <v>283</v>
      </c>
      <c r="B28" s="81" t="s">
        <v>77</v>
      </c>
      <c r="C28" s="81" t="s">
        <v>85</v>
      </c>
      <c r="D28" s="81" t="s">
        <v>885</v>
      </c>
      <c r="E28" s="81">
        <v>2</v>
      </c>
      <c r="F28" s="81">
        <v>5</v>
      </c>
      <c r="G28" s="81" t="s">
        <v>200</v>
      </c>
      <c r="H28" s="81" t="s">
        <v>884</v>
      </c>
      <c r="I28" s="81" t="s">
        <v>243</v>
      </c>
      <c r="J28" s="81" t="s">
        <v>1039</v>
      </c>
      <c r="K28" s="79"/>
      <c r="L28" s="79"/>
    </row>
    <row r="29" spans="1:12">
      <c r="A29" s="81" t="s">
        <v>284</v>
      </c>
      <c r="B29" s="81" t="s">
        <v>77</v>
      </c>
      <c r="C29" s="81" t="s">
        <v>85</v>
      </c>
      <c r="D29" s="81" t="s">
        <v>885</v>
      </c>
      <c r="E29" s="81">
        <v>2</v>
      </c>
      <c r="F29" s="81">
        <v>5</v>
      </c>
      <c r="G29" s="81" t="s">
        <v>200</v>
      </c>
      <c r="H29" s="81" t="s">
        <v>884</v>
      </c>
      <c r="I29" s="81" t="s">
        <v>243</v>
      </c>
      <c r="J29" s="81" t="s">
        <v>1039</v>
      </c>
      <c r="K29" s="79"/>
      <c r="L29" s="79"/>
    </row>
    <row r="30" spans="1:12">
      <c r="A30" s="81" t="s">
        <v>287</v>
      </c>
      <c r="B30" s="81" t="s">
        <v>77</v>
      </c>
      <c r="C30" s="81" t="s">
        <v>85</v>
      </c>
      <c r="D30" s="81" t="s">
        <v>885</v>
      </c>
      <c r="E30" s="81">
        <v>2</v>
      </c>
      <c r="F30" s="81">
        <v>5</v>
      </c>
      <c r="G30" s="81" t="s">
        <v>200</v>
      </c>
      <c r="H30" s="81" t="s">
        <v>884</v>
      </c>
      <c r="I30" s="81" t="s">
        <v>243</v>
      </c>
      <c r="J30" s="81" t="s">
        <v>1039</v>
      </c>
      <c r="K30" s="79"/>
      <c r="L30" s="79"/>
    </row>
    <row r="31" spans="1:12">
      <c r="A31" s="81" t="s">
        <v>288</v>
      </c>
      <c r="B31" s="81" t="s">
        <v>77</v>
      </c>
      <c r="C31" s="81" t="s">
        <v>85</v>
      </c>
      <c r="D31" s="81" t="s">
        <v>885</v>
      </c>
      <c r="E31" s="81">
        <v>2</v>
      </c>
      <c r="F31" s="81">
        <v>5</v>
      </c>
      <c r="G31" s="81" t="s">
        <v>200</v>
      </c>
      <c r="H31" s="81" t="s">
        <v>884</v>
      </c>
      <c r="I31" s="81" t="s">
        <v>243</v>
      </c>
      <c r="J31" s="81" t="s">
        <v>1039</v>
      </c>
      <c r="K31" s="79"/>
      <c r="L31" s="79"/>
    </row>
    <row r="32" spans="1:12">
      <c r="A32" s="81" t="s">
        <v>289</v>
      </c>
      <c r="B32" s="81" t="s">
        <v>77</v>
      </c>
      <c r="C32" s="81" t="s">
        <v>85</v>
      </c>
      <c r="D32" s="81" t="s">
        <v>885</v>
      </c>
      <c r="E32" s="81">
        <v>2</v>
      </c>
      <c r="F32" s="81">
        <v>5</v>
      </c>
      <c r="G32" s="81" t="s">
        <v>200</v>
      </c>
      <c r="H32" s="81" t="s">
        <v>884</v>
      </c>
      <c r="I32" s="81" t="s">
        <v>243</v>
      </c>
      <c r="J32" s="81" t="s">
        <v>1039</v>
      </c>
      <c r="K32" s="79"/>
      <c r="L32" s="79"/>
    </row>
    <row r="33" spans="1:12">
      <c r="A33" s="81" t="s">
        <v>290</v>
      </c>
      <c r="B33" s="81" t="s">
        <v>77</v>
      </c>
      <c r="C33" s="81" t="s">
        <v>85</v>
      </c>
      <c r="D33" s="81" t="s">
        <v>885</v>
      </c>
      <c r="E33" s="81">
        <v>2</v>
      </c>
      <c r="F33" s="81">
        <v>5</v>
      </c>
      <c r="G33" s="81" t="s">
        <v>200</v>
      </c>
      <c r="H33" s="81" t="s">
        <v>884</v>
      </c>
      <c r="I33" s="81" t="s">
        <v>243</v>
      </c>
      <c r="J33" s="81" t="s">
        <v>1039</v>
      </c>
      <c r="K33" s="79"/>
      <c r="L33" s="79"/>
    </row>
    <row r="34" spans="1:12">
      <c r="A34" s="81" t="s">
        <v>292</v>
      </c>
      <c r="B34" s="81" t="s">
        <v>77</v>
      </c>
      <c r="C34" s="81" t="s">
        <v>85</v>
      </c>
      <c r="D34" s="81" t="s">
        <v>885</v>
      </c>
      <c r="E34" s="81">
        <v>2</v>
      </c>
      <c r="F34" s="81">
        <v>5</v>
      </c>
      <c r="G34" s="81" t="s">
        <v>200</v>
      </c>
      <c r="H34" s="81" t="s">
        <v>884</v>
      </c>
      <c r="I34" s="81" t="s">
        <v>243</v>
      </c>
      <c r="J34" s="81" t="s">
        <v>1039</v>
      </c>
      <c r="K34" s="79"/>
      <c r="L34" s="79"/>
    </row>
    <row r="35" spans="1:12">
      <c r="A35" s="81" t="s">
        <v>293</v>
      </c>
      <c r="B35" s="81" t="s">
        <v>77</v>
      </c>
      <c r="C35" s="81" t="s">
        <v>85</v>
      </c>
      <c r="D35" s="81" t="s">
        <v>885</v>
      </c>
      <c r="E35" s="81">
        <v>2</v>
      </c>
      <c r="F35" s="81">
        <v>5</v>
      </c>
      <c r="G35" s="81" t="s">
        <v>200</v>
      </c>
      <c r="H35" s="81" t="s">
        <v>884</v>
      </c>
      <c r="I35" s="81" t="s">
        <v>243</v>
      </c>
      <c r="J35" s="81" t="s">
        <v>1039</v>
      </c>
      <c r="K35" s="79"/>
      <c r="L35" s="79"/>
    </row>
    <row r="36" spans="1:12">
      <c r="A36" s="81" t="s">
        <v>294</v>
      </c>
      <c r="B36" s="81" t="s">
        <v>77</v>
      </c>
      <c r="C36" s="81" t="s">
        <v>85</v>
      </c>
      <c r="D36" s="81" t="s">
        <v>885</v>
      </c>
      <c r="E36" s="81">
        <v>2</v>
      </c>
      <c r="F36" s="81">
        <v>5</v>
      </c>
      <c r="G36" s="81" t="s">
        <v>200</v>
      </c>
      <c r="H36" s="81" t="s">
        <v>884</v>
      </c>
      <c r="I36" s="81" t="s">
        <v>243</v>
      </c>
      <c r="J36" s="81" t="s">
        <v>1039</v>
      </c>
      <c r="K36" s="79"/>
      <c r="L36" s="79"/>
    </row>
    <row r="37" spans="1:12">
      <c r="A37" s="81" t="s">
        <v>295</v>
      </c>
      <c r="B37" s="81" t="s">
        <v>77</v>
      </c>
      <c r="C37" s="81" t="s">
        <v>85</v>
      </c>
      <c r="D37" s="81" t="s">
        <v>885</v>
      </c>
      <c r="E37" s="81">
        <v>2</v>
      </c>
      <c r="F37" s="81">
        <v>5</v>
      </c>
      <c r="G37" s="81" t="s">
        <v>200</v>
      </c>
      <c r="H37" s="81" t="s">
        <v>884</v>
      </c>
      <c r="I37" s="81" t="s">
        <v>243</v>
      </c>
      <c r="J37" s="81" t="s">
        <v>1039</v>
      </c>
      <c r="K37" s="79"/>
      <c r="L37" s="79"/>
    </row>
    <row r="38" spans="1:12">
      <c r="A38" s="81" t="s">
        <v>296</v>
      </c>
      <c r="B38" s="81" t="s">
        <v>77</v>
      </c>
      <c r="C38" s="81" t="s">
        <v>85</v>
      </c>
      <c r="D38" s="81" t="s">
        <v>885</v>
      </c>
      <c r="E38" s="81">
        <v>2</v>
      </c>
      <c r="F38" s="81">
        <v>5</v>
      </c>
      <c r="G38" s="81" t="s">
        <v>200</v>
      </c>
      <c r="H38" s="81" t="s">
        <v>884</v>
      </c>
      <c r="I38" s="81" t="s">
        <v>243</v>
      </c>
      <c r="J38" s="81" t="s">
        <v>1039</v>
      </c>
      <c r="K38" s="79"/>
      <c r="L38" s="79"/>
    </row>
    <row r="39" spans="1:12">
      <c r="A39" s="81" t="s">
        <v>299</v>
      </c>
      <c r="B39" s="81" t="s">
        <v>77</v>
      </c>
      <c r="C39" s="81" t="s">
        <v>85</v>
      </c>
      <c r="D39" s="81" t="s">
        <v>885</v>
      </c>
      <c r="E39" s="81">
        <v>2</v>
      </c>
      <c r="F39" s="81">
        <v>5</v>
      </c>
      <c r="G39" s="81" t="s">
        <v>200</v>
      </c>
      <c r="H39" s="81" t="s">
        <v>884</v>
      </c>
      <c r="I39" s="81" t="s">
        <v>243</v>
      </c>
      <c r="J39" s="81" t="s">
        <v>1039</v>
      </c>
      <c r="K39" s="79"/>
      <c r="L39" s="79"/>
    </row>
    <row r="40" spans="1:12">
      <c r="A40" s="81" t="s">
        <v>300</v>
      </c>
      <c r="B40" s="81" t="s">
        <v>77</v>
      </c>
      <c r="C40" s="81" t="s">
        <v>85</v>
      </c>
      <c r="D40" s="81" t="s">
        <v>885</v>
      </c>
      <c r="E40" s="81">
        <v>2</v>
      </c>
      <c r="F40" s="81">
        <v>5</v>
      </c>
      <c r="G40" s="81" t="s">
        <v>200</v>
      </c>
      <c r="H40" s="81" t="s">
        <v>884</v>
      </c>
      <c r="I40" s="81" t="s">
        <v>243</v>
      </c>
      <c r="J40" s="81" t="s">
        <v>1039</v>
      </c>
      <c r="K40" s="79"/>
      <c r="L40" s="79"/>
    </row>
    <row r="41" spans="1:12">
      <c r="A41" s="81" t="s">
        <v>301</v>
      </c>
      <c r="B41" s="81" t="s">
        <v>77</v>
      </c>
      <c r="C41" s="81" t="s">
        <v>85</v>
      </c>
      <c r="D41" s="81" t="s">
        <v>885</v>
      </c>
      <c r="E41" s="81">
        <v>2</v>
      </c>
      <c r="F41" s="81">
        <v>5</v>
      </c>
      <c r="G41" s="81" t="s">
        <v>200</v>
      </c>
      <c r="H41" s="81" t="s">
        <v>884</v>
      </c>
      <c r="I41" s="81" t="s">
        <v>243</v>
      </c>
      <c r="J41" s="81" t="s">
        <v>1039</v>
      </c>
      <c r="K41" s="79"/>
      <c r="L41" s="79"/>
    </row>
    <row r="42" spans="1:12">
      <c r="A42" s="81" t="s">
        <v>302</v>
      </c>
      <c r="B42" s="81" t="s">
        <v>77</v>
      </c>
      <c r="C42" s="81" t="s">
        <v>85</v>
      </c>
      <c r="D42" s="81" t="s">
        <v>885</v>
      </c>
      <c r="E42" s="81">
        <v>2</v>
      </c>
      <c r="F42" s="81">
        <v>5</v>
      </c>
      <c r="G42" s="81" t="s">
        <v>200</v>
      </c>
      <c r="H42" s="81" t="s">
        <v>884</v>
      </c>
      <c r="I42" s="81" t="s">
        <v>243</v>
      </c>
      <c r="J42" s="81" t="s">
        <v>1039</v>
      </c>
      <c r="K42" s="79"/>
      <c r="L42" s="79"/>
    </row>
    <row r="43" spans="1:12">
      <c r="A43" s="81" t="s">
        <v>303</v>
      </c>
      <c r="B43" s="81" t="s">
        <v>77</v>
      </c>
      <c r="C43" s="81" t="s">
        <v>85</v>
      </c>
      <c r="D43" s="81" t="s">
        <v>885</v>
      </c>
      <c r="E43" s="81">
        <v>2</v>
      </c>
      <c r="F43" s="81">
        <v>5</v>
      </c>
      <c r="G43" s="81" t="s">
        <v>200</v>
      </c>
      <c r="H43" s="81" t="s">
        <v>884</v>
      </c>
      <c r="I43" s="81" t="s">
        <v>243</v>
      </c>
      <c r="J43" s="81" t="s">
        <v>1039</v>
      </c>
      <c r="K43" s="79"/>
      <c r="L43" s="79"/>
    </row>
    <row r="44" spans="1:12">
      <c r="A44" s="81" t="s">
        <v>304</v>
      </c>
      <c r="B44" s="81" t="s">
        <v>77</v>
      </c>
      <c r="C44" s="81" t="s">
        <v>85</v>
      </c>
      <c r="D44" s="81" t="s">
        <v>883</v>
      </c>
      <c r="E44" s="81">
        <v>4</v>
      </c>
      <c r="F44" s="81">
        <v>5</v>
      </c>
      <c r="G44" s="81" t="s">
        <v>199</v>
      </c>
      <c r="H44" s="81" t="s">
        <v>884</v>
      </c>
      <c r="I44" s="81" t="s">
        <v>243</v>
      </c>
      <c r="J44" s="81" t="s">
        <v>1038</v>
      </c>
      <c r="K44" s="79"/>
      <c r="L44" s="79"/>
    </row>
    <row r="45" spans="1:12">
      <c r="A45" s="81" t="s">
        <v>306</v>
      </c>
      <c r="B45" s="81" t="s">
        <v>77</v>
      </c>
      <c r="C45" s="81" t="s">
        <v>85</v>
      </c>
      <c r="D45" s="81" t="s">
        <v>883</v>
      </c>
      <c r="E45" s="81">
        <v>4</v>
      </c>
      <c r="F45" s="81">
        <v>5</v>
      </c>
      <c r="G45" s="81" t="s">
        <v>199</v>
      </c>
      <c r="H45" s="81" t="s">
        <v>884</v>
      </c>
      <c r="I45" s="81" t="s">
        <v>243</v>
      </c>
      <c r="J45" s="81" t="s">
        <v>1038</v>
      </c>
      <c r="K45" s="79"/>
      <c r="L45" s="79"/>
    </row>
    <row r="46" spans="1:12">
      <c r="A46" s="81" t="s">
        <v>307</v>
      </c>
      <c r="B46" s="81" t="s">
        <v>77</v>
      </c>
      <c r="C46" s="81" t="s">
        <v>85</v>
      </c>
      <c r="D46" s="81" t="s">
        <v>883</v>
      </c>
      <c r="E46" s="81">
        <v>4</v>
      </c>
      <c r="F46" s="81">
        <v>5</v>
      </c>
      <c r="G46" s="81" t="s">
        <v>199</v>
      </c>
      <c r="H46" s="81" t="s">
        <v>884</v>
      </c>
      <c r="I46" s="81" t="s">
        <v>243</v>
      </c>
      <c r="J46" s="81" t="s">
        <v>1038</v>
      </c>
      <c r="K46" s="79"/>
      <c r="L46" s="79"/>
    </row>
    <row r="47" spans="1:12">
      <c r="A47" s="81" t="s">
        <v>308</v>
      </c>
      <c r="B47" s="81" t="s">
        <v>77</v>
      </c>
      <c r="C47" s="81" t="s">
        <v>85</v>
      </c>
      <c r="D47" s="81" t="s">
        <v>883</v>
      </c>
      <c r="E47" s="81">
        <v>4</v>
      </c>
      <c r="F47" s="81">
        <v>5</v>
      </c>
      <c r="G47" s="81" t="s">
        <v>199</v>
      </c>
      <c r="H47" s="81" t="s">
        <v>884</v>
      </c>
      <c r="I47" s="81" t="s">
        <v>243</v>
      </c>
      <c r="J47" s="81" t="s">
        <v>1038</v>
      </c>
      <c r="K47" s="79"/>
      <c r="L47" s="79"/>
    </row>
    <row r="48" spans="1:12">
      <c r="A48" s="81" t="s">
        <v>309</v>
      </c>
      <c r="B48" s="81" t="s">
        <v>77</v>
      </c>
      <c r="C48" s="81" t="s">
        <v>85</v>
      </c>
      <c r="D48" s="81" t="s">
        <v>883</v>
      </c>
      <c r="E48" s="81">
        <v>4</v>
      </c>
      <c r="F48" s="81">
        <v>5</v>
      </c>
      <c r="G48" s="81" t="s">
        <v>199</v>
      </c>
      <c r="H48" s="81" t="s">
        <v>884</v>
      </c>
      <c r="I48" s="81" t="s">
        <v>243</v>
      </c>
      <c r="J48" s="81" t="s">
        <v>1038</v>
      </c>
      <c r="K48" s="79"/>
      <c r="L48" s="79"/>
    </row>
    <row r="49" spans="1:12">
      <c r="A49" s="81" t="s">
        <v>310</v>
      </c>
      <c r="B49" s="81" t="s">
        <v>77</v>
      </c>
      <c r="C49" s="81" t="s">
        <v>85</v>
      </c>
      <c r="D49" s="81" t="s">
        <v>883</v>
      </c>
      <c r="E49" s="81">
        <v>4</v>
      </c>
      <c r="F49" s="81">
        <v>5</v>
      </c>
      <c r="G49" s="81" t="s">
        <v>199</v>
      </c>
      <c r="H49" s="81" t="s">
        <v>884</v>
      </c>
      <c r="I49" s="81" t="s">
        <v>243</v>
      </c>
      <c r="J49" s="81" t="s">
        <v>1038</v>
      </c>
      <c r="K49" s="79"/>
      <c r="L49" s="79"/>
    </row>
    <row r="50" spans="1:12">
      <c r="A50" s="81" t="s">
        <v>311</v>
      </c>
      <c r="B50" s="81" t="s">
        <v>77</v>
      </c>
      <c r="C50" s="81" t="s">
        <v>85</v>
      </c>
      <c r="D50" s="81" t="s">
        <v>883</v>
      </c>
      <c r="E50" s="81">
        <v>4</v>
      </c>
      <c r="F50" s="81">
        <v>5</v>
      </c>
      <c r="G50" s="81" t="s">
        <v>199</v>
      </c>
      <c r="H50" s="81" t="s">
        <v>884</v>
      </c>
      <c r="I50" s="81" t="s">
        <v>243</v>
      </c>
      <c r="J50" s="81" t="s">
        <v>1038</v>
      </c>
      <c r="K50" s="79"/>
      <c r="L50" s="79"/>
    </row>
    <row r="51" spans="1:12">
      <c r="A51" s="81" t="s">
        <v>313</v>
      </c>
      <c r="B51" s="81" t="s">
        <v>77</v>
      </c>
      <c r="C51" s="81" t="s">
        <v>85</v>
      </c>
      <c r="D51" s="81" t="s">
        <v>883</v>
      </c>
      <c r="E51" s="81">
        <v>4</v>
      </c>
      <c r="F51" s="81">
        <v>5</v>
      </c>
      <c r="G51" s="81" t="s">
        <v>199</v>
      </c>
      <c r="H51" s="81" t="s">
        <v>884</v>
      </c>
      <c r="I51" s="81" t="s">
        <v>243</v>
      </c>
      <c r="J51" s="81" t="s">
        <v>1038</v>
      </c>
      <c r="K51" s="79"/>
      <c r="L51" s="79"/>
    </row>
    <row r="52" spans="1:12">
      <c r="A52" s="81" t="s">
        <v>314</v>
      </c>
      <c r="B52" s="81" t="s">
        <v>77</v>
      </c>
      <c r="C52" s="81" t="s">
        <v>85</v>
      </c>
      <c r="D52" s="81" t="s">
        <v>883</v>
      </c>
      <c r="E52" s="81">
        <v>4</v>
      </c>
      <c r="F52" s="81">
        <v>5</v>
      </c>
      <c r="G52" s="81" t="s">
        <v>199</v>
      </c>
      <c r="H52" s="81" t="s">
        <v>884</v>
      </c>
      <c r="I52" s="81" t="s">
        <v>243</v>
      </c>
      <c r="J52" s="81" t="s">
        <v>1038</v>
      </c>
      <c r="K52" s="79"/>
      <c r="L52" s="79"/>
    </row>
    <row r="53" spans="1:12">
      <c r="A53" s="81" t="s">
        <v>315</v>
      </c>
      <c r="B53" s="81" t="s">
        <v>77</v>
      </c>
      <c r="C53" s="81" t="s">
        <v>85</v>
      </c>
      <c r="D53" s="81" t="s">
        <v>883</v>
      </c>
      <c r="E53" s="81">
        <v>4</v>
      </c>
      <c r="F53" s="81">
        <v>5</v>
      </c>
      <c r="G53" s="81" t="s">
        <v>199</v>
      </c>
      <c r="H53" s="81" t="s">
        <v>884</v>
      </c>
      <c r="I53" s="81" t="s">
        <v>243</v>
      </c>
      <c r="J53" s="81" t="s">
        <v>1038</v>
      </c>
      <c r="K53" s="79"/>
      <c r="L53" s="79"/>
    </row>
    <row r="54" spans="1:12">
      <c r="A54" s="81" t="s">
        <v>316</v>
      </c>
      <c r="B54" s="81" t="s">
        <v>77</v>
      </c>
      <c r="C54" s="81" t="s">
        <v>85</v>
      </c>
      <c r="D54" s="81" t="s">
        <v>883</v>
      </c>
      <c r="E54" s="81">
        <v>4</v>
      </c>
      <c r="F54" s="81">
        <v>5</v>
      </c>
      <c r="G54" s="81" t="s">
        <v>199</v>
      </c>
      <c r="H54" s="81" t="s">
        <v>884</v>
      </c>
      <c r="I54" s="81" t="s">
        <v>243</v>
      </c>
      <c r="J54" s="81" t="s">
        <v>1038</v>
      </c>
      <c r="K54" s="79"/>
      <c r="L54" s="79"/>
    </row>
    <row r="55" spans="1:12">
      <c r="A55" s="81" t="s">
        <v>317</v>
      </c>
      <c r="B55" s="81" t="s">
        <v>77</v>
      </c>
      <c r="C55" s="81" t="s">
        <v>85</v>
      </c>
      <c r="D55" s="81" t="s">
        <v>885</v>
      </c>
      <c r="E55" s="81">
        <v>2</v>
      </c>
      <c r="F55" s="81">
        <v>5</v>
      </c>
      <c r="G55" s="81" t="s">
        <v>200</v>
      </c>
      <c r="H55" s="81" t="s">
        <v>884</v>
      </c>
      <c r="I55" s="81" t="s">
        <v>243</v>
      </c>
      <c r="J55" s="81" t="s">
        <v>1039</v>
      </c>
      <c r="K55" s="79"/>
      <c r="L55" s="79"/>
    </row>
    <row r="56" spans="1:12">
      <c r="A56" s="81" t="s">
        <v>320</v>
      </c>
      <c r="B56" s="81" t="s">
        <v>77</v>
      </c>
      <c r="C56" s="81" t="s">
        <v>85</v>
      </c>
      <c r="D56" s="81" t="s">
        <v>885</v>
      </c>
      <c r="E56" s="81">
        <v>2</v>
      </c>
      <c r="F56" s="81">
        <v>5</v>
      </c>
      <c r="G56" s="81" t="s">
        <v>200</v>
      </c>
      <c r="H56" s="81" t="s">
        <v>884</v>
      </c>
      <c r="I56" s="81" t="s">
        <v>243</v>
      </c>
      <c r="J56" s="81" t="s">
        <v>1039</v>
      </c>
      <c r="K56" s="79"/>
      <c r="L56" s="79"/>
    </row>
    <row r="57" spans="1:12">
      <c r="A57" s="81" t="s">
        <v>321</v>
      </c>
      <c r="B57" s="81" t="s">
        <v>77</v>
      </c>
      <c r="C57" s="81" t="s">
        <v>85</v>
      </c>
      <c r="D57" s="81" t="s">
        <v>885</v>
      </c>
      <c r="E57" s="81">
        <v>2</v>
      </c>
      <c r="F57" s="81">
        <v>5</v>
      </c>
      <c r="G57" s="81" t="s">
        <v>200</v>
      </c>
      <c r="H57" s="81" t="s">
        <v>884</v>
      </c>
      <c r="I57" s="81" t="s">
        <v>243</v>
      </c>
      <c r="J57" s="81" t="s">
        <v>1039</v>
      </c>
      <c r="K57" s="79"/>
      <c r="L57" s="79"/>
    </row>
    <row r="58" spans="1:12">
      <c r="A58" s="81" t="s">
        <v>322</v>
      </c>
      <c r="B58" s="81" t="s">
        <v>77</v>
      </c>
      <c r="C58" s="81" t="s">
        <v>85</v>
      </c>
      <c r="D58" s="81" t="s">
        <v>885</v>
      </c>
      <c r="E58" s="81">
        <v>2</v>
      </c>
      <c r="F58" s="81">
        <v>5</v>
      </c>
      <c r="G58" s="81" t="s">
        <v>200</v>
      </c>
      <c r="H58" s="81" t="s">
        <v>884</v>
      </c>
      <c r="I58" s="81" t="s">
        <v>243</v>
      </c>
      <c r="J58" s="81" t="s">
        <v>1039</v>
      </c>
      <c r="K58" s="79"/>
      <c r="L58" s="79"/>
    </row>
    <row r="59" spans="1:12">
      <c r="A59" s="81" t="s">
        <v>323</v>
      </c>
      <c r="B59" s="81" t="s">
        <v>77</v>
      </c>
      <c r="C59" s="81" t="s">
        <v>85</v>
      </c>
      <c r="D59" s="81" t="s">
        <v>885</v>
      </c>
      <c r="E59" s="81">
        <v>2</v>
      </c>
      <c r="F59" s="81">
        <v>5</v>
      </c>
      <c r="G59" s="81" t="s">
        <v>200</v>
      </c>
      <c r="H59" s="81" t="s">
        <v>884</v>
      </c>
      <c r="I59" s="81" t="s">
        <v>243</v>
      </c>
      <c r="J59" s="81" t="s">
        <v>1039</v>
      </c>
      <c r="K59" s="79"/>
      <c r="L59" s="79"/>
    </row>
    <row r="60" spans="1:12">
      <c r="A60" s="81" t="s">
        <v>324</v>
      </c>
      <c r="B60" s="81" t="s">
        <v>77</v>
      </c>
      <c r="C60" s="81" t="s">
        <v>85</v>
      </c>
      <c r="D60" s="81" t="s">
        <v>885</v>
      </c>
      <c r="E60" s="81">
        <v>2</v>
      </c>
      <c r="F60" s="81">
        <v>5</v>
      </c>
      <c r="G60" s="81" t="s">
        <v>200</v>
      </c>
      <c r="H60" s="81" t="s">
        <v>884</v>
      </c>
      <c r="I60" s="81" t="s">
        <v>243</v>
      </c>
      <c r="J60" s="81" t="s">
        <v>1039</v>
      </c>
      <c r="K60" s="79"/>
      <c r="L60" s="79"/>
    </row>
    <row r="61" spans="1:12">
      <c r="A61" s="81" t="s">
        <v>326</v>
      </c>
      <c r="B61" s="81" t="s">
        <v>77</v>
      </c>
      <c r="C61" s="81" t="s">
        <v>85</v>
      </c>
      <c r="D61" s="81" t="s">
        <v>885</v>
      </c>
      <c r="E61" s="81">
        <v>2</v>
      </c>
      <c r="F61" s="81">
        <v>5</v>
      </c>
      <c r="G61" s="81" t="s">
        <v>200</v>
      </c>
      <c r="H61" s="81" t="s">
        <v>884</v>
      </c>
      <c r="I61" s="81" t="s">
        <v>243</v>
      </c>
      <c r="J61" s="81" t="s">
        <v>1039</v>
      </c>
      <c r="K61" s="79"/>
      <c r="L61" s="79"/>
    </row>
    <row r="62" spans="1:12">
      <c r="A62" s="81" t="s">
        <v>327</v>
      </c>
      <c r="B62" s="81" t="s">
        <v>77</v>
      </c>
      <c r="C62" s="81" t="s">
        <v>85</v>
      </c>
      <c r="D62" s="81" t="s">
        <v>885</v>
      </c>
      <c r="E62" s="81">
        <v>2</v>
      </c>
      <c r="F62" s="81">
        <v>5</v>
      </c>
      <c r="G62" s="81" t="s">
        <v>200</v>
      </c>
      <c r="H62" s="81" t="s">
        <v>884</v>
      </c>
      <c r="I62" s="81" t="s">
        <v>243</v>
      </c>
      <c r="J62" s="81" t="s">
        <v>1039</v>
      </c>
      <c r="K62" s="79"/>
      <c r="L62" s="79"/>
    </row>
    <row r="63" spans="1:12">
      <c r="A63" s="81" t="s">
        <v>328</v>
      </c>
      <c r="B63" s="81" t="s">
        <v>77</v>
      </c>
      <c r="C63" s="81" t="s">
        <v>85</v>
      </c>
      <c r="D63" s="81" t="s">
        <v>885</v>
      </c>
      <c r="E63" s="81">
        <v>2</v>
      </c>
      <c r="F63" s="81">
        <v>5</v>
      </c>
      <c r="G63" s="81" t="s">
        <v>200</v>
      </c>
      <c r="H63" s="81" t="s">
        <v>884</v>
      </c>
      <c r="I63" s="81" t="s">
        <v>243</v>
      </c>
      <c r="J63" s="81" t="s">
        <v>1039</v>
      </c>
      <c r="K63" s="79"/>
      <c r="L63" s="79"/>
    </row>
    <row r="64" spans="1:12">
      <c r="A64" s="81" t="s">
        <v>329</v>
      </c>
      <c r="B64" s="81" t="s">
        <v>77</v>
      </c>
      <c r="C64" s="81" t="s">
        <v>85</v>
      </c>
      <c r="D64" s="81" t="s">
        <v>885</v>
      </c>
      <c r="E64" s="81">
        <v>2</v>
      </c>
      <c r="F64" s="81">
        <v>5</v>
      </c>
      <c r="G64" s="81" t="s">
        <v>200</v>
      </c>
      <c r="H64" s="81" t="s">
        <v>884</v>
      </c>
      <c r="I64" s="81" t="s">
        <v>243</v>
      </c>
      <c r="J64" s="81" t="s">
        <v>1039</v>
      </c>
      <c r="K64" s="79"/>
      <c r="L64" s="79"/>
    </row>
    <row r="65" spans="1:12">
      <c r="A65" s="81" t="s">
        <v>330</v>
      </c>
      <c r="B65" s="81" t="s">
        <v>77</v>
      </c>
      <c r="C65" s="81" t="s">
        <v>85</v>
      </c>
      <c r="D65" s="81" t="s">
        <v>885</v>
      </c>
      <c r="E65" s="81">
        <v>2</v>
      </c>
      <c r="F65" s="81">
        <v>5</v>
      </c>
      <c r="G65" s="81" t="s">
        <v>200</v>
      </c>
      <c r="H65" s="81" t="s">
        <v>884</v>
      </c>
      <c r="I65" s="81" t="s">
        <v>243</v>
      </c>
      <c r="J65" s="81" t="s">
        <v>1039</v>
      </c>
      <c r="K65" s="79"/>
      <c r="L65" s="79"/>
    </row>
    <row r="66" spans="1:12">
      <c r="A66" s="81" t="s">
        <v>334</v>
      </c>
      <c r="B66" s="81" t="s">
        <v>77</v>
      </c>
      <c r="C66" s="81" t="s">
        <v>85</v>
      </c>
      <c r="D66" s="81" t="s">
        <v>886</v>
      </c>
      <c r="E66" s="81">
        <v>4</v>
      </c>
      <c r="F66" s="81">
        <v>2</v>
      </c>
      <c r="G66" s="81" t="s">
        <v>200</v>
      </c>
      <c r="H66" s="81" t="s">
        <v>887</v>
      </c>
      <c r="I66" s="81" t="s">
        <v>341</v>
      </c>
      <c r="J66" s="81" t="s">
        <v>1040</v>
      </c>
      <c r="K66" s="79"/>
      <c r="L66" s="79"/>
    </row>
    <row r="67" spans="1:12">
      <c r="A67" s="81" t="s">
        <v>342</v>
      </c>
      <c r="B67" s="81" t="s">
        <v>77</v>
      </c>
      <c r="C67" s="81" t="s">
        <v>85</v>
      </c>
      <c r="D67" s="81" t="s">
        <v>886</v>
      </c>
      <c r="E67" s="81">
        <v>4</v>
      </c>
      <c r="F67" s="81">
        <v>2</v>
      </c>
      <c r="G67" s="81" t="s">
        <v>200</v>
      </c>
      <c r="H67" s="81" t="s">
        <v>887</v>
      </c>
      <c r="I67" s="81" t="s">
        <v>341</v>
      </c>
      <c r="J67" s="81" t="s">
        <v>1040</v>
      </c>
      <c r="K67" s="79"/>
      <c r="L67" s="79"/>
    </row>
    <row r="68" spans="1:12">
      <c r="A68" s="81" t="s">
        <v>343</v>
      </c>
      <c r="B68" s="81" t="s">
        <v>77</v>
      </c>
      <c r="C68" s="81" t="s">
        <v>85</v>
      </c>
      <c r="D68" s="81" t="s">
        <v>888</v>
      </c>
      <c r="E68" s="81">
        <v>2</v>
      </c>
      <c r="F68" s="81">
        <v>5</v>
      </c>
      <c r="G68" s="81" t="s">
        <v>200</v>
      </c>
      <c r="H68" s="81" t="s">
        <v>884</v>
      </c>
      <c r="I68" s="81" t="s">
        <v>243</v>
      </c>
      <c r="J68" s="81" t="s">
        <v>1039</v>
      </c>
      <c r="K68" s="79"/>
      <c r="L68" s="79"/>
    </row>
    <row r="69" spans="1:12">
      <c r="A69" s="81" t="s">
        <v>347</v>
      </c>
      <c r="B69" s="81" t="s">
        <v>77</v>
      </c>
      <c r="C69" s="81" t="s">
        <v>85</v>
      </c>
      <c r="D69" s="81" t="s">
        <v>888</v>
      </c>
      <c r="E69" s="81">
        <v>2</v>
      </c>
      <c r="F69" s="81">
        <v>5</v>
      </c>
      <c r="G69" s="81" t="s">
        <v>200</v>
      </c>
      <c r="H69" s="81" t="s">
        <v>884</v>
      </c>
      <c r="I69" s="81" t="s">
        <v>243</v>
      </c>
      <c r="J69" s="81" t="s">
        <v>1039</v>
      </c>
      <c r="K69" s="79"/>
      <c r="L69" s="79"/>
    </row>
    <row r="70" spans="1:12">
      <c r="A70" s="81" t="s">
        <v>348</v>
      </c>
      <c r="B70" s="81" t="s">
        <v>77</v>
      </c>
      <c r="C70" s="81" t="s">
        <v>85</v>
      </c>
      <c r="D70" s="81" t="s">
        <v>888</v>
      </c>
      <c r="E70" s="81">
        <v>2</v>
      </c>
      <c r="F70" s="81">
        <v>5</v>
      </c>
      <c r="G70" s="81" t="s">
        <v>200</v>
      </c>
      <c r="H70" s="81" t="s">
        <v>884</v>
      </c>
      <c r="I70" s="81" t="s">
        <v>243</v>
      </c>
      <c r="J70" s="81" t="s">
        <v>1039</v>
      </c>
      <c r="K70" s="79"/>
      <c r="L70" s="79"/>
    </row>
    <row r="71" spans="1:12">
      <c r="A71" s="81" t="s">
        <v>349</v>
      </c>
      <c r="B71" s="81" t="s">
        <v>77</v>
      </c>
      <c r="C71" s="81" t="s">
        <v>85</v>
      </c>
      <c r="D71" s="81" t="s">
        <v>888</v>
      </c>
      <c r="E71" s="81">
        <v>2</v>
      </c>
      <c r="F71" s="81">
        <v>5</v>
      </c>
      <c r="G71" s="81" t="s">
        <v>200</v>
      </c>
      <c r="H71" s="81" t="s">
        <v>884</v>
      </c>
      <c r="I71" s="81" t="s">
        <v>243</v>
      </c>
      <c r="J71" s="81" t="s">
        <v>1039</v>
      </c>
      <c r="K71" s="79"/>
      <c r="L71" s="79"/>
    </row>
    <row r="72" spans="1:12">
      <c r="A72" s="81" t="s">
        <v>350</v>
      </c>
      <c r="B72" s="81" t="s">
        <v>77</v>
      </c>
      <c r="C72" s="81" t="s">
        <v>85</v>
      </c>
      <c r="D72" s="81" t="s">
        <v>888</v>
      </c>
      <c r="E72" s="81">
        <v>2</v>
      </c>
      <c r="F72" s="81">
        <v>5</v>
      </c>
      <c r="G72" s="81" t="s">
        <v>200</v>
      </c>
      <c r="H72" s="81" t="s">
        <v>884</v>
      </c>
      <c r="I72" s="81" t="s">
        <v>243</v>
      </c>
      <c r="J72" s="81" t="s">
        <v>1039</v>
      </c>
      <c r="K72" s="79"/>
      <c r="L72" s="79"/>
    </row>
    <row r="73" spans="1:12">
      <c r="A73" s="81" t="s">
        <v>351</v>
      </c>
      <c r="B73" s="81" t="s">
        <v>77</v>
      </c>
      <c r="C73" s="81" t="s">
        <v>85</v>
      </c>
      <c r="D73" s="81" t="s">
        <v>889</v>
      </c>
      <c r="E73" s="81">
        <v>2</v>
      </c>
      <c r="F73" s="81">
        <v>2</v>
      </c>
      <c r="G73" s="81" t="s">
        <v>202</v>
      </c>
      <c r="H73" s="81" t="s">
        <v>887</v>
      </c>
      <c r="I73" s="81" t="s">
        <v>341</v>
      </c>
      <c r="J73" s="81" t="s">
        <v>1041</v>
      </c>
      <c r="K73" s="79"/>
      <c r="L73" s="79"/>
    </row>
    <row r="74" spans="1:12">
      <c r="A74" s="81" t="s">
        <v>353</v>
      </c>
      <c r="B74" s="81" t="s">
        <v>77</v>
      </c>
      <c r="C74" s="81" t="s">
        <v>85</v>
      </c>
      <c r="D74" s="81" t="s">
        <v>889</v>
      </c>
      <c r="E74" s="81">
        <v>2</v>
      </c>
      <c r="F74" s="81">
        <v>2</v>
      </c>
      <c r="G74" s="81" t="s">
        <v>202</v>
      </c>
      <c r="H74" s="81" t="s">
        <v>887</v>
      </c>
      <c r="I74" s="81" t="s">
        <v>341</v>
      </c>
      <c r="J74" s="81" t="s">
        <v>1041</v>
      </c>
      <c r="K74" s="79"/>
      <c r="L74" s="79"/>
    </row>
    <row r="75" spans="1:12">
      <c r="A75" s="81" t="s">
        <v>354</v>
      </c>
      <c r="B75" s="81" t="s">
        <v>77</v>
      </c>
      <c r="C75" s="81" t="s">
        <v>85</v>
      </c>
      <c r="D75" s="81" t="s">
        <v>889</v>
      </c>
      <c r="E75" s="81">
        <v>2</v>
      </c>
      <c r="F75" s="81">
        <v>2</v>
      </c>
      <c r="G75" s="81" t="s">
        <v>202</v>
      </c>
      <c r="H75" s="81" t="s">
        <v>887</v>
      </c>
      <c r="I75" s="81" t="s">
        <v>341</v>
      </c>
      <c r="J75" s="81" t="s">
        <v>1041</v>
      </c>
      <c r="K75" s="79"/>
      <c r="L75" s="79"/>
    </row>
    <row r="76" spans="1:12">
      <c r="A76" s="81" t="s">
        <v>355</v>
      </c>
      <c r="B76" s="81" t="s">
        <v>77</v>
      </c>
      <c r="C76" s="81" t="s">
        <v>85</v>
      </c>
      <c r="D76" s="81" t="s">
        <v>889</v>
      </c>
      <c r="E76" s="81">
        <v>2</v>
      </c>
      <c r="F76" s="81">
        <v>2</v>
      </c>
      <c r="G76" s="81" t="s">
        <v>202</v>
      </c>
      <c r="H76" s="81" t="s">
        <v>887</v>
      </c>
      <c r="I76" s="81" t="s">
        <v>341</v>
      </c>
      <c r="J76" s="81" t="s">
        <v>1041</v>
      </c>
      <c r="K76" s="79"/>
      <c r="L76" s="79"/>
    </row>
    <row r="77" spans="1:12">
      <c r="A77" s="81" t="s">
        <v>356</v>
      </c>
      <c r="B77" s="81" t="s">
        <v>77</v>
      </c>
      <c r="C77" s="81" t="s">
        <v>85</v>
      </c>
      <c r="D77" s="81" t="s">
        <v>889</v>
      </c>
      <c r="E77" s="81">
        <v>2</v>
      </c>
      <c r="F77" s="81">
        <v>2</v>
      </c>
      <c r="G77" s="81" t="s">
        <v>202</v>
      </c>
      <c r="H77" s="81" t="s">
        <v>887</v>
      </c>
      <c r="I77" s="81" t="s">
        <v>341</v>
      </c>
      <c r="J77" s="81" t="s">
        <v>1041</v>
      </c>
      <c r="K77" s="79"/>
      <c r="L77" s="79"/>
    </row>
    <row r="78" spans="1:12">
      <c r="A78" s="81" t="s">
        <v>357</v>
      </c>
      <c r="B78" s="81" t="s">
        <v>77</v>
      </c>
      <c r="C78" s="81" t="s">
        <v>85</v>
      </c>
      <c r="D78" s="81" t="s">
        <v>890</v>
      </c>
      <c r="E78" s="81">
        <v>2</v>
      </c>
      <c r="F78" s="81">
        <v>2</v>
      </c>
      <c r="G78" s="81" t="s">
        <v>202</v>
      </c>
      <c r="H78" s="81" t="s">
        <v>887</v>
      </c>
      <c r="I78" s="81" t="s">
        <v>341</v>
      </c>
      <c r="J78" s="81" t="s">
        <v>1041</v>
      </c>
      <c r="K78" s="79"/>
      <c r="L78" s="79"/>
    </row>
    <row r="79" spans="1:12">
      <c r="A79" s="81" t="s">
        <v>359</v>
      </c>
      <c r="B79" s="81" t="s">
        <v>77</v>
      </c>
      <c r="C79" s="81" t="s">
        <v>85</v>
      </c>
      <c r="D79" s="81" t="s">
        <v>885</v>
      </c>
      <c r="E79" s="81">
        <v>2</v>
      </c>
      <c r="F79" s="81">
        <v>5</v>
      </c>
      <c r="G79" s="81" t="s">
        <v>200</v>
      </c>
      <c r="H79" s="81" t="s">
        <v>884</v>
      </c>
      <c r="I79" s="81" t="s">
        <v>243</v>
      </c>
      <c r="J79" s="81" t="s">
        <v>1039</v>
      </c>
      <c r="K79" s="79"/>
      <c r="L79" s="79"/>
    </row>
    <row r="80" spans="1:12">
      <c r="A80" s="81" t="s">
        <v>361</v>
      </c>
      <c r="B80" s="81" t="s">
        <v>77</v>
      </c>
      <c r="C80" s="81" t="s">
        <v>203</v>
      </c>
      <c r="D80" s="81" t="s">
        <v>891</v>
      </c>
      <c r="E80" s="81">
        <v>2</v>
      </c>
      <c r="F80" s="81">
        <v>3</v>
      </c>
      <c r="G80" s="81" t="s">
        <v>200</v>
      </c>
      <c r="H80" s="81" t="s">
        <v>892</v>
      </c>
      <c r="I80" s="81" t="s">
        <v>243</v>
      </c>
      <c r="J80" s="81" t="s">
        <v>1042</v>
      </c>
      <c r="K80" s="79"/>
      <c r="L80" s="79"/>
    </row>
    <row r="81" spans="1:12">
      <c r="A81" s="81" t="s">
        <v>370</v>
      </c>
      <c r="B81" s="81" t="s">
        <v>77</v>
      </c>
      <c r="C81" s="81" t="s">
        <v>203</v>
      </c>
      <c r="D81" s="81" t="s">
        <v>891</v>
      </c>
      <c r="E81" s="81">
        <v>2</v>
      </c>
      <c r="F81" s="81">
        <v>3</v>
      </c>
      <c r="G81" s="81" t="s">
        <v>200</v>
      </c>
      <c r="H81" s="81" t="s">
        <v>892</v>
      </c>
      <c r="I81" s="81" t="s">
        <v>243</v>
      </c>
      <c r="J81" s="81" t="s">
        <v>1042</v>
      </c>
      <c r="K81" s="79"/>
      <c r="L81" s="79"/>
    </row>
    <row r="82" spans="1:12">
      <c r="A82" s="81" t="s">
        <v>371</v>
      </c>
      <c r="B82" s="81" t="s">
        <v>77</v>
      </c>
      <c r="C82" s="81" t="s">
        <v>203</v>
      </c>
      <c r="D82" s="81" t="s">
        <v>891</v>
      </c>
      <c r="E82" s="81">
        <v>2</v>
      </c>
      <c r="F82" s="81">
        <v>3</v>
      </c>
      <c r="G82" s="81" t="s">
        <v>200</v>
      </c>
      <c r="H82" s="81" t="s">
        <v>892</v>
      </c>
      <c r="I82" s="81" t="s">
        <v>243</v>
      </c>
      <c r="J82" s="81" t="s">
        <v>1042</v>
      </c>
      <c r="K82" s="79"/>
      <c r="L82" s="79"/>
    </row>
    <row r="83" spans="1:12">
      <c r="A83" s="81" t="s">
        <v>372</v>
      </c>
      <c r="B83" s="81" t="s">
        <v>77</v>
      </c>
      <c r="C83" s="81" t="s">
        <v>203</v>
      </c>
      <c r="D83" s="81" t="s">
        <v>891</v>
      </c>
      <c r="E83" s="81">
        <v>2</v>
      </c>
      <c r="F83" s="81">
        <v>3</v>
      </c>
      <c r="G83" s="81" t="s">
        <v>200</v>
      </c>
      <c r="H83" s="81" t="s">
        <v>892</v>
      </c>
      <c r="I83" s="81" t="s">
        <v>243</v>
      </c>
      <c r="J83" s="81" t="s">
        <v>1042</v>
      </c>
      <c r="K83" s="79"/>
      <c r="L83" s="79"/>
    </row>
    <row r="84" spans="1:12">
      <c r="A84" s="81" t="s">
        <v>373</v>
      </c>
      <c r="B84" s="81" t="s">
        <v>77</v>
      </c>
      <c r="C84" s="81" t="s">
        <v>85</v>
      </c>
      <c r="D84" s="81" t="s">
        <v>886</v>
      </c>
      <c r="E84" s="81">
        <v>4</v>
      </c>
      <c r="F84" s="81">
        <v>2</v>
      </c>
      <c r="G84" s="81" t="s">
        <v>200</v>
      </c>
      <c r="H84" s="81" t="s">
        <v>887</v>
      </c>
      <c r="I84" s="81" t="s">
        <v>341</v>
      </c>
      <c r="J84" s="81" t="s">
        <v>1040</v>
      </c>
      <c r="K84" s="79"/>
      <c r="L84" s="79"/>
    </row>
    <row r="85" spans="1:12">
      <c r="A85" s="81" t="s">
        <v>374</v>
      </c>
      <c r="B85" s="81" t="s">
        <v>77</v>
      </c>
      <c r="C85" s="81" t="s">
        <v>85</v>
      </c>
      <c r="D85" s="81" t="s">
        <v>890</v>
      </c>
      <c r="E85" s="81">
        <v>2</v>
      </c>
      <c r="F85" s="81">
        <v>2</v>
      </c>
      <c r="G85" s="81" t="s">
        <v>202</v>
      </c>
      <c r="H85" s="81" t="s">
        <v>887</v>
      </c>
      <c r="I85" s="81" t="s">
        <v>341</v>
      </c>
      <c r="J85" s="81" t="s">
        <v>1041</v>
      </c>
      <c r="K85" s="79"/>
      <c r="L85" s="79"/>
    </row>
    <row r="86" spans="1:12">
      <c r="A86" s="81" t="s">
        <v>376</v>
      </c>
      <c r="B86" s="81" t="s">
        <v>77</v>
      </c>
      <c r="C86" s="81" t="s">
        <v>85</v>
      </c>
      <c r="D86" s="81" t="s">
        <v>890</v>
      </c>
      <c r="E86" s="81">
        <v>2</v>
      </c>
      <c r="F86" s="81">
        <v>2</v>
      </c>
      <c r="G86" s="81" t="s">
        <v>202</v>
      </c>
      <c r="H86" s="81" t="s">
        <v>887</v>
      </c>
      <c r="I86" s="81" t="s">
        <v>341</v>
      </c>
      <c r="J86" s="81" t="s">
        <v>1041</v>
      </c>
      <c r="K86" s="79"/>
      <c r="L86" s="79"/>
    </row>
    <row r="87" spans="1:12">
      <c r="A87" s="81" t="s">
        <v>377</v>
      </c>
      <c r="B87" s="81" t="s">
        <v>77</v>
      </c>
      <c r="C87" s="81" t="s">
        <v>85</v>
      </c>
      <c r="D87" s="81" t="s">
        <v>890</v>
      </c>
      <c r="E87" s="81">
        <v>2</v>
      </c>
      <c r="F87" s="81">
        <v>2</v>
      </c>
      <c r="G87" s="81" t="s">
        <v>202</v>
      </c>
      <c r="H87" s="81" t="s">
        <v>887</v>
      </c>
      <c r="I87" s="81" t="s">
        <v>341</v>
      </c>
      <c r="J87" s="81" t="s">
        <v>1041</v>
      </c>
      <c r="K87" s="79"/>
      <c r="L87" s="79"/>
    </row>
    <row r="88" spans="1:12">
      <c r="A88" s="81" t="s">
        <v>378</v>
      </c>
      <c r="B88" s="81" t="s">
        <v>77</v>
      </c>
      <c r="C88" s="81" t="s">
        <v>85</v>
      </c>
      <c r="D88" s="81" t="s">
        <v>890</v>
      </c>
      <c r="E88" s="81">
        <v>2</v>
      </c>
      <c r="F88" s="81">
        <v>2</v>
      </c>
      <c r="G88" s="81" t="s">
        <v>202</v>
      </c>
      <c r="H88" s="81" t="s">
        <v>887</v>
      </c>
      <c r="I88" s="81" t="s">
        <v>341</v>
      </c>
      <c r="J88" s="81" t="s">
        <v>1041</v>
      </c>
      <c r="K88" s="79"/>
      <c r="L88" s="79"/>
    </row>
    <row r="89" spans="1:12">
      <c r="A89" s="81" t="s">
        <v>379</v>
      </c>
      <c r="B89" s="81" t="s">
        <v>77</v>
      </c>
      <c r="C89" s="81" t="s">
        <v>85</v>
      </c>
      <c r="D89" s="81" t="s">
        <v>890</v>
      </c>
      <c r="E89" s="81">
        <v>2</v>
      </c>
      <c r="F89" s="81">
        <v>2</v>
      </c>
      <c r="G89" s="81" t="s">
        <v>202</v>
      </c>
      <c r="H89" s="81" t="s">
        <v>887</v>
      </c>
      <c r="I89" s="81" t="s">
        <v>341</v>
      </c>
      <c r="J89" s="81" t="s">
        <v>1041</v>
      </c>
      <c r="K89" s="79"/>
      <c r="L89" s="79"/>
    </row>
    <row r="90" spans="1:12">
      <c r="A90" s="81" t="s">
        <v>380</v>
      </c>
      <c r="B90" s="81" t="s">
        <v>77</v>
      </c>
      <c r="C90" s="81" t="s">
        <v>85</v>
      </c>
      <c r="D90" s="81" t="s">
        <v>890</v>
      </c>
      <c r="E90" s="81">
        <v>2</v>
      </c>
      <c r="F90" s="81">
        <v>2</v>
      </c>
      <c r="G90" s="81" t="s">
        <v>202</v>
      </c>
      <c r="H90" s="81" t="s">
        <v>887</v>
      </c>
      <c r="I90" s="81" t="s">
        <v>341</v>
      </c>
      <c r="J90" s="81" t="s">
        <v>1041</v>
      </c>
      <c r="K90" s="79"/>
      <c r="L90" s="79"/>
    </row>
    <row r="91" spans="1:12">
      <c r="A91" s="81" t="s">
        <v>381</v>
      </c>
      <c r="B91" s="81" t="s">
        <v>77</v>
      </c>
      <c r="C91" s="81" t="s">
        <v>85</v>
      </c>
      <c r="D91" s="81" t="s">
        <v>890</v>
      </c>
      <c r="E91" s="81">
        <v>2</v>
      </c>
      <c r="F91" s="81">
        <v>2</v>
      </c>
      <c r="G91" s="81" t="s">
        <v>202</v>
      </c>
      <c r="H91" s="81" t="s">
        <v>887</v>
      </c>
      <c r="I91" s="81" t="s">
        <v>341</v>
      </c>
      <c r="J91" s="81" t="s">
        <v>1041</v>
      </c>
      <c r="K91" s="79"/>
      <c r="L91" s="79"/>
    </row>
    <row r="92" spans="1:12">
      <c r="A92" s="81" t="s">
        <v>382</v>
      </c>
      <c r="B92" s="81" t="s">
        <v>77</v>
      </c>
      <c r="C92" s="81" t="s">
        <v>85</v>
      </c>
      <c r="D92" s="81" t="s">
        <v>890</v>
      </c>
      <c r="E92" s="81">
        <v>2</v>
      </c>
      <c r="F92" s="81">
        <v>2</v>
      </c>
      <c r="G92" s="81" t="s">
        <v>202</v>
      </c>
      <c r="H92" s="81" t="s">
        <v>887</v>
      </c>
      <c r="I92" s="81" t="s">
        <v>341</v>
      </c>
      <c r="J92" s="81" t="s">
        <v>1041</v>
      </c>
      <c r="K92" s="79"/>
      <c r="L92" s="79"/>
    </row>
    <row r="93" spans="1:12">
      <c r="A93" s="81" t="s">
        <v>383</v>
      </c>
      <c r="B93" s="81" t="s">
        <v>77</v>
      </c>
      <c r="C93" s="81" t="s">
        <v>85</v>
      </c>
      <c r="D93" s="81" t="s">
        <v>890</v>
      </c>
      <c r="E93" s="81">
        <v>2</v>
      </c>
      <c r="F93" s="81">
        <v>2</v>
      </c>
      <c r="G93" s="81" t="s">
        <v>202</v>
      </c>
      <c r="H93" s="81" t="s">
        <v>887</v>
      </c>
      <c r="I93" s="81" t="s">
        <v>341</v>
      </c>
      <c r="J93" s="81" t="s">
        <v>1041</v>
      </c>
      <c r="K93" s="79"/>
      <c r="L93" s="79"/>
    </row>
    <row r="94" spans="1:12">
      <c r="A94" s="81" t="s">
        <v>384</v>
      </c>
      <c r="B94" s="81" t="s">
        <v>77</v>
      </c>
      <c r="C94" s="81" t="s">
        <v>85</v>
      </c>
      <c r="D94" s="81" t="s">
        <v>893</v>
      </c>
      <c r="E94" s="81">
        <v>4</v>
      </c>
      <c r="F94" s="81">
        <v>2</v>
      </c>
      <c r="G94" s="81" t="s">
        <v>200</v>
      </c>
      <c r="H94" s="81" t="s">
        <v>887</v>
      </c>
      <c r="I94" s="81" t="s">
        <v>341</v>
      </c>
      <c r="J94" s="81" t="s">
        <v>1040</v>
      </c>
      <c r="K94" s="79"/>
      <c r="L94" s="79"/>
    </row>
    <row r="95" spans="1:12">
      <c r="A95" s="81" t="s">
        <v>385</v>
      </c>
      <c r="B95" s="81" t="s">
        <v>77</v>
      </c>
      <c r="C95" s="81" t="s">
        <v>85</v>
      </c>
      <c r="D95" s="81" t="s">
        <v>893</v>
      </c>
      <c r="E95" s="81">
        <v>4</v>
      </c>
      <c r="F95" s="81">
        <v>2</v>
      </c>
      <c r="G95" s="81" t="s">
        <v>200</v>
      </c>
      <c r="H95" s="81" t="s">
        <v>887</v>
      </c>
      <c r="I95" s="81" t="s">
        <v>341</v>
      </c>
      <c r="J95" s="81" t="s">
        <v>1040</v>
      </c>
      <c r="K95" s="79"/>
      <c r="L95" s="79"/>
    </row>
    <row r="96" spans="1:12">
      <c r="A96" s="81" t="s">
        <v>386</v>
      </c>
      <c r="B96" s="81" t="s">
        <v>77</v>
      </c>
      <c r="C96" s="81" t="s">
        <v>85</v>
      </c>
      <c r="D96" s="81" t="s">
        <v>893</v>
      </c>
      <c r="E96" s="81">
        <v>4</v>
      </c>
      <c r="F96" s="81">
        <v>2</v>
      </c>
      <c r="G96" s="81" t="s">
        <v>200</v>
      </c>
      <c r="H96" s="81" t="s">
        <v>887</v>
      </c>
      <c r="I96" s="81" t="s">
        <v>341</v>
      </c>
      <c r="J96" s="81" t="s">
        <v>1040</v>
      </c>
      <c r="K96" s="79"/>
      <c r="L96" s="79"/>
    </row>
    <row r="97" spans="1:12">
      <c r="A97" s="81" t="s">
        <v>387</v>
      </c>
      <c r="B97" s="81" t="s">
        <v>77</v>
      </c>
      <c r="C97" s="81" t="s">
        <v>85</v>
      </c>
      <c r="D97" s="81" t="s">
        <v>893</v>
      </c>
      <c r="E97" s="81">
        <v>4</v>
      </c>
      <c r="F97" s="81">
        <v>2</v>
      </c>
      <c r="G97" s="81" t="s">
        <v>200</v>
      </c>
      <c r="H97" s="81" t="s">
        <v>887</v>
      </c>
      <c r="I97" s="81" t="s">
        <v>341</v>
      </c>
      <c r="J97" s="81" t="s">
        <v>1040</v>
      </c>
      <c r="K97" s="79"/>
      <c r="L97" s="79"/>
    </row>
    <row r="98" spans="1:12">
      <c r="A98" s="81" t="s">
        <v>389</v>
      </c>
      <c r="B98" s="81" t="s">
        <v>77</v>
      </c>
      <c r="C98" s="81" t="s">
        <v>85</v>
      </c>
      <c r="D98" s="81" t="s">
        <v>885</v>
      </c>
      <c r="E98" s="81">
        <v>2</v>
      </c>
      <c r="F98" s="81">
        <v>5</v>
      </c>
      <c r="G98" s="81" t="s">
        <v>200</v>
      </c>
      <c r="H98" s="81" t="s">
        <v>884</v>
      </c>
      <c r="I98" s="81" t="s">
        <v>243</v>
      </c>
      <c r="J98" s="81" t="s">
        <v>1039</v>
      </c>
      <c r="K98" s="79"/>
      <c r="L98" s="79"/>
    </row>
    <row r="99" spans="1:12">
      <c r="A99" s="81" t="s">
        <v>391</v>
      </c>
      <c r="B99" s="81" t="s">
        <v>77</v>
      </c>
      <c r="C99" s="81" t="s">
        <v>203</v>
      </c>
      <c r="D99" s="81" t="s">
        <v>894</v>
      </c>
      <c r="E99" s="81">
        <v>4</v>
      </c>
      <c r="F99" s="81">
        <v>2</v>
      </c>
      <c r="G99" s="81" t="s">
        <v>200</v>
      </c>
      <c r="H99" s="81" t="s">
        <v>887</v>
      </c>
      <c r="I99" s="81" t="s">
        <v>341</v>
      </c>
      <c r="J99" s="81" t="s">
        <v>1040</v>
      </c>
      <c r="K99" s="79"/>
      <c r="L99" s="79"/>
    </row>
    <row r="100" spans="1:12">
      <c r="A100" s="81" t="s">
        <v>396</v>
      </c>
      <c r="B100" s="81" t="s">
        <v>77</v>
      </c>
      <c r="C100" s="81" t="s">
        <v>203</v>
      </c>
      <c r="D100" s="81" t="s">
        <v>894</v>
      </c>
      <c r="E100" s="81">
        <v>4</v>
      </c>
      <c r="F100" s="81">
        <v>2</v>
      </c>
      <c r="G100" s="81" t="s">
        <v>200</v>
      </c>
      <c r="H100" s="81" t="s">
        <v>887</v>
      </c>
      <c r="I100" s="81" t="s">
        <v>341</v>
      </c>
      <c r="J100" s="81" t="s">
        <v>1040</v>
      </c>
      <c r="K100" s="79"/>
      <c r="L100" s="79"/>
    </row>
    <row r="101" spans="1:12">
      <c r="A101" s="81" t="s">
        <v>397</v>
      </c>
      <c r="B101" s="81" t="s">
        <v>77</v>
      </c>
      <c r="C101" s="81" t="s">
        <v>203</v>
      </c>
      <c r="D101" s="81" t="s">
        <v>894</v>
      </c>
      <c r="E101" s="81">
        <v>4</v>
      </c>
      <c r="F101" s="81">
        <v>2</v>
      </c>
      <c r="G101" s="81" t="s">
        <v>200</v>
      </c>
      <c r="H101" s="81" t="s">
        <v>887</v>
      </c>
      <c r="I101" s="81" t="s">
        <v>341</v>
      </c>
      <c r="J101" s="81" t="s">
        <v>1040</v>
      </c>
      <c r="K101" s="79"/>
      <c r="L101" s="79"/>
    </row>
    <row r="102" spans="1:12">
      <c r="A102" s="81" t="s">
        <v>398</v>
      </c>
      <c r="B102" s="81" t="s">
        <v>77</v>
      </c>
      <c r="C102" s="81" t="s">
        <v>201</v>
      </c>
      <c r="D102" s="81" t="s">
        <v>895</v>
      </c>
      <c r="E102" s="81">
        <v>2</v>
      </c>
      <c r="F102" s="81">
        <v>4</v>
      </c>
      <c r="G102" s="81" t="s">
        <v>200</v>
      </c>
      <c r="H102" s="81" t="s">
        <v>884</v>
      </c>
      <c r="I102" s="81" t="s">
        <v>243</v>
      </c>
      <c r="J102" s="81" t="s">
        <v>1043</v>
      </c>
      <c r="K102" s="79"/>
      <c r="L102" s="79"/>
    </row>
    <row r="103" spans="1:12">
      <c r="A103" s="81" t="s">
        <v>404</v>
      </c>
      <c r="B103" s="81" t="s">
        <v>77</v>
      </c>
      <c r="C103" s="81" t="s">
        <v>85</v>
      </c>
      <c r="D103" s="81" t="s">
        <v>888</v>
      </c>
      <c r="E103" s="81">
        <v>2</v>
      </c>
      <c r="F103" s="81">
        <v>5</v>
      </c>
      <c r="G103" s="81" t="s">
        <v>200</v>
      </c>
      <c r="H103" s="81" t="s">
        <v>884</v>
      </c>
      <c r="I103" s="81" t="s">
        <v>243</v>
      </c>
      <c r="J103" s="81" t="s">
        <v>1039</v>
      </c>
      <c r="K103" s="79"/>
      <c r="L103" s="79"/>
    </row>
    <row r="104" spans="1:12">
      <c r="A104" s="81" t="s">
        <v>407</v>
      </c>
      <c r="B104" s="81" t="s">
        <v>77</v>
      </c>
      <c r="C104" s="81" t="s">
        <v>85</v>
      </c>
      <c r="D104" s="81" t="s">
        <v>896</v>
      </c>
      <c r="E104" s="81">
        <v>2</v>
      </c>
      <c r="F104" s="81">
        <v>5</v>
      </c>
      <c r="G104" s="81" t="s">
        <v>200</v>
      </c>
      <c r="H104" s="81" t="s">
        <v>884</v>
      </c>
      <c r="I104" s="81" t="s">
        <v>243</v>
      </c>
      <c r="J104" s="81" t="s">
        <v>1039</v>
      </c>
      <c r="K104" s="79"/>
      <c r="L104" s="79"/>
    </row>
    <row r="105" spans="1:12">
      <c r="A105" s="81" t="s">
        <v>408</v>
      </c>
      <c r="B105" s="81" t="s">
        <v>77</v>
      </c>
      <c r="C105" s="81" t="s">
        <v>85</v>
      </c>
      <c r="D105" s="81" t="s">
        <v>885</v>
      </c>
      <c r="E105" s="81">
        <v>2</v>
      </c>
      <c r="F105" s="81">
        <v>5</v>
      </c>
      <c r="G105" s="81" t="s">
        <v>200</v>
      </c>
      <c r="H105" s="81" t="s">
        <v>884</v>
      </c>
      <c r="I105" s="81" t="s">
        <v>243</v>
      </c>
      <c r="J105" s="81" t="s">
        <v>1039</v>
      </c>
      <c r="K105" s="79"/>
      <c r="L105" s="79"/>
    </row>
    <row r="106" ht="26" spans="1:12">
      <c r="A106" s="81" t="s">
        <v>410</v>
      </c>
      <c r="B106" s="81" t="s">
        <v>77</v>
      </c>
      <c r="C106" s="81" t="s">
        <v>85</v>
      </c>
      <c r="D106" s="81" t="s">
        <v>897</v>
      </c>
      <c r="E106" s="81">
        <v>2</v>
      </c>
      <c r="F106" s="81">
        <v>2</v>
      </c>
      <c r="G106" s="81" t="s">
        <v>202</v>
      </c>
      <c r="H106" s="81" t="s">
        <v>887</v>
      </c>
      <c r="I106" s="81" t="s">
        <v>341</v>
      </c>
      <c r="J106" s="81" t="s">
        <v>1041</v>
      </c>
      <c r="K106" s="79"/>
      <c r="L106" s="79"/>
    </row>
    <row r="107" ht="26" spans="1:12">
      <c r="A107" s="81" t="s">
        <v>416</v>
      </c>
      <c r="B107" s="81" t="s">
        <v>77</v>
      </c>
      <c r="C107" s="81" t="s">
        <v>85</v>
      </c>
      <c r="D107" s="81" t="s">
        <v>897</v>
      </c>
      <c r="E107" s="81">
        <v>2</v>
      </c>
      <c r="F107" s="81">
        <v>2</v>
      </c>
      <c r="G107" s="81" t="s">
        <v>202</v>
      </c>
      <c r="H107" s="81" t="s">
        <v>887</v>
      </c>
      <c r="I107" s="81" t="s">
        <v>341</v>
      </c>
      <c r="J107" s="81" t="s">
        <v>1041</v>
      </c>
      <c r="K107" s="79"/>
      <c r="L107" s="79"/>
    </row>
    <row r="108" ht="26" spans="1:12">
      <c r="A108" s="81" t="s">
        <v>418</v>
      </c>
      <c r="B108" s="81" t="s">
        <v>77</v>
      </c>
      <c r="C108" s="81" t="s">
        <v>85</v>
      </c>
      <c r="D108" s="81" t="s">
        <v>897</v>
      </c>
      <c r="E108" s="81">
        <v>2</v>
      </c>
      <c r="F108" s="81">
        <v>2</v>
      </c>
      <c r="G108" s="81" t="s">
        <v>202</v>
      </c>
      <c r="H108" s="81" t="s">
        <v>887</v>
      </c>
      <c r="I108" s="81" t="s">
        <v>341</v>
      </c>
      <c r="J108" s="81" t="s">
        <v>1041</v>
      </c>
      <c r="K108" s="79"/>
      <c r="L108" s="79"/>
    </row>
    <row r="109" spans="1:12">
      <c r="A109" s="81" t="s">
        <v>420</v>
      </c>
      <c r="B109" s="81" t="s">
        <v>77</v>
      </c>
      <c r="C109" s="81" t="s">
        <v>201</v>
      </c>
      <c r="D109" s="81" t="s">
        <v>898</v>
      </c>
      <c r="E109" s="81">
        <v>2</v>
      </c>
      <c r="F109" s="81">
        <v>4</v>
      </c>
      <c r="G109" s="81" t="s">
        <v>200</v>
      </c>
      <c r="H109" s="81" t="s">
        <v>884</v>
      </c>
      <c r="I109" s="81" t="s">
        <v>243</v>
      </c>
      <c r="J109" s="81" t="s">
        <v>1043</v>
      </c>
      <c r="K109" s="79"/>
      <c r="L109" s="79"/>
    </row>
    <row r="110" spans="1:12">
      <c r="A110" s="81" t="s">
        <v>424</v>
      </c>
      <c r="B110" s="81" t="s">
        <v>77</v>
      </c>
      <c r="C110" s="81" t="s">
        <v>203</v>
      </c>
      <c r="D110" s="81" t="s">
        <v>899</v>
      </c>
      <c r="E110" s="81">
        <v>2</v>
      </c>
      <c r="F110" s="81">
        <v>3</v>
      </c>
      <c r="G110" s="81" t="s">
        <v>200</v>
      </c>
      <c r="H110" s="81" t="s">
        <v>892</v>
      </c>
      <c r="I110" s="81" t="s">
        <v>243</v>
      </c>
      <c r="J110" s="81" t="s">
        <v>1042</v>
      </c>
      <c r="K110" s="79"/>
      <c r="L110" s="79"/>
    </row>
    <row r="111" spans="1:12">
      <c r="A111" s="81" t="s">
        <v>426</v>
      </c>
      <c r="B111" s="81" t="s">
        <v>77</v>
      </c>
      <c r="C111" s="81" t="s">
        <v>201</v>
      </c>
      <c r="D111" s="81" t="s">
        <v>900</v>
      </c>
      <c r="E111" s="81">
        <v>2</v>
      </c>
      <c r="F111" s="81">
        <v>4</v>
      </c>
      <c r="G111" s="81" t="s">
        <v>200</v>
      </c>
      <c r="H111" s="81" t="s">
        <v>884</v>
      </c>
      <c r="I111" s="81" t="s">
        <v>243</v>
      </c>
      <c r="J111" s="81" t="s">
        <v>1043</v>
      </c>
      <c r="K111" s="79"/>
      <c r="L111" s="79"/>
    </row>
    <row r="112" ht="26" spans="1:12">
      <c r="A112" s="81" t="s">
        <v>427</v>
      </c>
      <c r="B112" s="81" t="s">
        <v>77</v>
      </c>
      <c r="C112" s="81" t="s">
        <v>201</v>
      </c>
      <c r="D112" s="81" t="s">
        <v>901</v>
      </c>
      <c r="E112" s="81">
        <v>4</v>
      </c>
      <c r="F112" s="81">
        <v>4</v>
      </c>
      <c r="G112" s="81" t="s">
        <v>199</v>
      </c>
      <c r="H112" s="81" t="s">
        <v>884</v>
      </c>
      <c r="I112" s="81" t="s">
        <v>243</v>
      </c>
      <c r="J112" s="81" t="s">
        <v>1044</v>
      </c>
      <c r="K112" s="79"/>
      <c r="L112" s="79"/>
    </row>
    <row r="113" spans="1:12">
      <c r="A113" s="81" t="s">
        <v>429</v>
      </c>
      <c r="B113" s="81" t="s">
        <v>77</v>
      </c>
      <c r="C113" s="81" t="s">
        <v>201</v>
      </c>
      <c r="D113" s="81" t="s">
        <v>902</v>
      </c>
      <c r="E113" s="81">
        <v>2</v>
      </c>
      <c r="F113" s="81">
        <v>4</v>
      </c>
      <c r="G113" s="81" t="s">
        <v>200</v>
      </c>
      <c r="H113" s="81" t="s">
        <v>884</v>
      </c>
      <c r="I113" s="81" t="s">
        <v>243</v>
      </c>
      <c r="J113" s="81" t="s">
        <v>1043</v>
      </c>
      <c r="K113" s="79"/>
      <c r="L113" s="79"/>
    </row>
    <row r="114" spans="1:12">
      <c r="A114" s="81" t="s">
        <v>432</v>
      </c>
      <c r="B114" s="81" t="s">
        <v>77</v>
      </c>
      <c r="C114" s="81" t="s">
        <v>201</v>
      </c>
      <c r="D114" s="81" t="s">
        <v>902</v>
      </c>
      <c r="E114" s="81">
        <v>2</v>
      </c>
      <c r="F114" s="81">
        <v>4</v>
      </c>
      <c r="G114" s="81" t="s">
        <v>200</v>
      </c>
      <c r="H114" s="81" t="s">
        <v>884</v>
      </c>
      <c r="I114" s="81" t="s">
        <v>243</v>
      </c>
      <c r="J114" s="81" t="s">
        <v>1043</v>
      </c>
      <c r="K114" s="79"/>
      <c r="L114" s="79"/>
    </row>
    <row r="115" spans="1:12">
      <c r="A115" s="81" t="s">
        <v>433</v>
      </c>
      <c r="B115" s="81" t="s">
        <v>77</v>
      </c>
      <c r="C115" s="81" t="s">
        <v>201</v>
      </c>
      <c r="D115" s="81" t="s">
        <v>902</v>
      </c>
      <c r="E115" s="81">
        <v>2</v>
      </c>
      <c r="F115" s="81">
        <v>4</v>
      </c>
      <c r="G115" s="81" t="s">
        <v>200</v>
      </c>
      <c r="H115" s="81" t="s">
        <v>884</v>
      </c>
      <c r="I115" s="81" t="s">
        <v>243</v>
      </c>
      <c r="J115" s="81" t="s">
        <v>1043</v>
      </c>
      <c r="K115" s="79"/>
      <c r="L115" s="79"/>
    </row>
    <row r="116" spans="1:12">
      <c r="A116" s="81" t="s">
        <v>434</v>
      </c>
      <c r="B116" s="81" t="s">
        <v>77</v>
      </c>
      <c r="C116" s="81" t="s">
        <v>201</v>
      </c>
      <c r="D116" s="81" t="s">
        <v>903</v>
      </c>
      <c r="E116" s="81">
        <v>2</v>
      </c>
      <c r="F116" s="81">
        <v>4</v>
      </c>
      <c r="G116" s="81" t="s">
        <v>200</v>
      </c>
      <c r="H116" s="81" t="s">
        <v>884</v>
      </c>
      <c r="I116" s="81" t="s">
        <v>243</v>
      </c>
      <c r="J116" s="81" t="s">
        <v>1043</v>
      </c>
      <c r="K116" s="79"/>
      <c r="L116" s="79"/>
    </row>
    <row r="117" spans="1:12">
      <c r="A117" s="81" t="s">
        <v>439</v>
      </c>
      <c r="B117" s="81" t="s">
        <v>77</v>
      </c>
      <c r="C117" s="81" t="s">
        <v>201</v>
      </c>
      <c r="D117" s="81" t="s">
        <v>903</v>
      </c>
      <c r="E117" s="81">
        <v>2</v>
      </c>
      <c r="F117" s="81">
        <v>4</v>
      </c>
      <c r="G117" s="81" t="s">
        <v>200</v>
      </c>
      <c r="H117" s="81" t="s">
        <v>884</v>
      </c>
      <c r="I117" s="81" t="s">
        <v>243</v>
      </c>
      <c r="J117" s="81" t="s">
        <v>1043</v>
      </c>
      <c r="K117" s="79"/>
      <c r="L117" s="79"/>
    </row>
    <row r="118" spans="1:12">
      <c r="A118" s="81" t="s">
        <v>441</v>
      </c>
      <c r="B118" s="81" t="s">
        <v>77</v>
      </c>
      <c r="C118" s="81" t="s">
        <v>201</v>
      </c>
      <c r="D118" s="81" t="s">
        <v>903</v>
      </c>
      <c r="E118" s="81">
        <v>2</v>
      </c>
      <c r="F118" s="81">
        <v>4</v>
      </c>
      <c r="G118" s="81" t="s">
        <v>200</v>
      </c>
      <c r="H118" s="81" t="s">
        <v>884</v>
      </c>
      <c r="I118" s="81" t="s">
        <v>243</v>
      </c>
      <c r="J118" s="81" t="s">
        <v>1043</v>
      </c>
      <c r="K118" s="79"/>
      <c r="L118" s="79"/>
    </row>
    <row r="119" spans="1:12">
      <c r="A119" s="81" t="s">
        <v>443</v>
      </c>
      <c r="B119" s="81" t="s">
        <v>77</v>
      </c>
      <c r="C119" s="81" t="s">
        <v>201</v>
      </c>
      <c r="D119" s="81" t="s">
        <v>903</v>
      </c>
      <c r="E119" s="81">
        <v>2</v>
      </c>
      <c r="F119" s="81">
        <v>4</v>
      </c>
      <c r="G119" s="81" t="s">
        <v>200</v>
      </c>
      <c r="H119" s="81" t="s">
        <v>884</v>
      </c>
      <c r="I119" s="81" t="s">
        <v>243</v>
      </c>
      <c r="J119" s="81" t="s">
        <v>1043</v>
      </c>
      <c r="K119" s="79"/>
      <c r="L119" s="79"/>
    </row>
    <row r="120" spans="1:12">
      <c r="A120" s="81" t="s">
        <v>444</v>
      </c>
      <c r="B120" s="81" t="s">
        <v>77</v>
      </c>
      <c r="C120" s="81" t="s">
        <v>201</v>
      </c>
      <c r="D120" s="81" t="s">
        <v>903</v>
      </c>
      <c r="E120" s="81">
        <v>2</v>
      </c>
      <c r="F120" s="81">
        <v>4</v>
      </c>
      <c r="G120" s="81" t="s">
        <v>200</v>
      </c>
      <c r="H120" s="81" t="s">
        <v>884</v>
      </c>
      <c r="I120" s="81" t="s">
        <v>243</v>
      </c>
      <c r="J120" s="81" t="s">
        <v>1043</v>
      </c>
      <c r="K120" s="79"/>
      <c r="L120" s="79"/>
    </row>
    <row r="121" spans="1:12">
      <c r="A121" s="81" t="s">
        <v>445</v>
      </c>
      <c r="B121" s="81" t="s">
        <v>77</v>
      </c>
      <c r="C121" s="81" t="s">
        <v>201</v>
      </c>
      <c r="D121" s="81" t="s">
        <v>903</v>
      </c>
      <c r="E121" s="81">
        <v>2</v>
      </c>
      <c r="F121" s="81">
        <v>4</v>
      </c>
      <c r="G121" s="81" t="s">
        <v>200</v>
      </c>
      <c r="H121" s="81" t="s">
        <v>884</v>
      </c>
      <c r="I121" s="81" t="s">
        <v>243</v>
      </c>
      <c r="J121" s="81" t="s">
        <v>1043</v>
      </c>
      <c r="K121" s="79"/>
      <c r="L121" s="79"/>
    </row>
    <row r="122" spans="1:12">
      <c r="A122" s="81" t="s">
        <v>446</v>
      </c>
      <c r="B122" s="81" t="s">
        <v>77</v>
      </c>
      <c r="C122" s="81" t="s">
        <v>201</v>
      </c>
      <c r="D122" s="81" t="s">
        <v>904</v>
      </c>
      <c r="E122" s="81">
        <v>2</v>
      </c>
      <c r="F122" s="81">
        <v>4</v>
      </c>
      <c r="G122" s="81" t="s">
        <v>200</v>
      </c>
      <c r="H122" s="81" t="s">
        <v>884</v>
      </c>
      <c r="I122" s="81" t="s">
        <v>243</v>
      </c>
      <c r="J122" s="81" t="s">
        <v>1043</v>
      </c>
      <c r="K122" s="79"/>
      <c r="L122" s="79"/>
    </row>
    <row r="123" spans="1:12">
      <c r="A123" s="81" t="s">
        <v>447</v>
      </c>
      <c r="B123" s="81" t="s">
        <v>77</v>
      </c>
      <c r="C123" s="81" t="s">
        <v>201</v>
      </c>
      <c r="D123" s="81" t="s">
        <v>903</v>
      </c>
      <c r="E123" s="81">
        <v>2</v>
      </c>
      <c r="F123" s="81">
        <v>4</v>
      </c>
      <c r="G123" s="81" t="s">
        <v>200</v>
      </c>
      <c r="H123" s="81" t="s">
        <v>884</v>
      </c>
      <c r="I123" s="81" t="s">
        <v>243</v>
      </c>
      <c r="J123" s="81" t="s">
        <v>1043</v>
      </c>
      <c r="K123" s="79"/>
      <c r="L123" s="79"/>
    </row>
    <row r="124" spans="1:12">
      <c r="A124" s="81" t="s">
        <v>448</v>
      </c>
      <c r="B124" s="81" t="s">
        <v>77</v>
      </c>
      <c r="C124" s="81" t="s">
        <v>203</v>
      </c>
      <c r="D124" s="81" t="s">
        <v>905</v>
      </c>
      <c r="E124" s="81">
        <v>2</v>
      </c>
      <c r="F124" s="81">
        <v>3</v>
      </c>
      <c r="G124" s="81" t="s">
        <v>200</v>
      </c>
      <c r="H124" s="81" t="s">
        <v>892</v>
      </c>
      <c r="I124" s="81" t="s">
        <v>243</v>
      </c>
      <c r="J124" s="81" t="s">
        <v>1042</v>
      </c>
      <c r="K124" s="79"/>
      <c r="L124" s="79"/>
    </row>
    <row r="125" spans="1:12">
      <c r="A125" s="81" t="s">
        <v>451</v>
      </c>
      <c r="B125" s="81" t="s">
        <v>77</v>
      </c>
      <c r="C125" s="81" t="s">
        <v>201</v>
      </c>
      <c r="D125" s="81" t="s">
        <v>906</v>
      </c>
      <c r="E125" s="81">
        <v>2</v>
      </c>
      <c r="F125" s="81">
        <v>4</v>
      </c>
      <c r="G125" s="81" t="s">
        <v>200</v>
      </c>
      <c r="H125" s="81" t="s">
        <v>884</v>
      </c>
      <c r="I125" s="81" t="s">
        <v>243</v>
      </c>
      <c r="J125" s="81" t="s">
        <v>1043</v>
      </c>
      <c r="K125" s="79"/>
      <c r="L125" s="79"/>
    </row>
    <row r="126" spans="1:12">
      <c r="A126" s="81" t="s">
        <v>452</v>
      </c>
      <c r="B126" s="81" t="s">
        <v>77</v>
      </c>
      <c r="C126" s="81" t="s">
        <v>203</v>
      </c>
      <c r="D126" s="81" t="s">
        <v>905</v>
      </c>
      <c r="E126" s="81">
        <v>2</v>
      </c>
      <c r="F126" s="81">
        <v>3</v>
      </c>
      <c r="G126" s="81" t="s">
        <v>200</v>
      </c>
      <c r="H126" s="81" t="s">
        <v>892</v>
      </c>
      <c r="I126" s="81" t="s">
        <v>243</v>
      </c>
      <c r="J126" s="81" t="s">
        <v>1042</v>
      </c>
      <c r="K126" s="79"/>
      <c r="L126" s="79"/>
    </row>
    <row r="127" spans="1:12">
      <c r="A127" s="81" t="s">
        <v>454</v>
      </c>
      <c r="B127" s="81" t="s">
        <v>77</v>
      </c>
      <c r="C127" s="81" t="s">
        <v>203</v>
      </c>
      <c r="D127" s="81" t="s">
        <v>905</v>
      </c>
      <c r="E127" s="81">
        <v>2</v>
      </c>
      <c r="F127" s="81">
        <v>3</v>
      </c>
      <c r="G127" s="81" t="s">
        <v>200</v>
      </c>
      <c r="H127" s="81" t="s">
        <v>892</v>
      </c>
      <c r="I127" s="81" t="s">
        <v>243</v>
      </c>
      <c r="J127" s="81" t="s">
        <v>1042</v>
      </c>
      <c r="K127" s="79"/>
      <c r="L127" s="79"/>
    </row>
    <row r="128" spans="1:12">
      <c r="A128" s="81" t="s">
        <v>455</v>
      </c>
      <c r="B128" s="81" t="s">
        <v>77</v>
      </c>
      <c r="C128" s="81" t="s">
        <v>201</v>
      </c>
      <c r="D128" s="81" t="s">
        <v>907</v>
      </c>
      <c r="E128" s="81">
        <v>1</v>
      </c>
      <c r="F128" s="81">
        <v>4</v>
      </c>
      <c r="G128" s="81" t="s">
        <v>202</v>
      </c>
      <c r="H128" s="81" t="s">
        <v>884</v>
      </c>
      <c r="I128" s="81" t="s">
        <v>243</v>
      </c>
      <c r="J128" s="81" t="s">
        <v>1045</v>
      </c>
      <c r="K128" s="79"/>
      <c r="L128" s="79"/>
    </row>
    <row r="129" spans="1:12">
      <c r="A129" s="81" t="s">
        <v>457</v>
      </c>
      <c r="B129" s="81" t="s">
        <v>77</v>
      </c>
      <c r="C129" s="81" t="s">
        <v>201</v>
      </c>
      <c r="D129" s="81" t="s">
        <v>903</v>
      </c>
      <c r="E129" s="81">
        <v>2</v>
      </c>
      <c r="F129" s="81">
        <v>4</v>
      </c>
      <c r="G129" s="81" t="s">
        <v>200</v>
      </c>
      <c r="H129" s="81" t="s">
        <v>884</v>
      </c>
      <c r="I129" s="81" t="s">
        <v>243</v>
      </c>
      <c r="J129" s="81" t="s">
        <v>1043</v>
      </c>
      <c r="K129" s="79"/>
      <c r="L129" s="79"/>
    </row>
    <row r="130" spans="1:12">
      <c r="A130" s="81" t="s">
        <v>458</v>
      </c>
      <c r="B130" s="81" t="s">
        <v>77</v>
      </c>
      <c r="C130" s="81" t="s">
        <v>201</v>
      </c>
      <c r="D130" s="81" t="s">
        <v>908</v>
      </c>
      <c r="E130" s="81">
        <v>2</v>
      </c>
      <c r="F130" s="81">
        <v>4</v>
      </c>
      <c r="G130" s="81" t="s">
        <v>200</v>
      </c>
      <c r="H130" s="81" t="s">
        <v>884</v>
      </c>
      <c r="I130" s="81" t="s">
        <v>243</v>
      </c>
      <c r="J130" s="81" t="s">
        <v>1043</v>
      </c>
      <c r="K130" s="79"/>
      <c r="L130" s="79"/>
    </row>
    <row r="131" spans="1:12">
      <c r="A131" s="81" t="s">
        <v>459</v>
      </c>
      <c r="B131" s="81" t="s">
        <v>77</v>
      </c>
      <c r="C131" s="81" t="s">
        <v>201</v>
      </c>
      <c r="D131" s="81" t="s">
        <v>903</v>
      </c>
      <c r="E131" s="81">
        <v>2</v>
      </c>
      <c r="F131" s="81">
        <v>4</v>
      </c>
      <c r="G131" s="81" t="s">
        <v>200</v>
      </c>
      <c r="H131" s="81" t="s">
        <v>884</v>
      </c>
      <c r="I131" s="81" t="s">
        <v>243</v>
      </c>
      <c r="J131" s="81" t="s">
        <v>1043</v>
      </c>
      <c r="K131" s="79"/>
      <c r="L131" s="79"/>
    </row>
    <row r="132" ht="26" spans="1:12">
      <c r="A132" s="81" t="s">
        <v>461</v>
      </c>
      <c r="B132" s="81" t="s">
        <v>77</v>
      </c>
      <c r="C132" s="81" t="s">
        <v>201</v>
      </c>
      <c r="D132" s="81" t="s">
        <v>909</v>
      </c>
      <c r="E132" s="81">
        <v>2</v>
      </c>
      <c r="F132" s="81">
        <v>4</v>
      </c>
      <c r="G132" s="81" t="s">
        <v>200</v>
      </c>
      <c r="H132" s="81" t="s">
        <v>884</v>
      </c>
      <c r="I132" s="81" t="s">
        <v>243</v>
      </c>
      <c r="J132" s="81" t="s">
        <v>1043</v>
      </c>
      <c r="K132" s="79"/>
      <c r="L132" s="79"/>
    </row>
    <row r="133" ht="26" spans="1:12">
      <c r="A133" s="81" t="s">
        <v>463</v>
      </c>
      <c r="B133" s="81" t="s">
        <v>77</v>
      </c>
      <c r="C133" s="81" t="s">
        <v>201</v>
      </c>
      <c r="D133" s="81" t="s">
        <v>909</v>
      </c>
      <c r="E133" s="81">
        <v>2</v>
      </c>
      <c r="F133" s="81">
        <v>4</v>
      </c>
      <c r="G133" s="81" t="s">
        <v>200</v>
      </c>
      <c r="H133" s="81" t="s">
        <v>884</v>
      </c>
      <c r="I133" s="81" t="s">
        <v>243</v>
      </c>
      <c r="J133" s="81" t="s">
        <v>1043</v>
      </c>
      <c r="K133" s="79"/>
      <c r="L133" s="79"/>
    </row>
    <row r="134" ht="26" spans="1:12">
      <c r="A134" s="81" t="s">
        <v>464</v>
      </c>
      <c r="B134" s="81" t="s">
        <v>77</v>
      </c>
      <c r="C134" s="81" t="s">
        <v>201</v>
      </c>
      <c r="D134" s="81" t="s">
        <v>909</v>
      </c>
      <c r="E134" s="81">
        <v>2</v>
      </c>
      <c r="F134" s="81">
        <v>4</v>
      </c>
      <c r="G134" s="81" t="s">
        <v>200</v>
      </c>
      <c r="H134" s="81" t="s">
        <v>884</v>
      </c>
      <c r="I134" s="81" t="s">
        <v>243</v>
      </c>
      <c r="J134" s="81" t="s">
        <v>1043</v>
      </c>
      <c r="K134" s="79"/>
      <c r="L134" s="79"/>
    </row>
    <row r="135" spans="1:12">
      <c r="A135" s="81" t="s">
        <v>465</v>
      </c>
      <c r="B135" s="81" t="s">
        <v>77</v>
      </c>
      <c r="C135" s="81" t="s">
        <v>201</v>
      </c>
      <c r="D135" s="81" t="s">
        <v>903</v>
      </c>
      <c r="E135" s="81">
        <v>2</v>
      </c>
      <c r="F135" s="81">
        <v>4</v>
      </c>
      <c r="G135" s="81" t="s">
        <v>200</v>
      </c>
      <c r="H135" s="81" t="s">
        <v>884</v>
      </c>
      <c r="I135" s="81" t="s">
        <v>243</v>
      </c>
      <c r="J135" s="81" t="s">
        <v>1043</v>
      </c>
      <c r="K135" s="79"/>
      <c r="L135" s="79"/>
    </row>
    <row r="136" ht="26" spans="1:12">
      <c r="A136" s="81" t="s">
        <v>466</v>
      </c>
      <c r="B136" s="81" t="s">
        <v>77</v>
      </c>
      <c r="C136" s="81" t="s">
        <v>201</v>
      </c>
      <c r="D136" s="81" t="s">
        <v>909</v>
      </c>
      <c r="E136" s="81">
        <v>2</v>
      </c>
      <c r="F136" s="81">
        <v>4</v>
      </c>
      <c r="G136" s="81" t="s">
        <v>200</v>
      </c>
      <c r="H136" s="81" t="s">
        <v>884</v>
      </c>
      <c r="I136" s="81" t="s">
        <v>243</v>
      </c>
      <c r="J136" s="81" t="s">
        <v>1043</v>
      </c>
      <c r="K136" s="79"/>
      <c r="L136" s="79"/>
    </row>
    <row r="137" spans="1:12">
      <c r="A137" s="81" t="s">
        <v>467</v>
      </c>
      <c r="B137" s="81" t="s">
        <v>77</v>
      </c>
      <c r="C137" s="81" t="s">
        <v>203</v>
      </c>
      <c r="D137" s="81" t="s">
        <v>905</v>
      </c>
      <c r="E137" s="81">
        <v>2</v>
      </c>
      <c r="F137" s="81">
        <v>3</v>
      </c>
      <c r="G137" s="81" t="s">
        <v>200</v>
      </c>
      <c r="H137" s="81" t="s">
        <v>892</v>
      </c>
      <c r="I137" s="81" t="s">
        <v>243</v>
      </c>
      <c r="J137" s="81" t="s">
        <v>1042</v>
      </c>
      <c r="K137" s="79"/>
      <c r="L137" s="79"/>
    </row>
    <row r="138" spans="1:12">
      <c r="A138" s="81" t="s">
        <v>468</v>
      </c>
      <c r="B138" s="81" t="s">
        <v>77</v>
      </c>
      <c r="C138" s="81" t="s">
        <v>203</v>
      </c>
      <c r="D138" s="81" t="s">
        <v>905</v>
      </c>
      <c r="E138" s="81">
        <v>2</v>
      </c>
      <c r="F138" s="81">
        <v>3</v>
      </c>
      <c r="G138" s="81" t="s">
        <v>200</v>
      </c>
      <c r="H138" s="81" t="s">
        <v>892</v>
      </c>
      <c r="I138" s="81" t="s">
        <v>243</v>
      </c>
      <c r="J138" s="81" t="s">
        <v>1042</v>
      </c>
      <c r="K138" s="79"/>
      <c r="L138" s="79"/>
    </row>
    <row r="139" spans="1:12">
      <c r="A139" s="81" t="s">
        <v>469</v>
      </c>
      <c r="B139" s="81" t="s">
        <v>77</v>
      </c>
      <c r="C139" s="81" t="s">
        <v>201</v>
      </c>
      <c r="D139" s="81" t="s">
        <v>903</v>
      </c>
      <c r="E139" s="81">
        <v>2</v>
      </c>
      <c r="F139" s="81">
        <v>4</v>
      </c>
      <c r="G139" s="81" t="s">
        <v>200</v>
      </c>
      <c r="H139" s="81" t="s">
        <v>884</v>
      </c>
      <c r="I139" s="81" t="s">
        <v>243</v>
      </c>
      <c r="J139" s="81" t="s">
        <v>1043</v>
      </c>
      <c r="K139" s="79"/>
      <c r="L139" s="79"/>
    </row>
    <row r="140" spans="1:12">
      <c r="A140" s="81" t="s">
        <v>470</v>
      </c>
      <c r="B140" s="81" t="s">
        <v>77</v>
      </c>
      <c r="C140" s="81" t="s">
        <v>201</v>
      </c>
      <c r="D140" s="81" t="s">
        <v>903</v>
      </c>
      <c r="E140" s="81">
        <v>2</v>
      </c>
      <c r="F140" s="81">
        <v>4</v>
      </c>
      <c r="G140" s="81" t="s">
        <v>200</v>
      </c>
      <c r="H140" s="81" t="s">
        <v>884</v>
      </c>
      <c r="I140" s="81" t="s">
        <v>243</v>
      </c>
      <c r="J140" s="81" t="s">
        <v>1043</v>
      </c>
      <c r="K140" s="79"/>
      <c r="L140" s="79"/>
    </row>
    <row r="141" spans="1:12">
      <c r="A141" s="81" t="s">
        <v>471</v>
      </c>
      <c r="B141" s="81" t="s">
        <v>77</v>
      </c>
      <c r="C141" s="81" t="s">
        <v>201</v>
      </c>
      <c r="D141" s="81" t="s">
        <v>907</v>
      </c>
      <c r="E141" s="81">
        <v>1</v>
      </c>
      <c r="F141" s="81">
        <v>4</v>
      </c>
      <c r="G141" s="81" t="s">
        <v>202</v>
      </c>
      <c r="H141" s="81" t="s">
        <v>884</v>
      </c>
      <c r="I141" s="81" t="s">
        <v>243</v>
      </c>
      <c r="J141" s="81" t="s">
        <v>1045</v>
      </c>
      <c r="K141" s="79"/>
      <c r="L141" s="79"/>
    </row>
    <row r="142" spans="1:12">
      <c r="A142" s="81" t="s">
        <v>472</v>
      </c>
      <c r="B142" s="81" t="s">
        <v>77</v>
      </c>
      <c r="C142" s="81" t="s">
        <v>201</v>
      </c>
      <c r="D142" s="81" t="s">
        <v>903</v>
      </c>
      <c r="E142" s="81">
        <v>2</v>
      </c>
      <c r="F142" s="81">
        <v>4</v>
      </c>
      <c r="G142" s="81" t="s">
        <v>200</v>
      </c>
      <c r="H142" s="81" t="s">
        <v>884</v>
      </c>
      <c r="I142" s="81" t="s">
        <v>243</v>
      </c>
      <c r="J142" s="81" t="s">
        <v>1043</v>
      </c>
      <c r="K142" s="79"/>
      <c r="L142" s="79"/>
    </row>
    <row r="143" spans="1:12">
      <c r="A143" s="81" t="s">
        <v>473</v>
      </c>
      <c r="B143" s="81" t="s">
        <v>77</v>
      </c>
      <c r="C143" s="81" t="s">
        <v>201</v>
      </c>
      <c r="D143" s="81" t="s">
        <v>903</v>
      </c>
      <c r="E143" s="81">
        <v>2</v>
      </c>
      <c r="F143" s="81">
        <v>4</v>
      </c>
      <c r="G143" s="81" t="s">
        <v>200</v>
      </c>
      <c r="H143" s="81" t="s">
        <v>884</v>
      </c>
      <c r="I143" s="81" t="s">
        <v>243</v>
      </c>
      <c r="J143" s="81" t="s">
        <v>1043</v>
      </c>
      <c r="K143" s="79"/>
      <c r="L143" s="79"/>
    </row>
    <row r="144" ht="26" spans="1:12">
      <c r="A144" s="81" t="s">
        <v>474</v>
      </c>
      <c r="B144" s="81" t="s">
        <v>77</v>
      </c>
      <c r="C144" s="81" t="s">
        <v>201</v>
      </c>
      <c r="D144" s="81" t="s">
        <v>909</v>
      </c>
      <c r="E144" s="81">
        <v>2</v>
      </c>
      <c r="F144" s="81">
        <v>4</v>
      </c>
      <c r="G144" s="81" t="s">
        <v>200</v>
      </c>
      <c r="H144" s="81" t="s">
        <v>884</v>
      </c>
      <c r="I144" s="81" t="s">
        <v>243</v>
      </c>
      <c r="J144" s="81" t="s">
        <v>1043</v>
      </c>
      <c r="K144" s="79"/>
      <c r="L144" s="79"/>
    </row>
    <row r="145" ht="26" spans="1:12">
      <c r="A145" s="81" t="s">
        <v>476</v>
      </c>
      <c r="B145" s="81" t="s">
        <v>77</v>
      </c>
      <c r="C145" s="81" t="s">
        <v>201</v>
      </c>
      <c r="D145" s="81" t="s">
        <v>909</v>
      </c>
      <c r="E145" s="81">
        <v>2</v>
      </c>
      <c r="F145" s="81">
        <v>4</v>
      </c>
      <c r="G145" s="81" t="s">
        <v>200</v>
      </c>
      <c r="H145" s="81" t="s">
        <v>884</v>
      </c>
      <c r="I145" s="81" t="s">
        <v>243</v>
      </c>
      <c r="J145" s="81" t="s">
        <v>1043</v>
      </c>
      <c r="K145" s="79"/>
      <c r="L145" s="79"/>
    </row>
    <row r="146" ht="26" spans="1:12">
      <c r="A146" s="81" t="s">
        <v>477</v>
      </c>
      <c r="B146" s="81" t="s">
        <v>77</v>
      </c>
      <c r="C146" s="81" t="s">
        <v>201</v>
      </c>
      <c r="D146" s="81" t="s">
        <v>909</v>
      </c>
      <c r="E146" s="81">
        <v>2</v>
      </c>
      <c r="F146" s="81">
        <v>4</v>
      </c>
      <c r="G146" s="81" t="s">
        <v>200</v>
      </c>
      <c r="H146" s="81" t="s">
        <v>884</v>
      </c>
      <c r="I146" s="81" t="s">
        <v>243</v>
      </c>
      <c r="J146" s="81" t="s">
        <v>1043</v>
      </c>
      <c r="K146" s="79"/>
      <c r="L146" s="79"/>
    </row>
    <row r="147" ht="26" spans="1:12">
      <c r="A147" s="81" t="s">
        <v>478</v>
      </c>
      <c r="B147" s="81" t="s">
        <v>77</v>
      </c>
      <c r="C147" s="81" t="s">
        <v>201</v>
      </c>
      <c r="D147" s="81" t="s">
        <v>909</v>
      </c>
      <c r="E147" s="81">
        <v>2</v>
      </c>
      <c r="F147" s="81">
        <v>4</v>
      </c>
      <c r="G147" s="81" t="s">
        <v>200</v>
      </c>
      <c r="H147" s="81" t="s">
        <v>884</v>
      </c>
      <c r="I147" s="81" t="s">
        <v>243</v>
      </c>
      <c r="J147" s="81" t="s">
        <v>1043</v>
      </c>
      <c r="K147" s="79"/>
      <c r="L147" s="79"/>
    </row>
    <row r="148" spans="1:12">
      <c r="A148" s="81" t="s">
        <v>479</v>
      </c>
      <c r="B148" s="81" t="s">
        <v>77</v>
      </c>
      <c r="C148" s="81" t="s">
        <v>201</v>
      </c>
      <c r="D148" s="81" t="s">
        <v>903</v>
      </c>
      <c r="E148" s="81">
        <v>2</v>
      </c>
      <c r="F148" s="81">
        <v>4</v>
      </c>
      <c r="G148" s="81" t="s">
        <v>200</v>
      </c>
      <c r="H148" s="81" t="s">
        <v>884</v>
      </c>
      <c r="I148" s="81" t="s">
        <v>243</v>
      </c>
      <c r="J148" s="81" t="s">
        <v>1043</v>
      </c>
      <c r="K148" s="79"/>
      <c r="L148" s="79"/>
    </row>
    <row r="149" spans="1:12">
      <c r="A149" s="81" t="s">
        <v>481</v>
      </c>
      <c r="B149" s="81" t="s">
        <v>77</v>
      </c>
      <c r="C149" s="81" t="s">
        <v>201</v>
      </c>
      <c r="D149" s="81" t="s">
        <v>903</v>
      </c>
      <c r="E149" s="81">
        <v>2</v>
      </c>
      <c r="F149" s="81">
        <v>4</v>
      </c>
      <c r="G149" s="81" t="s">
        <v>200</v>
      </c>
      <c r="H149" s="81" t="s">
        <v>884</v>
      </c>
      <c r="I149" s="81" t="s">
        <v>243</v>
      </c>
      <c r="J149" s="81" t="s">
        <v>1043</v>
      </c>
      <c r="K149" s="79"/>
      <c r="L149" s="79"/>
    </row>
    <row r="150" spans="1:12">
      <c r="A150" s="81" t="s">
        <v>482</v>
      </c>
      <c r="B150" s="81" t="s">
        <v>77</v>
      </c>
      <c r="C150" s="81" t="s">
        <v>203</v>
      </c>
      <c r="D150" s="81" t="s">
        <v>910</v>
      </c>
      <c r="E150" s="81">
        <v>2</v>
      </c>
      <c r="F150" s="81">
        <v>3</v>
      </c>
      <c r="G150" s="81" t="s">
        <v>200</v>
      </c>
      <c r="H150" s="81" t="s">
        <v>892</v>
      </c>
      <c r="I150" s="81" t="s">
        <v>243</v>
      </c>
      <c r="J150" s="81" t="s">
        <v>1042</v>
      </c>
      <c r="K150" s="79"/>
      <c r="L150" s="79"/>
    </row>
    <row r="151" spans="1:12">
      <c r="A151" s="81" t="s">
        <v>486</v>
      </c>
      <c r="B151" s="81" t="s">
        <v>77</v>
      </c>
      <c r="C151" s="81" t="s">
        <v>203</v>
      </c>
      <c r="D151" s="81" t="s">
        <v>910</v>
      </c>
      <c r="E151" s="81">
        <v>2</v>
      </c>
      <c r="F151" s="81">
        <v>3</v>
      </c>
      <c r="G151" s="81" t="s">
        <v>200</v>
      </c>
      <c r="H151" s="81" t="s">
        <v>892</v>
      </c>
      <c r="I151" s="81" t="s">
        <v>243</v>
      </c>
      <c r="J151" s="81" t="s">
        <v>1042</v>
      </c>
      <c r="K151" s="79"/>
      <c r="L151" s="79"/>
    </row>
    <row r="152" spans="1:12">
      <c r="A152" s="81" t="s">
        <v>487</v>
      </c>
      <c r="B152" s="81" t="s">
        <v>77</v>
      </c>
      <c r="C152" s="81" t="s">
        <v>201</v>
      </c>
      <c r="D152" s="81" t="s">
        <v>911</v>
      </c>
      <c r="E152" s="81">
        <v>1</v>
      </c>
      <c r="F152" s="81">
        <v>4</v>
      </c>
      <c r="G152" s="81" t="s">
        <v>202</v>
      </c>
      <c r="H152" s="81" t="s">
        <v>884</v>
      </c>
      <c r="I152" s="81" t="s">
        <v>243</v>
      </c>
      <c r="J152" s="81" t="s">
        <v>1045</v>
      </c>
      <c r="K152" s="79"/>
      <c r="L152" s="79"/>
    </row>
    <row r="153" ht="26" spans="1:12">
      <c r="A153" s="81" t="s">
        <v>490</v>
      </c>
      <c r="B153" s="81" t="s">
        <v>77</v>
      </c>
      <c r="C153" s="81" t="s">
        <v>201</v>
      </c>
      <c r="D153" s="81" t="s">
        <v>912</v>
      </c>
      <c r="E153" s="81">
        <v>2</v>
      </c>
      <c r="F153" s="81">
        <v>4</v>
      </c>
      <c r="G153" s="81" t="s">
        <v>200</v>
      </c>
      <c r="H153" s="81" t="s">
        <v>884</v>
      </c>
      <c r="I153" s="81" t="s">
        <v>243</v>
      </c>
      <c r="J153" s="81" t="s">
        <v>1043</v>
      </c>
      <c r="K153" s="79"/>
      <c r="L153" s="79"/>
    </row>
    <row r="154" spans="1:12">
      <c r="A154" s="81" t="s">
        <v>491</v>
      </c>
      <c r="B154" s="81" t="s">
        <v>77</v>
      </c>
      <c r="C154" s="81" t="s">
        <v>203</v>
      </c>
      <c r="D154" s="81" t="s">
        <v>891</v>
      </c>
      <c r="E154" s="81">
        <v>2</v>
      </c>
      <c r="F154" s="81">
        <v>3</v>
      </c>
      <c r="G154" s="81" t="s">
        <v>200</v>
      </c>
      <c r="H154" s="81" t="s">
        <v>892</v>
      </c>
      <c r="I154" s="81" t="s">
        <v>243</v>
      </c>
      <c r="J154" s="81" t="s">
        <v>1042</v>
      </c>
      <c r="K154" s="79"/>
      <c r="L154" s="79"/>
    </row>
    <row r="155" spans="1:12">
      <c r="A155" s="81" t="s">
        <v>494</v>
      </c>
      <c r="B155" s="81" t="s">
        <v>77</v>
      </c>
      <c r="C155" s="81" t="s">
        <v>203</v>
      </c>
      <c r="D155" s="81" t="s">
        <v>891</v>
      </c>
      <c r="E155" s="81">
        <v>2</v>
      </c>
      <c r="F155" s="81">
        <v>3</v>
      </c>
      <c r="G155" s="81" t="s">
        <v>200</v>
      </c>
      <c r="H155" s="81" t="s">
        <v>892</v>
      </c>
      <c r="I155" s="81" t="s">
        <v>243</v>
      </c>
      <c r="J155" s="81" t="s">
        <v>1042</v>
      </c>
      <c r="K155" s="79"/>
      <c r="L155" s="79"/>
    </row>
    <row r="156" spans="1:12">
      <c r="A156" s="81" t="s">
        <v>495</v>
      </c>
      <c r="B156" s="81" t="s">
        <v>77</v>
      </c>
      <c r="C156" s="81" t="s">
        <v>85</v>
      </c>
      <c r="D156" s="81" t="s">
        <v>913</v>
      </c>
      <c r="E156" s="81">
        <v>4</v>
      </c>
      <c r="F156" s="81">
        <v>4</v>
      </c>
      <c r="G156" s="81" t="s">
        <v>199</v>
      </c>
      <c r="H156" s="81" t="s">
        <v>884</v>
      </c>
      <c r="I156" s="81" t="s">
        <v>243</v>
      </c>
      <c r="J156" s="81" t="s">
        <v>1044</v>
      </c>
      <c r="K156" s="79"/>
      <c r="L156" s="79"/>
    </row>
    <row r="157" spans="1:12">
      <c r="A157" s="81" t="s">
        <v>496</v>
      </c>
      <c r="B157" s="81" t="s">
        <v>77</v>
      </c>
      <c r="C157" s="81" t="s">
        <v>85</v>
      </c>
      <c r="D157" s="81" t="s">
        <v>913</v>
      </c>
      <c r="E157" s="81">
        <v>4</v>
      </c>
      <c r="F157" s="81">
        <v>4</v>
      </c>
      <c r="G157" s="81" t="s">
        <v>199</v>
      </c>
      <c r="H157" s="81" t="s">
        <v>884</v>
      </c>
      <c r="I157" s="81" t="s">
        <v>243</v>
      </c>
      <c r="J157" s="81" t="s">
        <v>1044</v>
      </c>
      <c r="K157" s="79"/>
      <c r="L157" s="79"/>
    </row>
    <row r="158" spans="1:12">
      <c r="A158" s="81" t="s">
        <v>498</v>
      </c>
      <c r="B158" s="81" t="s">
        <v>77</v>
      </c>
      <c r="C158" s="81" t="s">
        <v>203</v>
      </c>
      <c r="D158" s="81" t="s">
        <v>891</v>
      </c>
      <c r="E158" s="81">
        <v>2</v>
      </c>
      <c r="F158" s="81">
        <v>3</v>
      </c>
      <c r="G158" s="81" t="s">
        <v>200</v>
      </c>
      <c r="H158" s="81" t="s">
        <v>892</v>
      </c>
      <c r="I158" s="81" t="s">
        <v>243</v>
      </c>
      <c r="J158" s="81" t="s">
        <v>1042</v>
      </c>
      <c r="K158" s="79"/>
      <c r="L158" s="79"/>
    </row>
    <row r="159" spans="1:12">
      <c r="A159" s="81" t="s">
        <v>502</v>
      </c>
      <c r="B159" s="81" t="s">
        <v>77</v>
      </c>
      <c r="C159" s="81" t="s">
        <v>203</v>
      </c>
      <c r="D159" s="81" t="s">
        <v>891</v>
      </c>
      <c r="E159" s="81">
        <v>2</v>
      </c>
      <c r="F159" s="81">
        <v>3</v>
      </c>
      <c r="G159" s="81" t="s">
        <v>200</v>
      </c>
      <c r="H159" s="81" t="s">
        <v>892</v>
      </c>
      <c r="I159" s="81" t="s">
        <v>243</v>
      </c>
      <c r="J159" s="81" t="s">
        <v>1042</v>
      </c>
      <c r="K159" s="79"/>
      <c r="L159" s="79"/>
    </row>
    <row r="160" spans="1:12">
      <c r="A160" s="81" t="s">
        <v>503</v>
      </c>
      <c r="B160" s="81" t="s">
        <v>77</v>
      </c>
      <c r="C160" s="81" t="s">
        <v>203</v>
      </c>
      <c r="D160" s="81" t="s">
        <v>891</v>
      </c>
      <c r="E160" s="81">
        <v>2</v>
      </c>
      <c r="F160" s="81">
        <v>3</v>
      </c>
      <c r="G160" s="81" t="s">
        <v>200</v>
      </c>
      <c r="H160" s="81" t="s">
        <v>892</v>
      </c>
      <c r="I160" s="81" t="s">
        <v>243</v>
      </c>
      <c r="J160" s="81" t="s">
        <v>1042</v>
      </c>
      <c r="K160" s="79"/>
      <c r="L160" s="79"/>
    </row>
    <row r="161" spans="1:12">
      <c r="A161" s="81" t="s">
        <v>504</v>
      </c>
      <c r="B161" s="81" t="s">
        <v>77</v>
      </c>
      <c r="C161" s="81" t="s">
        <v>203</v>
      </c>
      <c r="D161" s="81" t="s">
        <v>891</v>
      </c>
      <c r="E161" s="81">
        <v>2</v>
      </c>
      <c r="F161" s="81">
        <v>3</v>
      </c>
      <c r="G161" s="81" t="s">
        <v>200</v>
      </c>
      <c r="H161" s="81" t="s">
        <v>892</v>
      </c>
      <c r="I161" s="81" t="s">
        <v>243</v>
      </c>
      <c r="J161" s="81" t="s">
        <v>1042</v>
      </c>
      <c r="K161" s="79"/>
      <c r="L161" s="79"/>
    </row>
    <row r="162" spans="1:12">
      <c r="A162" s="81" t="s">
        <v>505</v>
      </c>
      <c r="B162" s="81" t="s">
        <v>77</v>
      </c>
      <c r="C162" s="81" t="s">
        <v>203</v>
      </c>
      <c r="D162" s="81" t="s">
        <v>891</v>
      </c>
      <c r="E162" s="81">
        <v>2</v>
      </c>
      <c r="F162" s="81">
        <v>3</v>
      </c>
      <c r="G162" s="81" t="s">
        <v>200</v>
      </c>
      <c r="H162" s="81" t="s">
        <v>892</v>
      </c>
      <c r="I162" s="81" t="s">
        <v>243</v>
      </c>
      <c r="J162" s="81" t="s">
        <v>1042</v>
      </c>
      <c r="K162" s="79"/>
      <c r="L162" s="79"/>
    </row>
    <row r="163" spans="1:12">
      <c r="A163" s="81" t="s">
        <v>507</v>
      </c>
      <c r="B163" s="81" t="s">
        <v>77</v>
      </c>
      <c r="C163" s="81" t="s">
        <v>203</v>
      </c>
      <c r="D163" s="81" t="s">
        <v>891</v>
      </c>
      <c r="E163" s="81">
        <v>2</v>
      </c>
      <c r="F163" s="81">
        <v>3</v>
      </c>
      <c r="G163" s="81" t="s">
        <v>200</v>
      </c>
      <c r="H163" s="81" t="s">
        <v>892</v>
      </c>
      <c r="I163" s="81" t="s">
        <v>243</v>
      </c>
      <c r="J163" s="81" t="s">
        <v>1042</v>
      </c>
      <c r="K163" s="79"/>
      <c r="L163" s="79"/>
    </row>
    <row r="164" spans="1:12">
      <c r="A164" s="81" t="s">
        <v>508</v>
      </c>
      <c r="B164" s="81" t="s">
        <v>77</v>
      </c>
      <c r="C164" s="81" t="s">
        <v>203</v>
      </c>
      <c r="D164" s="81" t="s">
        <v>891</v>
      </c>
      <c r="E164" s="81">
        <v>2</v>
      </c>
      <c r="F164" s="81">
        <v>3</v>
      </c>
      <c r="G164" s="81" t="s">
        <v>200</v>
      </c>
      <c r="H164" s="81" t="s">
        <v>892</v>
      </c>
      <c r="I164" s="81" t="s">
        <v>243</v>
      </c>
      <c r="J164" s="81" t="s">
        <v>1042</v>
      </c>
      <c r="K164" s="79"/>
      <c r="L164" s="79"/>
    </row>
    <row r="165" spans="1:12">
      <c r="A165" s="81" t="s">
        <v>509</v>
      </c>
      <c r="B165" s="81" t="s">
        <v>77</v>
      </c>
      <c r="C165" s="81" t="s">
        <v>203</v>
      </c>
      <c r="D165" s="81" t="s">
        <v>891</v>
      </c>
      <c r="E165" s="81">
        <v>2</v>
      </c>
      <c r="F165" s="81">
        <v>3</v>
      </c>
      <c r="G165" s="81" t="s">
        <v>200</v>
      </c>
      <c r="H165" s="81" t="s">
        <v>892</v>
      </c>
      <c r="I165" s="81" t="s">
        <v>243</v>
      </c>
      <c r="J165" s="81" t="s">
        <v>1042</v>
      </c>
      <c r="K165" s="79"/>
      <c r="L165" s="79"/>
    </row>
    <row r="166" spans="1:12">
      <c r="A166" s="81" t="s">
        <v>510</v>
      </c>
      <c r="B166" s="81" t="s">
        <v>77</v>
      </c>
      <c r="C166" s="81" t="s">
        <v>203</v>
      </c>
      <c r="D166" s="81" t="s">
        <v>891</v>
      </c>
      <c r="E166" s="81">
        <v>2</v>
      </c>
      <c r="F166" s="81">
        <v>3</v>
      </c>
      <c r="G166" s="81" t="s">
        <v>200</v>
      </c>
      <c r="H166" s="81" t="s">
        <v>892</v>
      </c>
      <c r="I166" s="81" t="s">
        <v>243</v>
      </c>
      <c r="J166" s="81" t="s">
        <v>1042</v>
      </c>
      <c r="K166" s="79"/>
      <c r="L166" s="79"/>
    </row>
    <row r="167" spans="1:12">
      <c r="A167" s="81" t="s">
        <v>511</v>
      </c>
      <c r="B167" s="81" t="s">
        <v>77</v>
      </c>
      <c r="C167" s="81" t="s">
        <v>203</v>
      </c>
      <c r="D167" s="81" t="s">
        <v>891</v>
      </c>
      <c r="E167" s="81">
        <v>2</v>
      </c>
      <c r="F167" s="81">
        <v>3</v>
      </c>
      <c r="G167" s="81" t="s">
        <v>200</v>
      </c>
      <c r="H167" s="81" t="s">
        <v>892</v>
      </c>
      <c r="I167" s="81" t="s">
        <v>243</v>
      </c>
      <c r="J167" s="81" t="s">
        <v>1042</v>
      </c>
      <c r="K167" s="79"/>
      <c r="L167" s="79"/>
    </row>
    <row r="168" spans="1:12">
      <c r="A168" s="81" t="s">
        <v>512</v>
      </c>
      <c r="B168" s="81" t="s">
        <v>77</v>
      </c>
      <c r="C168" s="81" t="s">
        <v>203</v>
      </c>
      <c r="D168" s="81" t="s">
        <v>914</v>
      </c>
      <c r="E168" s="81">
        <v>2</v>
      </c>
      <c r="F168" s="81">
        <v>3</v>
      </c>
      <c r="G168" s="81" t="s">
        <v>200</v>
      </c>
      <c r="H168" s="81" t="s">
        <v>892</v>
      </c>
      <c r="I168" s="81" t="s">
        <v>243</v>
      </c>
      <c r="J168" s="81" t="s">
        <v>1042</v>
      </c>
      <c r="K168" s="79"/>
      <c r="L168" s="79"/>
    </row>
    <row r="169" spans="1:12">
      <c r="A169" s="81" t="s">
        <v>514</v>
      </c>
      <c r="B169" s="81" t="s">
        <v>77</v>
      </c>
      <c r="C169" s="81" t="s">
        <v>203</v>
      </c>
      <c r="D169" s="81" t="s">
        <v>914</v>
      </c>
      <c r="E169" s="81">
        <v>2</v>
      </c>
      <c r="F169" s="81">
        <v>3</v>
      </c>
      <c r="G169" s="81" t="s">
        <v>200</v>
      </c>
      <c r="H169" s="81" t="s">
        <v>892</v>
      </c>
      <c r="I169" s="81" t="s">
        <v>243</v>
      </c>
      <c r="J169" s="81" t="s">
        <v>1042</v>
      </c>
      <c r="K169" s="79"/>
      <c r="L169" s="79"/>
    </row>
    <row r="170" spans="1:12">
      <c r="A170" s="81" t="s">
        <v>515</v>
      </c>
      <c r="B170" s="81" t="s">
        <v>77</v>
      </c>
      <c r="C170" s="81" t="s">
        <v>203</v>
      </c>
      <c r="D170" s="81" t="s">
        <v>905</v>
      </c>
      <c r="E170" s="81">
        <v>2</v>
      </c>
      <c r="F170" s="81">
        <v>3</v>
      </c>
      <c r="G170" s="81" t="s">
        <v>200</v>
      </c>
      <c r="H170" s="81" t="s">
        <v>892</v>
      </c>
      <c r="I170" s="81" t="s">
        <v>243</v>
      </c>
      <c r="J170" s="81" t="s">
        <v>1042</v>
      </c>
      <c r="K170" s="79"/>
      <c r="L170" s="79"/>
    </row>
    <row r="171" spans="1:12">
      <c r="A171" s="81" t="s">
        <v>517</v>
      </c>
      <c r="B171" s="81" t="s">
        <v>77</v>
      </c>
      <c r="C171" s="81" t="s">
        <v>203</v>
      </c>
      <c r="D171" s="81" t="s">
        <v>891</v>
      </c>
      <c r="E171" s="81">
        <v>2</v>
      </c>
      <c r="F171" s="81">
        <v>3</v>
      </c>
      <c r="G171" s="81" t="s">
        <v>200</v>
      </c>
      <c r="H171" s="81" t="s">
        <v>892</v>
      </c>
      <c r="I171" s="81" t="s">
        <v>243</v>
      </c>
      <c r="J171" s="81" t="s">
        <v>1042</v>
      </c>
      <c r="K171" s="79"/>
      <c r="L171" s="79"/>
    </row>
    <row r="172" spans="1:12">
      <c r="A172" s="81" t="s">
        <v>518</v>
      </c>
      <c r="B172" s="81" t="s">
        <v>77</v>
      </c>
      <c r="C172" s="81" t="s">
        <v>203</v>
      </c>
      <c r="D172" s="81" t="s">
        <v>891</v>
      </c>
      <c r="E172" s="81">
        <v>2</v>
      </c>
      <c r="F172" s="81">
        <v>3</v>
      </c>
      <c r="G172" s="81" t="s">
        <v>200</v>
      </c>
      <c r="H172" s="81" t="s">
        <v>892</v>
      </c>
      <c r="I172" s="81" t="s">
        <v>243</v>
      </c>
      <c r="J172" s="81" t="s">
        <v>1042</v>
      </c>
      <c r="K172" s="79"/>
      <c r="L172" s="79"/>
    </row>
    <row r="173" spans="1:12">
      <c r="A173" s="81" t="s">
        <v>519</v>
      </c>
      <c r="B173" s="81" t="s">
        <v>77</v>
      </c>
      <c r="C173" s="81" t="s">
        <v>203</v>
      </c>
      <c r="D173" s="81" t="s">
        <v>891</v>
      </c>
      <c r="E173" s="81">
        <v>2</v>
      </c>
      <c r="F173" s="81">
        <v>3</v>
      </c>
      <c r="G173" s="81" t="s">
        <v>200</v>
      </c>
      <c r="H173" s="81" t="s">
        <v>892</v>
      </c>
      <c r="I173" s="81" t="s">
        <v>243</v>
      </c>
      <c r="J173" s="81" t="s">
        <v>1042</v>
      </c>
      <c r="K173" s="79"/>
      <c r="L173" s="79"/>
    </row>
    <row r="174" spans="1:12">
      <c r="A174" s="81" t="s">
        <v>520</v>
      </c>
      <c r="B174" s="81" t="s">
        <v>77</v>
      </c>
      <c r="C174" s="81" t="s">
        <v>203</v>
      </c>
      <c r="D174" s="81" t="s">
        <v>891</v>
      </c>
      <c r="E174" s="81">
        <v>2</v>
      </c>
      <c r="F174" s="81">
        <v>3</v>
      </c>
      <c r="G174" s="81" t="s">
        <v>200</v>
      </c>
      <c r="H174" s="81" t="s">
        <v>892</v>
      </c>
      <c r="I174" s="81" t="s">
        <v>243</v>
      </c>
      <c r="J174" s="81" t="s">
        <v>1042</v>
      </c>
      <c r="K174" s="79"/>
      <c r="L174" s="79"/>
    </row>
    <row r="175" spans="1:12">
      <c r="A175" s="81" t="s">
        <v>521</v>
      </c>
      <c r="B175" s="81" t="s">
        <v>77</v>
      </c>
      <c r="C175" s="81" t="s">
        <v>203</v>
      </c>
      <c r="D175" s="81" t="s">
        <v>915</v>
      </c>
      <c r="E175" s="81">
        <v>1</v>
      </c>
      <c r="F175" s="81">
        <v>3</v>
      </c>
      <c r="G175" s="81" t="s">
        <v>204</v>
      </c>
      <c r="H175" s="81" t="s">
        <v>892</v>
      </c>
      <c r="I175" s="81" t="s">
        <v>243</v>
      </c>
      <c r="J175" s="81" t="s">
        <v>1046</v>
      </c>
      <c r="K175" s="79"/>
      <c r="L175" s="79"/>
    </row>
    <row r="176" spans="1:12">
      <c r="A176" s="81" t="s">
        <v>523</v>
      </c>
      <c r="B176" s="81" t="s">
        <v>77</v>
      </c>
      <c r="C176" s="81" t="s">
        <v>203</v>
      </c>
      <c r="D176" s="81" t="s">
        <v>916</v>
      </c>
      <c r="E176" s="81">
        <v>1</v>
      </c>
      <c r="F176" s="81">
        <v>3</v>
      </c>
      <c r="G176" s="81" t="s">
        <v>204</v>
      </c>
      <c r="H176" s="81" t="s">
        <v>892</v>
      </c>
      <c r="I176" s="81" t="s">
        <v>243</v>
      </c>
      <c r="J176" s="81" t="s">
        <v>1046</v>
      </c>
      <c r="K176" s="79"/>
      <c r="L176" s="79"/>
    </row>
    <row r="177" spans="1:12">
      <c r="A177" s="81" t="s">
        <v>524</v>
      </c>
      <c r="B177" s="81" t="s">
        <v>77</v>
      </c>
      <c r="C177" s="81" t="s">
        <v>203</v>
      </c>
      <c r="D177" s="81" t="s">
        <v>905</v>
      </c>
      <c r="E177" s="81">
        <v>2</v>
      </c>
      <c r="F177" s="81">
        <v>3</v>
      </c>
      <c r="G177" s="81" t="s">
        <v>200</v>
      </c>
      <c r="H177" s="81" t="s">
        <v>892</v>
      </c>
      <c r="I177" s="81" t="s">
        <v>243</v>
      </c>
      <c r="J177" s="81" t="s">
        <v>1042</v>
      </c>
      <c r="K177" s="79"/>
      <c r="L177" s="79"/>
    </row>
    <row r="178" spans="1:12">
      <c r="A178" s="81" t="s">
        <v>525</v>
      </c>
      <c r="B178" s="81" t="s">
        <v>77</v>
      </c>
      <c r="C178" s="81" t="s">
        <v>203</v>
      </c>
      <c r="D178" s="81" t="s">
        <v>891</v>
      </c>
      <c r="E178" s="81">
        <v>2</v>
      </c>
      <c r="F178" s="81">
        <v>3</v>
      </c>
      <c r="G178" s="81" t="s">
        <v>200</v>
      </c>
      <c r="H178" s="81" t="s">
        <v>892</v>
      </c>
      <c r="I178" s="81" t="s">
        <v>243</v>
      </c>
      <c r="J178" s="81" t="s">
        <v>1042</v>
      </c>
      <c r="K178" s="79"/>
      <c r="L178" s="79"/>
    </row>
    <row r="179" spans="1:12">
      <c r="A179" s="81" t="s">
        <v>526</v>
      </c>
      <c r="B179" s="81" t="s">
        <v>77</v>
      </c>
      <c r="C179" s="81" t="s">
        <v>201</v>
      </c>
      <c r="D179" s="81" t="s">
        <v>903</v>
      </c>
      <c r="E179" s="81">
        <v>2</v>
      </c>
      <c r="F179" s="81">
        <v>4</v>
      </c>
      <c r="G179" s="81" t="s">
        <v>200</v>
      </c>
      <c r="H179" s="81" t="s">
        <v>884</v>
      </c>
      <c r="I179" s="81" t="s">
        <v>243</v>
      </c>
      <c r="J179" s="81" t="s">
        <v>1043</v>
      </c>
      <c r="K179" s="79"/>
      <c r="L179" s="79"/>
    </row>
    <row r="180" spans="1:12">
      <c r="A180" s="81" t="s">
        <v>528</v>
      </c>
      <c r="B180" s="81" t="s">
        <v>77</v>
      </c>
      <c r="C180" s="81" t="s">
        <v>201</v>
      </c>
      <c r="D180" s="81" t="s">
        <v>903</v>
      </c>
      <c r="E180" s="81">
        <v>2</v>
      </c>
      <c r="F180" s="81">
        <v>4</v>
      </c>
      <c r="G180" s="81" t="s">
        <v>200</v>
      </c>
      <c r="H180" s="81" t="s">
        <v>884</v>
      </c>
      <c r="I180" s="81" t="s">
        <v>243</v>
      </c>
      <c r="J180" s="81" t="s">
        <v>1043</v>
      </c>
      <c r="K180" s="79"/>
      <c r="L180" s="79"/>
    </row>
    <row r="181" spans="1:12">
      <c r="A181" s="81" t="s">
        <v>529</v>
      </c>
      <c r="B181" s="81" t="s">
        <v>77</v>
      </c>
      <c r="C181" s="81" t="s">
        <v>201</v>
      </c>
      <c r="D181" s="81" t="s">
        <v>903</v>
      </c>
      <c r="E181" s="81">
        <v>2</v>
      </c>
      <c r="F181" s="81">
        <v>4</v>
      </c>
      <c r="G181" s="81" t="s">
        <v>200</v>
      </c>
      <c r="H181" s="81" t="s">
        <v>884</v>
      </c>
      <c r="I181" s="81" t="s">
        <v>243</v>
      </c>
      <c r="J181" s="81" t="s">
        <v>1043</v>
      </c>
      <c r="K181" s="79"/>
      <c r="L181" s="79"/>
    </row>
    <row r="182" spans="1:12">
      <c r="A182" s="81" t="s">
        <v>530</v>
      </c>
      <c r="B182" s="81" t="s">
        <v>77</v>
      </c>
      <c r="C182" s="81" t="s">
        <v>201</v>
      </c>
      <c r="D182" s="81" t="s">
        <v>903</v>
      </c>
      <c r="E182" s="81">
        <v>2</v>
      </c>
      <c r="F182" s="81">
        <v>4</v>
      </c>
      <c r="G182" s="81" t="s">
        <v>200</v>
      </c>
      <c r="H182" s="81" t="s">
        <v>884</v>
      </c>
      <c r="I182" s="81" t="s">
        <v>243</v>
      </c>
      <c r="J182" s="81" t="s">
        <v>1043</v>
      </c>
      <c r="K182" s="79"/>
      <c r="L182" s="79"/>
    </row>
    <row r="183" spans="1:12">
      <c r="A183" s="81" t="s">
        <v>531</v>
      </c>
      <c r="B183" s="81" t="s">
        <v>77</v>
      </c>
      <c r="C183" s="81" t="s">
        <v>201</v>
      </c>
      <c r="D183" s="81" t="s">
        <v>903</v>
      </c>
      <c r="E183" s="81">
        <v>2</v>
      </c>
      <c r="F183" s="81">
        <v>4</v>
      </c>
      <c r="G183" s="81" t="s">
        <v>200</v>
      </c>
      <c r="H183" s="81" t="s">
        <v>884</v>
      </c>
      <c r="I183" s="81" t="s">
        <v>243</v>
      </c>
      <c r="J183" s="81" t="s">
        <v>1043</v>
      </c>
      <c r="K183" s="79"/>
      <c r="L183" s="79"/>
    </row>
    <row r="184" spans="1:12">
      <c r="A184" s="81" t="s">
        <v>532</v>
      </c>
      <c r="B184" s="81" t="s">
        <v>77</v>
      </c>
      <c r="C184" s="81" t="s">
        <v>201</v>
      </c>
      <c r="D184" s="81" t="s">
        <v>903</v>
      </c>
      <c r="E184" s="81">
        <v>2</v>
      </c>
      <c r="F184" s="81">
        <v>4</v>
      </c>
      <c r="G184" s="81" t="s">
        <v>200</v>
      </c>
      <c r="H184" s="81" t="s">
        <v>884</v>
      </c>
      <c r="I184" s="81" t="s">
        <v>243</v>
      </c>
      <c r="J184" s="81" t="s">
        <v>1043</v>
      </c>
      <c r="K184" s="79"/>
      <c r="L184" s="79"/>
    </row>
    <row r="185" spans="1:12">
      <c r="A185" s="81" t="s">
        <v>533</v>
      </c>
      <c r="B185" s="81" t="s">
        <v>77</v>
      </c>
      <c r="C185" s="81" t="s">
        <v>203</v>
      </c>
      <c r="D185" s="81" t="s">
        <v>917</v>
      </c>
      <c r="E185" s="81">
        <v>2</v>
      </c>
      <c r="F185" s="81">
        <v>3</v>
      </c>
      <c r="G185" s="81" t="s">
        <v>200</v>
      </c>
      <c r="H185" s="81" t="s">
        <v>892</v>
      </c>
      <c r="I185" s="81" t="s">
        <v>243</v>
      </c>
      <c r="J185" s="81" t="s">
        <v>1042</v>
      </c>
      <c r="K185" s="79"/>
      <c r="L185" s="79"/>
    </row>
    <row r="186" spans="1:12">
      <c r="A186" s="81" t="s">
        <v>534</v>
      </c>
      <c r="B186" s="81" t="s">
        <v>77</v>
      </c>
      <c r="C186" s="81" t="s">
        <v>203</v>
      </c>
      <c r="D186" s="81" t="s">
        <v>917</v>
      </c>
      <c r="E186" s="81">
        <v>2</v>
      </c>
      <c r="F186" s="81">
        <v>3</v>
      </c>
      <c r="G186" s="81" t="s">
        <v>200</v>
      </c>
      <c r="H186" s="81" t="s">
        <v>892</v>
      </c>
      <c r="I186" s="81" t="s">
        <v>243</v>
      </c>
      <c r="J186" s="81" t="s">
        <v>1042</v>
      </c>
      <c r="K186" s="79"/>
      <c r="L186" s="79"/>
    </row>
    <row r="187" spans="1:12">
      <c r="A187" s="81" t="s">
        <v>535</v>
      </c>
      <c r="B187" s="81" t="s">
        <v>77</v>
      </c>
      <c r="C187" s="81" t="s">
        <v>203</v>
      </c>
      <c r="D187" s="81" t="s">
        <v>917</v>
      </c>
      <c r="E187" s="81">
        <v>2</v>
      </c>
      <c r="F187" s="81">
        <v>3</v>
      </c>
      <c r="G187" s="81" t="s">
        <v>200</v>
      </c>
      <c r="H187" s="81" t="s">
        <v>892</v>
      </c>
      <c r="I187" s="81" t="s">
        <v>243</v>
      </c>
      <c r="J187" s="81" t="s">
        <v>1042</v>
      </c>
      <c r="K187" s="79"/>
      <c r="L187" s="79"/>
    </row>
    <row r="188" spans="1:12">
      <c r="A188" s="81" t="s">
        <v>536</v>
      </c>
      <c r="B188" s="81" t="s">
        <v>77</v>
      </c>
      <c r="C188" s="81" t="s">
        <v>203</v>
      </c>
      <c r="D188" s="81" t="s">
        <v>917</v>
      </c>
      <c r="E188" s="81">
        <v>2</v>
      </c>
      <c r="F188" s="81">
        <v>3</v>
      </c>
      <c r="G188" s="81" t="s">
        <v>200</v>
      </c>
      <c r="H188" s="81" t="s">
        <v>892</v>
      </c>
      <c r="I188" s="81" t="s">
        <v>243</v>
      </c>
      <c r="J188" s="81" t="s">
        <v>1042</v>
      </c>
      <c r="K188" s="79"/>
      <c r="L188" s="79"/>
    </row>
    <row r="189" spans="1:12">
      <c r="A189" s="81" t="s">
        <v>537</v>
      </c>
      <c r="B189" s="81" t="s">
        <v>77</v>
      </c>
      <c r="C189" s="81" t="s">
        <v>203</v>
      </c>
      <c r="D189" s="81" t="s">
        <v>917</v>
      </c>
      <c r="E189" s="81">
        <v>2</v>
      </c>
      <c r="F189" s="81">
        <v>3</v>
      </c>
      <c r="G189" s="81" t="s">
        <v>200</v>
      </c>
      <c r="H189" s="81" t="s">
        <v>892</v>
      </c>
      <c r="I189" s="81" t="s">
        <v>243</v>
      </c>
      <c r="J189" s="81" t="s">
        <v>1042</v>
      </c>
      <c r="K189" s="79"/>
      <c r="L189" s="79"/>
    </row>
    <row r="190" spans="1:12">
      <c r="A190" s="81" t="s">
        <v>538</v>
      </c>
      <c r="B190" s="81" t="s">
        <v>77</v>
      </c>
      <c r="C190" s="81" t="s">
        <v>203</v>
      </c>
      <c r="D190" s="81" t="s">
        <v>917</v>
      </c>
      <c r="E190" s="81">
        <v>2</v>
      </c>
      <c r="F190" s="81">
        <v>3</v>
      </c>
      <c r="G190" s="81" t="s">
        <v>200</v>
      </c>
      <c r="H190" s="81" t="s">
        <v>892</v>
      </c>
      <c r="I190" s="81" t="s">
        <v>243</v>
      </c>
      <c r="J190" s="81" t="s">
        <v>1042</v>
      </c>
      <c r="K190" s="79"/>
      <c r="L190" s="79"/>
    </row>
    <row r="191" spans="1:12">
      <c r="A191" s="81" t="s">
        <v>539</v>
      </c>
      <c r="B191" s="81" t="s">
        <v>77</v>
      </c>
      <c r="C191" s="81" t="s">
        <v>203</v>
      </c>
      <c r="D191" s="81" t="s">
        <v>917</v>
      </c>
      <c r="E191" s="81">
        <v>2</v>
      </c>
      <c r="F191" s="81">
        <v>3</v>
      </c>
      <c r="G191" s="81" t="s">
        <v>200</v>
      </c>
      <c r="H191" s="81" t="s">
        <v>892</v>
      </c>
      <c r="I191" s="81" t="s">
        <v>243</v>
      </c>
      <c r="J191" s="81" t="s">
        <v>1042</v>
      </c>
      <c r="K191" s="79"/>
      <c r="L191" s="79"/>
    </row>
    <row r="192" spans="1:12">
      <c r="A192" s="81" t="s">
        <v>540</v>
      </c>
      <c r="B192" s="81" t="s">
        <v>77</v>
      </c>
      <c r="C192" s="81" t="s">
        <v>203</v>
      </c>
      <c r="D192" s="81" t="s">
        <v>918</v>
      </c>
      <c r="E192" s="81">
        <v>2</v>
      </c>
      <c r="F192" s="81">
        <v>3</v>
      </c>
      <c r="G192" s="81" t="s">
        <v>200</v>
      </c>
      <c r="H192" s="81" t="s">
        <v>892</v>
      </c>
      <c r="I192" s="81" t="s">
        <v>545</v>
      </c>
      <c r="J192" s="81" t="s">
        <v>1042</v>
      </c>
      <c r="K192" s="79"/>
      <c r="L192" s="79"/>
    </row>
    <row r="193" spans="1:12">
      <c r="A193" s="81" t="s">
        <v>546</v>
      </c>
      <c r="B193" s="81" t="s">
        <v>77</v>
      </c>
      <c r="C193" s="81" t="s">
        <v>203</v>
      </c>
      <c r="D193" s="81" t="s">
        <v>910</v>
      </c>
      <c r="E193" s="81">
        <v>2</v>
      </c>
      <c r="F193" s="81">
        <v>3</v>
      </c>
      <c r="G193" s="81" t="s">
        <v>200</v>
      </c>
      <c r="H193" s="81" t="s">
        <v>892</v>
      </c>
      <c r="I193" s="81" t="s">
        <v>243</v>
      </c>
      <c r="J193" s="81" t="s">
        <v>1042</v>
      </c>
      <c r="K193" s="79"/>
      <c r="L193" s="79"/>
    </row>
    <row r="194" spans="1:12">
      <c r="A194" s="81" t="s">
        <v>547</v>
      </c>
      <c r="B194" s="81" t="s">
        <v>77</v>
      </c>
      <c r="C194" s="81" t="s">
        <v>203</v>
      </c>
      <c r="D194" s="81" t="s">
        <v>910</v>
      </c>
      <c r="E194" s="81">
        <v>2</v>
      </c>
      <c r="F194" s="81">
        <v>3</v>
      </c>
      <c r="G194" s="81" t="s">
        <v>200</v>
      </c>
      <c r="H194" s="81" t="s">
        <v>892</v>
      </c>
      <c r="I194" s="81" t="s">
        <v>243</v>
      </c>
      <c r="J194" s="81" t="s">
        <v>1042</v>
      </c>
      <c r="K194" s="79"/>
      <c r="L194" s="79"/>
    </row>
    <row r="195" spans="1:12">
      <c r="A195" s="81" t="s">
        <v>548</v>
      </c>
      <c r="B195" s="81" t="s">
        <v>77</v>
      </c>
      <c r="C195" s="81" t="s">
        <v>203</v>
      </c>
      <c r="D195" s="81" t="s">
        <v>919</v>
      </c>
      <c r="E195" s="81">
        <v>2</v>
      </c>
      <c r="F195" s="81">
        <v>3</v>
      </c>
      <c r="G195" s="81" t="s">
        <v>200</v>
      </c>
      <c r="H195" s="81" t="s">
        <v>892</v>
      </c>
      <c r="I195" s="81" t="s">
        <v>545</v>
      </c>
      <c r="J195" s="81" t="s">
        <v>1042</v>
      </c>
      <c r="K195" s="79"/>
      <c r="L195" s="79"/>
    </row>
    <row r="196" spans="1:12">
      <c r="A196" s="81" t="s">
        <v>549</v>
      </c>
      <c r="B196" s="81" t="s">
        <v>77</v>
      </c>
      <c r="C196" s="81" t="s">
        <v>203</v>
      </c>
      <c r="D196" s="81" t="s">
        <v>910</v>
      </c>
      <c r="E196" s="81">
        <v>2</v>
      </c>
      <c r="F196" s="81">
        <v>3</v>
      </c>
      <c r="G196" s="81" t="s">
        <v>200</v>
      </c>
      <c r="H196" s="81" t="s">
        <v>892</v>
      </c>
      <c r="I196" s="81" t="s">
        <v>243</v>
      </c>
      <c r="J196" s="81" t="s">
        <v>1042</v>
      </c>
      <c r="K196" s="79"/>
      <c r="L196" s="79"/>
    </row>
    <row r="197" spans="1:12">
      <c r="A197" s="81" t="s">
        <v>550</v>
      </c>
      <c r="B197" s="81" t="s">
        <v>77</v>
      </c>
      <c r="C197" s="81" t="s">
        <v>203</v>
      </c>
      <c r="D197" s="81" t="s">
        <v>910</v>
      </c>
      <c r="E197" s="81">
        <v>2</v>
      </c>
      <c r="F197" s="81">
        <v>3</v>
      </c>
      <c r="G197" s="81" t="s">
        <v>200</v>
      </c>
      <c r="H197" s="81" t="s">
        <v>892</v>
      </c>
      <c r="I197" s="81" t="s">
        <v>243</v>
      </c>
      <c r="J197" s="81" t="s">
        <v>1042</v>
      </c>
      <c r="K197" s="79"/>
      <c r="L197" s="79"/>
    </row>
    <row r="198" spans="1:12">
      <c r="A198" s="81" t="s">
        <v>551</v>
      </c>
      <c r="B198" s="81" t="s">
        <v>77</v>
      </c>
      <c r="C198" s="81" t="s">
        <v>203</v>
      </c>
      <c r="D198" s="81" t="s">
        <v>920</v>
      </c>
      <c r="E198" s="81">
        <v>3</v>
      </c>
      <c r="F198" s="81">
        <v>2</v>
      </c>
      <c r="G198" s="81" t="s">
        <v>200</v>
      </c>
      <c r="H198" s="81" t="s">
        <v>887</v>
      </c>
      <c r="I198" s="81" t="s">
        <v>341</v>
      </c>
      <c r="J198" s="81" t="s">
        <v>1047</v>
      </c>
      <c r="K198" s="79"/>
      <c r="L198" s="79"/>
    </row>
    <row r="199" spans="1:12">
      <c r="A199" s="81" t="s">
        <v>555</v>
      </c>
      <c r="B199" s="81" t="s">
        <v>77</v>
      </c>
      <c r="C199" s="81" t="s">
        <v>203</v>
      </c>
      <c r="D199" s="81" t="s">
        <v>921</v>
      </c>
      <c r="E199" s="81">
        <v>2</v>
      </c>
      <c r="F199" s="81">
        <v>3</v>
      </c>
      <c r="G199" s="81" t="s">
        <v>200</v>
      </c>
      <c r="H199" s="81" t="s">
        <v>892</v>
      </c>
      <c r="I199" s="81" t="s">
        <v>243</v>
      </c>
      <c r="J199" s="81" t="s">
        <v>1042</v>
      </c>
      <c r="K199" s="79"/>
      <c r="L199" s="79"/>
    </row>
    <row r="200" ht="26" spans="1:12">
      <c r="A200" s="81" t="s">
        <v>557</v>
      </c>
      <c r="B200" s="81" t="s">
        <v>77</v>
      </c>
      <c r="C200" s="81" t="s">
        <v>203</v>
      </c>
      <c r="D200" s="81" t="s">
        <v>922</v>
      </c>
      <c r="E200" s="81">
        <v>2</v>
      </c>
      <c r="F200" s="81">
        <v>3</v>
      </c>
      <c r="G200" s="81" t="s">
        <v>200</v>
      </c>
      <c r="H200" s="81" t="s">
        <v>892</v>
      </c>
      <c r="I200" s="81" t="s">
        <v>243</v>
      </c>
      <c r="J200" s="81" t="s">
        <v>1042</v>
      </c>
      <c r="K200" s="79"/>
      <c r="L200" s="79"/>
    </row>
    <row r="201" spans="1:12">
      <c r="A201" s="81" t="s">
        <v>559</v>
      </c>
      <c r="B201" s="81" t="s">
        <v>77</v>
      </c>
      <c r="C201" s="81" t="s">
        <v>203</v>
      </c>
      <c r="D201" s="81" t="s">
        <v>923</v>
      </c>
      <c r="E201" s="81">
        <v>2</v>
      </c>
      <c r="F201" s="81">
        <v>3</v>
      </c>
      <c r="G201" s="81" t="s">
        <v>200</v>
      </c>
      <c r="H201" s="81" t="s">
        <v>892</v>
      </c>
      <c r="I201" s="81" t="s">
        <v>243</v>
      </c>
      <c r="J201" s="81" t="s">
        <v>1042</v>
      </c>
      <c r="K201" s="79"/>
      <c r="L201" s="79"/>
    </row>
    <row r="202" spans="1:12">
      <c r="A202" s="81" t="s">
        <v>562</v>
      </c>
      <c r="B202" s="81" t="s">
        <v>77</v>
      </c>
      <c r="C202" s="81" t="s">
        <v>203</v>
      </c>
      <c r="D202" s="81" t="s">
        <v>924</v>
      </c>
      <c r="E202" s="81">
        <v>2</v>
      </c>
      <c r="F202" s="81">
        <v>3</v>
      </c>
      <c r="G202" s="81" t="s">
        <v>200</v>
      </c>
      <c r="H202" s="81" t="s">
        <v>892</v>
      </c>
      <c r="I202" s="81" t="s">
        <v>243</v>
      </c>
      <c r="J202" s="81" t="s">
        <v>1042</v>
      </c>
      <c r="K202" s="79"/>
      <c r="L202" s="79"/>
    </row>
    <row r="203" spans="1:12">
      <c r="A203" s="81" t="s">
        <v>563</v>
      </c>
      <c r="B203" s="81" t="s">
        <v>77</v>
      </c>
      <c r="C203" s="81" t="s">
        <v>203</v>
      </c>
      <c r="D203" s="81" t="s">
        <v>923</v>
      </c>
      <c r="E203" s="81">
        <v>2</v>
      </c>
      <c r="F203" s="81">
        <v>3</v>
      </c>
      <c r="G203" s="81" t="s">
        <v>200</v>
      </c>
      <c r="H203" s="81" t="s">
        <v>892</v>
      </c>
      <c r="I203" s="81" t="s">
        <v>243</v>
      </c>
      <c r="J203" s="81" t="s">
        <v>1042</v>
      </c>
      <c r="K203" s="79"/>
      <c r="L203" s="79"/>
    </row>
    <row r="204" ht="26" spans="1:12">
      <c r="A204" s="81" t="s">
        <v>564</v>
      </c>
      <c r="B204" s="81" t="s">
        <v>77</v>
      </c>
      <c r="C204" s="81" t="s">
        <v>203</v>
      </c>
      <c r="D204" s="81" t="s">
        <v>922</v>
      </c>
      <c r="E204" s="81">
        <v>2</v>
      </c>
      <c r="F204" s="81">
        <v>3</v>
      </c>
      <c r="G204" s="81" t="s">
        <v>200</v>
      </c>
      <c r="H204" s="81" t="s">
        <v>892</v>
      </c>
      <c r="I204" s="81" t="s">
        <v>243</v>
      </c>
      <c r="J204" s="81" t="s">
        <v>1042</v>
      </c>
      <c r="K204" s="79"/>
      <c r="L204" s="79"/>
    </row>
    <row r="205" ht="26" spans="1:12">
      <c r="A205" s="81" t="s">
        <v>565</v>
      </c>
      <c r="B205" s="81" t="s">
        <v>77</v>
      </c>
      <c r="C205" s="81" t="s">
        <v>203</v>
      </c>
      <c r="D205" s="81" t="s">
        <v>922</v>
      </c>
      <c r="E205" s="81">
        <v>2</v>
      </c>
      <c r="F205" s="81">
        <v>3</v>
      </c>
      <c r="G205" s="81" t="s">
        <v>200</v>
      </c>
      <c r="H205" s="81" t="s">
        <v>892</v>
      </c>
      <c r="I205" s="81" t="s">
        <v>243</v>
      </c>
      <c r="J205" s="81" t="s">
        <v>1042</v>
      </c>
      <c r="K205" s="79"/>
      <c r="L205" s="79"/>
    </row>
    <row r="206" ht="26" spans="1:12">
      <c r="A206" s="81" t="s">
        <v>566</v>
      </c>
      <c r="B206" s="81" t="s">
        <v>77</v>
      </c>
      <c r="C206" s="81" t="s">
        <v>203</v>
      </c>
      <c r="D206" s="81" t="s">
        <v>922</v>
      </c>
      <c r="E206" s="81">
        <v>2</v>
      </c>
      <c r="F206" s="81">
        <v>3</v>
      </c>
      <c r="G206" s="81" t="s">
        <v>200</v>
      </c>
      <c r="H206" s="81" t="s">
        <v>892</v>
      </c>
      <c r="I206" s="81" t="s">
        <v>243</v>
      </c>
      <c r="J206" s="81" t="s">
        <v>1042</v>
      </c>
      <c r="K206" s="79"/>
      <c r="L206" s="79"/>
    </row>
    <row r="207" spans="1:12">
      <c r="A207" s="81" t="s">
        <v>567</v>
      </c>
      <c r="B207" s="81" t="s">
        <v>77</v>
      </c>
      <c r="C207" s="81" t="s">
        <v>203</v>
      </c>
      <c r="D207" s="81" t="s">
        <v>924</v>
      </c>
      <c r="E207" s="81">
        <v>2</v>
      </c>
      <c r="F207" s="81">
        <v>3</v>
      </c>
      <c r="G207" s="81" t="s">
        <v>200</v>
      </c>
      <c r="H207" s="81" t="s">
        <v>892</v>
      </c>
      <c r="I207" s="81" t="s">
        <v>243</v>
      </c>
      <c r="J207" s="81" t="s">
        <v>1042</v>
      </c>
      <c r="K207" s="79"/>
      <c r="L207" s="79"/>
    </row>
    <row r="208" spans="1:12">
      <c r="A208" s="81" t="s">
        <v>569</v>
      </c>
      <c r="B208" s="81" t="s">
        <v>77</v>
      </c>
      <c r="C208" s="81" t="s">
        <v>203</v>
      </c>
      <c r="D208" s="81" t="s">
        <v>923</v>
      </c>
      <c r="E208" s="81">
        <v>2</v>
      </c>
      <c r="F208" s="81">
        <v>3</v>
      </c>
      <c r="G208" s="81" t="s">
        <v>200</v>
      </c>
      <c r="H208" s="81" t="s">
        <v>892</v>
      </c>
      <c r="I208" s="81" t="s">
        <v>243</v>
      </c>
      <c r="J208" s="81" t="s">
        <v>1042</v>
      </c>
      <c r="K208" s="79"/>
      <c r="L208" s="79"/>
    </row>
    <row r="209" spans="1:12">
      <c r="A209" s="81" t="s">
        <v>570</v>
      </c>
      <c r="B209" s="81" t="s">
        <v>77</v>
      </c>
      <c r="C209" s="81" t="s">
        <v>203</v>
      </c>
      <c r="D209" s="81" t="s">
        <v>925</v>
      </c>
      <c r="E209" s="81">
        <v>2</v>
      </c>
      <c r="F209" s="81">
        <v>3</v>
      </c>
      <c r="G209" s="81" t="s">
        <v>200</v>
      </c>
      <c r="H209" s="81" t="s">
        <v>892</v>
      </c>
      <c r="I209" s="81" t="s">
        <v>243</v>
      </c>
      <c r="J209" s="81" t="s">
        <v>1042</v>
      </c>
      <c r="K209" s="79"/>
      <c r="L209" s="79"/>
    </row>
    <row r="210" spans="1:12">
      <c r="A210" s="81" t="s">
        <v>573</v>
      </c>
      <c r="B210" s="81" t="s">
        <v>77</v>
      </c>
      <c r="C210" s="81" t="s">
        <v>203</v>
      </c>
      <c r="D210" s="81" t="s">
        <v>925</v>
      </c>
      <c r="E210" s="81">
        <v>2</v>
      </c>
      <c r="F210" s="81">
        <v>3</v>
      </c>
      <c r="G210" s="81" t="s">
        <v>200</v>
      </c>
      <c r="H210" s="81" t="s">
        <v>892</v>
      </c>
      <c r="I210" s="81" t="s">
        <v>243</v>
      </c>
      <c r="J210" s="81" t="s">
        <v>1042</v>
      </c>
      <c r="K210" s="79"/>
      <c r="L210" s="79"/>
    </row>
    <row r="211" spans="1:12">
      <c r="A211" s="81" t="s">
        <v>574</v>
      </c>
      <c r="B211" s="81" t="s">
        <v>77</v>
      </c>
      <c r="C211" s="81" t="s">
        <v>203</v>
      </c>
      <c r="D211" s="81" t="s">
        <v>925</v>
      </c>
      <c r="E211" s="81">
        <v>2</v>
      </c>
      <c r="F211" s="81">
        <v>3</v>
      </c>
      <c r="G211" s="81" t="s">
        <v>200</v>
      </c>
      <c r="H211" s="81" t="s">
        <v>892</v>
      </c>
      <c r="I211" s="81" t="s">
        <v>243</v>
      </c>
      <c r="J211" s="81" t="s">
        <v>1042</v>
      </c>
      <c r="K211" s="79"/>
      <c r="L211" s="79"/>
    </row>
    <row r="212" spans="1:12">
      <c r="A212" s="81" t="s">
        <v>575</v>
      </c>
      <c r="B212" s="81" t="s">
        <v>77</v>
      </c>
      <c r="C212" s="81" t="s">
        <v>203</v>
      </c>
      <c r="D212" s="81" t="s">
        <v>905</v>
      </c>
      <c r="E212" s="81">
        <v>2</v>
      </c>
      <c r="F212" s="81">
        <v>3</v>
      </c>
      <c r="G212" s="81" t="s">
        <v>200</v>
      </c>
      <c r="H212" s="81" t="s">
        <v>892</v>
      </c>
      <c r="I212" s="81" t="s">
        <v>243</v>
      </c>
      <c r="J212" s="81" t="s">
        <v>1042</v>
      </c>
      <c r="K212" s="79"/>
      <c r="L212" s="79"/>
    </row>
    <row r="213" spans="1:12">
      <c r="A213" s="81" t="s">
        <v>577</v>
      </c>
      <c r="B213" s="81" t="s">
        <v>77</v>
      </c>
      <c r="C213" s="81" t="s">
        <v>203</v>
      </c>
      <c r="D213" s="81" t="s">
        <v>905</v>
      </c>
      <c r="E213" s="81">
        <v>2</v>
      </c>
      <c r="F213" s="81">
        <v>3</v>
      </c>
      <c r="G213" s="81" t="s">
        <v>200</v>
      </c>
      <c r="H213" s="81" t="s">
        <v>892</v>
      </c>
      <c r="I213" s="81" t="s">
        <v>243</v>
      </c>
      <c r="J213" s="81" t="s">
        <v>1042</v>
      </c>
      <c r="K213" s="79"/>
      <c r="L213" s="79"/>
    </row>
    <row r="214" spans="1:12">
      <c r="A214" s="81" t="s">
        <v>578</v>
      </c>
      <c r="B214" s="81" t="s">
        <v>77</v>
      </c>
      <c r="C214" s="81" t="s">
        <v>203</v>
      </c>
      <c r="D214" s="81" t="s">
        <v>905</v>
      </c>
      <c r="E214" s="81">
        <v>2</v>
      </c>
      <c r="F214" s="81">
        <v>3</v>
      </c>
      <c r="G214" s="81" t="s">
        <v>200</v>
      </c>
      <c r="H214" s="81" t="s">
        <v>892</v>
      </c>
      <c r="I214" s="81" t="s">
        <v>243</v>
      </c>
      <c r="J214" s="81" t="s">
        <v>1042</v>
      </c>
      <c r="K214" s="79"/>
      <c r="L214" s="79"/>
    </row>
    <row r="215" spans="1:12">
      <c r="A215" s="81" t="s">
        <v>579</v>
      </c>
      <c r="B215" s="81" t="s">
        <v>77</v>
      </c>
      <c r="C215" s="81" t="s">
        <v>203</v>
      </c>
      <c r="D215" s="81" t="s">
        <v>905</v>
      </c>
      <c r="E215" s="81">
        <v>2</v>
      </c>
      <c r="F215" s="81">
        <v>3</v>
      </c>
      <c r="G215" s="81" t="s">
        <v>200</v>
      </c>
      <c r="H215" s="81" t="s">
        <v>892</v>
      </c>
      <c r="I215" s="81" t="s">
        <v>243</v>
      </c>
      <c r="J215" s="81" t="s">
        <v>1042</v>
      </c>
      <c r="K215" s="79"/>
      <c r="L215" s="79"/>
    </row>
    <row r="216" spans="1:12">
      <c r="A216" s="81" t="s">
        <v>580</v>
      </c>
      <c r="B216" s="81" t="s">
        <v>77</v>
      </c>
      <c r="C216" s="81" t="s">
        <v>203</v>
      </c>
      <c r="D216" s="81" t="s">
        <v>905</v>
      </c>
      <c r="E216" s="81">
        <v>2</v>
      </c>
      <c r="F216" s="81">
        <v>3</v>
      </c>
      <c r="G216" s="81" t="s">
        <v>200</v>
      </c>
      <c r="H216" s="81" t="s">
        <v>892</v>
      </c>
      <c r="I216" s="81" t="s">
        <v>243</v>
      </c>
      <c r="J216" s="81" t="s">
        <v>1042</v>
      </c>
      <c r="K216" s="79"/>
      <c r="L216" s="79"/>
    </row>
    <row r="217" spans="1:12">
      <c r="A217" s="81" t="s">
        <v>581</v>
      </c>
      <c r="B217" s="81" t="s">
        <v>77</v>
      </c>
      <c r="C217" s="81" t="s">
        <v>203</v>
      </c>
      <c r="D217" s="81" t="s">
        <v>905</v>
      </c>
      <c r="E217" s="81">
        <v>2</v>
      </c>
      <c r="F217" s="81">
        <v>3</v>
      </c>
      <c r="G217" s="81" t="s">
        <v>200</v>
      </c>
      <c r="H217" s="81" t="s">
        <v>892</v>
      </c>
      <c r="I217" s="81" t="s">
        <v>243</v>
      </c>
      <c r="J217" s="81" t="s">
        <v>1042</v>
      </c>
      <c r="K217" s="79"/>
      <c r="L217" s="79"/>
    </row>
    <row r="218" spans="1:12">
      <c r="A218" s="81" t="s">
        <v>582</v>
      </c>
      <c r="B218" s="81" t="s">
        <v>77</v>
      </c>
      <c r="C218" s="81" t="s">
        <v>203</v>
      </c>
      <c r="D218" s="81" t="s">
        <v>905</v>
      </c>
      <c r="E218" s="81">
        <v>2</v>
      </c>
      <c r="F218" s="81">
        <v>3</v>
      </c>
      <c r="G218" s="81" t="s">
        <v>200</v>
      </c>
      <c r="H218" s="81" t="s">
        <v>892</v>
      </c>
      <c r="I218" s="81" t="s">
        <v>243</v>
      </c>
      <c r="J218" s="81" t="s">
        <v>1042</v>
      </c>
      <c r="K218" s="79"/>
      <c r="L218" s="79"/>
    </row>
    <row r="219" spans="1:12">
      <c r="A219" s="81" t="s">
        <v>583</v>
      </c>
      <c r="B219" s="81" t="s">
        <v>77</v>
      </c>
      <c r="C219" s="81" t="s">
        <v>203</v>
      </c>
      <c r="D219" s="81" t="s">
        <v>926</v>
      </c>
      <c r="E219" s="81">
        <v>2</v>
      </c>
      <c r="F219" s="81">
        <v>3</v>
      </c>
      <c r="G219" s="81" t="s">
        <v>200</v>
      </c>
      <c r="H219" s="81" t="s">
        <v>892</v>
      </c>
      <c r="I219" s="81" t="s">
        <v>545</v>
      </c>
      <c r="J219" s="81" t="s">
        <v>1042</v>
      </c>
      <c r="K219" s="79"/>
      <c r="L219" s="79"/>
    </row>
    <row r="220" spans="1:12">
      <c r="A220" s="81" t="s">
        <v>584</v>
      </c>
      <c r="B220" s="81" t="s">
        <v>77</v>
      </c>
      <c r="C220" s="81" t="s">
        <v>203</v>
      </c>
      <c r="D220" s="81" t="s">
        <v>905</v>
      </c>
      <c r="E220" s="81">
        <v>2</v>
      </c>
      <c r="F220" s="81">
        <v>3</v>
      </c>
      <c r="G220" s="81" t="s">
        <v>200</v>
      </c>
      <c r="H220" s="81" t="s">
        <v>892</v>
      </c>
      <c r="I220" s="81" t="s">
        <v>243</v>
      </c>
      <c r="J220" s="81" t="s">
        <v>1042</v>
      </c>
      <c r="K220" s="79"/>
      <c r="L220" s="79"/>
    </row>
    <row r="221" spans="1:12">
      <c r="A221" s="81" t="s">
        <v>585</v>
      </c>
      <c r="B221" s="81" t="s">
        <v>77</v>
      </c>
      <c r="C221" s="81" t="s">
        <v>203</v>
      </c>
      <c r="D221" s="81" t="s">
        <v>905</v>
      </c>
      <c r="E221" s="81">
        <v>2</v>
      </c>
      <c r="F221" s="81">
        <v>3</v>
      </c>
      <c r="G221" s="81" t="s">
        <v>200</v>
      </c>
      <c r="H221" s="81" t="s">
        <v>892</v>
      </c>
      <c r="I221" s="81" t="s">
        <v>243</v>
      </c>
      <c r="J221" s="81" t="s">
        <v>1042</v>
      </c>
      <c r="K221" s="79"/>
      <c r="L221" s="79"/>
    </row>
    <row r="222" spans="1:12">
      <c r="A222" s="81" t="s">
        <v>586</v>
      </c>
      <c r="B222" s="81" t="s">
        <v>77</v>
      </c>
      <c r="C222" s="81" t="s">
        <v>203</v>
      </c>
      <c r="D222" s="81" t="s">
        <v>926</v>
      </c>
      <c r="E222" s="81">
        <v>2</v>
      </c>
      <c r="F222" s="81">
        <v>3</v>
      </c>
      <c r="G222" s="81" t="s">
        <v>200</v>
      </c>
      <c r="H222" s="81" t="s">
        <v>892</v>
      </c>
      <c r="I222" s="81" t="s">
        <v>545</v>
      </c>
      <c r="J222" s="81" t="s">
        <v>1042</v>
      </c>
      <c r="K222" s="79"/>
      <c r="L222" s="79"/>
    </row>
    <row r="223" spans="1:12">
      <c r="A223" s="81" t="s">
        <v>587</v>
      </c>
      <c r="B223" s="81" t="s">
        <v>77</v>
      </c>
      <c r="C223" s="81" t="s">
        <v>203</v>
      </c>
      <c r="D223" s="81" t="s">
        <v>905</v>
      </c>
      <c r="E223" s="81">
        <v>2</v>
      </c>
      <c r="F223" s="81">
        <v>3</v>
      </c>
      <c r="G223" s="81" t="s">
        <v>200</v>
      </c>
      <c r="H223" s="81" t="s">
        <v>892</v>
      </c>
      <c r="I223" s="81" t="s">
        <v>243</v>
      </c>
      <c r="J223" s="81" t="s">
        <v>1042</v>
      </c>
      <c r="K223" s="79"/>
      <c r="L223" s="79"/>
    </row>
    <row r="224" spans="1:12">
      <c r="A224" s="81" t="s">
        <v>588</v>
      </c>
      <c r="B224" s="81" t="s">
        <v>77</v>
      </c>
      <c r="C224" s="81" t="s">
        <v>203</v>
      </c>
      <c r="D224" s="81" t="s">
        <v>926</v>
      </c>
      <c r="E224" s="81">
        <v>2</v>
      </c>
      <c r="F224" s="81">
        <v>3</v>
      </c>
      <c r="G224" s="81" t="s">
        <v>200</v>
      </c>
      <c r="H224" s="81" t="s">
        <v>892</v>
      </c>
      <c r="I224" s="81" t="s">
        <v>545</v>
      </c>
      <c r="J224" s="81" t="s">
        <v>1042</v>
      </c>
      <c r="K224" s="79"/>
      <c r="L224" s="79"/>
    </row>
    <row r="225" spans="1:12">
      <c r="A225" s="81" t="s">
        <v>589</v>
      </c>
      <c r="B225" s="81" t="s">
        <v>77</v>
      </c>
      <c r="C225" s="81" t="s">
        <v>203</v>
      </c>
      <c r="D225" s="81" t="s">
        <v>926</v>
      </c>
      <c r="E225" s="81">
        <v>2</v>
      </c>
      <c r="F225" s="81">
        <v>3</v>
      </c>
      <c r="G225" s="81" t="s">
        <v>200</v>
      </c>
      <c r="H225" s="81" t="s">
        <v>892</v>
      </c>
      <c r="I225" s="81" t="s">
        <v>545</v>
      </c>
      <c r="J225" s="81" t="s">
        <v>1042</v>
      </c>
      <c r="K225" s="79"/>
      <c r="L225" s="79"/>
    </row>
    <row r="226" spans="1:12">
      <c r="A226" s="81" t="s">
        <v>590</v>
      </c>
      <c r="B226" s="81" t="s">
        <v>77</v>
      </c>
      <c r="C226" s="81" t="s">
        <v>203</v>
      </c>
      <c r="D226" s="81" t="s">
        <v>926</v>
      </c>
      <c r="E226" s="81">
        <v>2</v>
      </c>
      <c r="F226" s="81">
        <v>3</v>
      </c>
      <c r="G226" s="81" t="s">
        <v>200</v>
      </c>
      <c r="H226" s="81" t="s">
        <v>892</v>
      </c>
      <c r="I226" s="81" t="s">
        <v>545</v>
      </c>
      <c r="J226" s="81" t="s">
        <v>1042</v>
      </c>
      <c r="K226" s="79"/>
      <c r="L226" s="79"/>
    </row>
    <row r="227" spans="1:12">
      <c r="A227" s="81" t="s">
        <v>591</v>
      </c>
      <c r="B227" s="81" t="s">
        <v>77</v>
      </c>
      <c r="C227" s="81" t="s">
        <v>203</v>
      </c>
      <c r="D227" s="81" t="s">
        <v>926</v>
      </c>
      <c r="E227" s="81">
        <v>2</v>
      </c>
      <c r="F227" s="81">
        <v>3</v>
      </c>
      <c r="G227" s="81" t="s">
        <v>200</v>
      </c>
      <c r="H227" s="81" t="s">
        <v>892</v>
      </c>
      <c r="I227" s="81" t="s">
        <v>545</v>
      </c>
      <c r="J227" s="81" t="s">
        <v>1042</v>
      </c>
      <c r="K227" s="79"/>
      <c r="L227" s="79"/>
    </row>
    <row r="228" spans="1:12">
      <c r="A228" s="81" t="s">
        <v>592</v>
      </c>
      <c r="B228" s="81" t="s">
        <v>77</v>
      </c>
      <c r="C228" s="81" t="s">
        <v>203</v>
      </c>
      <c r="D228" s="81" t="s">
        <v>926</v>
      </c>
      <c r="E228" s="81">
        <v>2</v>
      </c>
      <c r="F228" s="81">
        <v>3</v>
      </c>
      <c r="G228" s="81" t="s">
        <v>200</v>
      </c>
      <c r="H228" s="81" t="s">
        <v>892</v>
      </c>
      <c r="I228" s="81" t="s">
        <v>545</v>
      </c>
      <c r="J228" s="81" t="s">
        <v>1042</v>
      </c>
      <c r="K228" s="79"/>
      <c r="L228" s="79"/>
    </row>
    <row r="229" spans="1:12">
      <c r="A229" s="81" t="s">
        <v>593</v>
      </c>
      <c r="B229" s="81" t="s">
        <v>77</v>
      </c>
      <c r="C229" s="81" t="s">
        <v>203</v>
      </c>
      <c r="D229" s="81" t="s">
        <v>926</v>
      </c>
      <c r="E229" s="81">
        <v>2</v>
      </c>
      <c r="F229" s="81">
        <v>3</v>
      </c>
      <c r="G229" s="81" t="s">
        <v>200</v>
      </c>
      <c r="H229" s="81" t="s">
        <v>892</v>
      </c>
      <c r="I229" s="81" t="s">
        <v>545</v>
      </c>
      <c r="J229" s="81" t="s">
        <v>1042</v>
      </c>
      <c r="K229" s="79"/>
      <c r="L229" s="79"/>
    </row>
    <row r="230" spans="1:12">
      <c r="A230" s="81" t="s">
        <v>594</v>
      </c>
      <c r="B230" s="81" t="s">
        <v>77</v>
      </c>
      <c r="C230" s="81" t="s">
        <v>203</v>
      </c>
      <c r="D230" s="81" t="s">
        <v>905</v>
      </c>
      <c r="E230" s="81">
        <v>2</v>
      </c>
      <c r="F230" s="81">
        <v>3</v>
      </c>
      <c r="G230" s="81" t="s">
        <v>200</v>
      </c>
      <c r="H230" s="81" t="s">
        <v>892</v>
      </c>
      <c r="I230" s="81" t="s">
        <v>243</v>
      </c>
      <c r="J230" s="81" t="s">
        <v>1042</v>
      </c>
      <c r="K230" s="79"/>
      <c r="L230" s="79"/>
    </row>
    <row r="231" spans="1:12">
      <c r="A231" s="81" t="s">
        <v>595</v>
      </c>
      <c r="B231" s="81" t="s">
        <v>77</v>
      </c>
      <c r="C231" s="81" t="s">
        <v>203</v>
      </c>
      <c r="D231" s="81" t="s">
        <v>905</v>
      </c>
      <c r="E231" s="81">
        <v>2</v>
      </c>
      <c r="F231" s="81">
        <v>3</v>
      </c>
      <c r="G231" s="81" t="s">
        <v>200</v>
      </c>
      <c r="H231" s="81" t="s">
        <v>892</v>
      </c>
      <c r="I231" s="81" t="s">
        <v>243</v>
      </c>
      <c r="J231" s="81" t="s">
        <v>1042</v>
      </c>
      <c r="K231" s="79"/>
      <c r="L231" s="79"/>
    </row>
    <row r="232" spans="1:12">
      <c r="A232" s="81" t="s">
        <v>596</v>
      </c>
      <c r="B232" s="81" t="s">
        <v>77</v>
      </c>
      <c r="C232" s="81" t="s">
        <v>203</v>
      </c>
      <c r="D232" s="81" t="s">
        <v>905</v>
      </c>
      <c r="E232" s="81">
        <v>2</v>
      </c>
      <c r="F232" s="81">
        <v>3</v>
      </c>
      <c r="G232" s="81" t="s">
        <v>200</v>
      </c>
      <c r="H232" s="81" t="s">
        <v>892</v>
      </c>
      <c r="I232" s="81" t="s">
        <v>243</v>
      </c>
      <c r="J232" s="81" t="s">
        <v>1042</v>
      </c>
      <c r="K232" s="79"/>
      <c r="L232" s="79"/>
    </row>
    <row r="233" spans="1:12">
      <c r="A233" s="81" t="s">
        <v>597</v>
      </c>
      <c r="B233" s="81" t="s">
        <v>77</v>
      </c>
      <c r="C233" s="81" t="s">
        <v>203</v>
      </c>
      <c r="D233" s="81" t="s">
        <v>905</v>
      </c>
      <c r="E233" s="81">
        <v>2</v>
      </c>
      <c r="F233" s="81">
        <v>3</v>
      </c>
      <c r="G233" s="81" t="s">
        <v>200</v>
      </c>
      <c r="H233" s="81" t="s">
        <v>892</v>
      </c>
      <c r="I233" s="81" t="s">
        <v>243</v>
      </c>
      <c r="J233" s="81" t="s">
        <v>1042</v>
      </c>
      <c r="K233" s="79"/>
      <c r="L233" s="79"/>
    </row>
    <row r="234" spans="1:12">
      <c r="A234" s="81" t="s">
        <v>598</v>
      </c>
      <c r="B234" s="81" t="s">
        <v>77</v>
      </c>
      <c r="C234" s="81" t="s">
        <v>203</v>
      </c>
      <c r="D234" s="81" t="s">
        <v>905</v>
      </c>
      <c r="E234" s="81">
        <v>2</v>
      </c>
      <c r="F234" s="81">
        <v>3</v>
      </c>
      <c r="G234" s="81" t="s">
        <v>200</v>
      </c>
      <c r="H234" s="81" t="s">
        <v>892</v>
      </c>
      <c r="I234" s="81" t="s">
        <v>243</v>
      </c>
      <c r="J234" s="81" t="s">
        <v>1042</v>
      </c>
      <c r="K234" s="79"/>
      <c r="L234" s="79"/>
    </row>
    <row r="235" spans="1:12">
      <c r="A235" s="81" t="s">
        <v>599</v>
      </c>
      <c r="B235" s="81" t="s">
        <v>77</v>
      </c>
      <c r="C235" s="81" t="s">
        <v>203</v>
      </c>
      <c r="D235" s="81" t="s">
        <v>905</v>
      </c>
      <c r="E235" s="81">
        <v>2</v>
      </c>
      <c r="F235" s="81">
        <v>3</v>
      </c>
      <c r="G235" s="81" t="s">
        <v>200</v>
      </c>
      <c r="H235" s="81" t="s">
        <v>892</v>
      </c>
      <c r="I235" s="81" t="s">
        <v>243</v>
      </c>
      <c r="J235" s="81" t="s">
        <v>1042</v>
      </c>
      <c r="K235" s="79"/>
      <c r="L235" s="79"/>
    </row>
    <row r="236" spans="1:12">
      <c r="A236" s="81" t="s">
        <v>600</v>
      </c>
      <c r="B236" s="81" t="s">
        <v>77</v>
      </c>
      <c r="C236" s="81" t="s">
        <v>203</v>
      </c>
      <c r="D236" s="81" t="s">
        <v>905</v>
      </c>
      <c r="E236" s="81">
        <v>2</v>
      </c>
      <c r="F236" s="81">
        <v>3</v>
      </c>
      <c r="G236" s="81" t="s">
        <v>200</v>
      </c>
      <c r="H236" s="81" t="s">
        <v>892</v>
      </c>
      <c r="I236" s="81" t="s">
        <v>243</v>
      </c>
      <c r="J236" s="81" t="s">
        <v>1042</v>
      </c>
      <c r="K236" s="79"/>
      <c r="L236" s="79"/>
    </row>
    <row r="237" spans="1:12">
      <c r="A237" s="81" t="s">
        <v>601</v>
      </c>
      <c r="B237" s="81" t="s">
        <v>77</v>
      </c>
      <c r="C237" s="81" t="s">
        <v>203</v>
      </c>
      <c r="D237" s="81" t="s">
        <v>905</v>
      </c>
      <c r="E237" s="81">
        <v>2</v>
      </c>
      <c r="F237" s="81">
        <v>3</v>
      </c>
      <c r="G237" s="81" t="s">
        <v>200</v>
      </c>
      <c r="H237" s="81" t="s">
        <v>892</v>
      </c>
      <c r="I237" s="81" t="s">
        <v>243</v>
      </c>
      <c r="J237" s="81" t="s">
        <v>1042</v>
      </c>
      <c r="K237" s="79"/>
      <c r="L237" s="79"/>
    </row>
    <row r="238" spans="1:12">
      <c r="A238" s="81" t="s">
        <v>602</v>
      </c>
      <c r="B238" s="81" t="s">
        <v>77</v>
      </c>
      <c r="C238" s="81" t="s">
        <v>203</v>
      </c>
      <c r="D238" s="81" t="s">
        <v>905</v>
      </c>
      <c r="E238" s="81">
        <v>2</v>
      </c>
      <c r="F238" s="81">
        <v>3</v>
      </c>
      <c r="G238" s="81" t="s">
        <v>200</v>
      </c>
      <c r="H238" s="81" t="s">
        <v>892</v>
      </c>
      <c r="I238" s="81" t="s">
        <v>243</v>
      </c>
      <c r="J238" s="81" t="s">
        <v>1042</v>
      </c>
      <c r="K238" s="79"/>
      <c r="L238" s="79"/>
    </row>
    <row r="239" spans="1:12">
      <c r="A239" s="81" t="s">
        <v>604</v>
      </c>
      <c r="B239" s="81" t="s">
        <v>77</v>
      </c>
      <c r="C239" s="81" t="s">
        <v>203</v>
      </c>
      <c r="D239" s="81" t="s">
        <v>894</v>
      </c>
      <c r="E239" s="81">
        <v>4</v>
      </c>
      <c r="F239" s="81">
        <v>2</v>
      </c>
      <c r="G239" s="81" t="s">
        <v>200</v>
      </c>
      <c r="H239" s="81" t="s">
        <v>887</v>
      </c>
      <c r="I239" s="81" t="s">
        <v>341</v>
      </c>
      <c r="J239" s="81" t="s">
        <v>1040</v>
      </c>
      <c r="K239" s="79"/>
      <c r="L239" s="79"/>
    </row>
    <row r="240" spans="1:12">
      <c r="A240" s="81" t="s">
        <v>607</v>
      </c>
      <c r="B240" s="81" t="s">
        <v>77</v>
      </c>
      <c r="C240" s="81" t="s">
        <v>203</v>
      </c>
      <c r="D240" s="81" t="s">
        <v>894</v>
      </c>
      <c r="E240" s="81">
        <v>4</v>
      </c>
      <c r="F240" s="81">
        <v>2</v>
      </c>
      <c r="G240" s="81" t="s">
        <v>200</v>
      </c>
      <c r="H240" s="81" t="s">
        <v>887</v>
      </c>
      <c r="I240" s="81" t="s">
        <v>341</v>
      </c>
      <c r="J240" s="81" t="s">
        <v>1040</v>
      </c>
      <c r="K240" s="79"/>
      <c r="L240" s="79"/>
    </row>
    <row r="241" spans="1:12">
      <c r="A241" s="81" t="s">
        <v>608</v>
      </c>
      <c r="B241" s="81" t="s">
        <v>77</v>
      </c>
      <c r="C241" s="81" t="s">
        <v>203</v>
      </c>
      <c r="D241" s="81" t="s">
        <v>894</v>
      </c>
      <c r="E241" s="81">
        <v>4</v>
      </c>
      <c r="F241" s="81">
        <v>2</v>
      </c>
      <c r="G241" s="81" t="s">
        <v>200</v>
      </c>
      <c r="H241" s="81" t="s">
        <v>887</v>
      </c>
      <c r="I241" s="81" t="s">
        <v>341</v>
      </c>
      <c r="J241" s="81" t="s">
        <v>1040</v>
      </c>
      <c r="K241" s="79"/>
      <c r="L241" s="79"/>
    </row>
    <row r="242" spans="1:12">
      <c r="A242" s="81" t="s">
        <v>609</v>
      </c>
      <c r="B242" s="81" t="s">
        <v>77</v>
      </c>
      <c r="C242" s="81" t="s">
        <v>203</v>
      </c>
      <c r="D242" s="81" t="s">
        <v>894</v>
      </c>
      <c r="E242" s="81">
        <v>4</v>
      </c>
      <c r="F242" s="81">
        <v>2</v>
      </c>
      <c r="G242" s="81" t="s">
        <v>200</v>
      </c>
      <c r="H242" s="81" t="s">
        <v>887</v>
      </c>
      <c r="I242" s="81" t="s">
        <v>341</v>
      </c>
      <c r="J242" s="81" t="s">
        <v>1040</v>
      </c>
      <c r="K242" s="79"/>
      <c r="L242" s="79"/>
    </row>
    <row r="243" spans="1:12">
      <c r="A243" s="81" t="s">
        <v>610</v>
      </c>
      <c r="B243" s="81" t="s">
        <v>77</v>
      </c>
      <c r="C243" s="81" t="s">
        <v>203</v>
      </c>
      <c r="D243" s="81" t="s">
        <v>894</v>
      </c>
      <c r="E243" s="81">
        <v>4</v>
      </c>
      <c r="F243" s="81">
        <v>2</v>
      </c>
      <c r="G243" s="81" t="s">
        <v>200</v>
      </c>
      <c r="H243" s="81" t="s">
        <v>887</v>
      </c>
      <c r="I243" s="81" t="s">
        <v>341</v>
      </c>
      <c r="J243" s="81" t="s">
        <v>1040</v>
      </c>
      <c r="K243" s="79"/>
      <c r="L243" s="79"/>
    </row>
    <row r="244" spans="1:12">
      <c r="A244" s="81" t="s">
        <v>611</v>
      </c>
      <c r="B244" s="81" t="s">
        <v>77</v>
      </c>
      <c r="C244" s="81" t="s">
        <v>203</v>
      </c>
      <c r="D244" s="81" t="s">
        <v>894</v>
      </c>
      <c r="E244" s="81">
        <v>4</v>
      </c>
      <c r="F244" s="81">
        <v>2</v>
      </c>
      <c r="G244" s="81" t="s">
        <v>200</v>
      </c>
      <c r="H244" s="81" t="s">
        <v>887</v>
      </c>
      <c r="I244" s="81" t="s">
        <v>341</v>
      </c>
      <c r="J244" s="81" t="s">
        <v>1040</v>
      </c>
      <c r="K244" s="79"/>
      <c r="L244" s="79"/>
    </row>
    <row r="245" spans="1:12">
      <c r="A245" s="81" t="s">
        <v>612</v>
      </c>
      <c r="B245" s="81" t="s">
        <v>77</v>
      </c>
      <c r="C245" s="81" t="s">
        <v>203</v>
      </c>
      <c r="D245" s="81" t="s">
        <v>894</v>
      </c>
      <c r="E245" s="81">
        <v>4</v>
      </c>
      <c r="F245" s="81">
        <v>2</v>
      </c>
      <c r="G245" s="81" t="s">
        <v>200</v>
      </c>
      <c r="H245" s="81" t="s">
        <v>887</v>
      </c>
      <c r="I245" s="81" t="s">
        <v>341</v>
      </c>
      <c r="J245" s="81" t="s">
        <v>1040</v>
      </c>
      <c r="K245" s="79"/>
      <c r="L245" s="79"/>
    </row>
    <row r="246" spans="1:12">
      <c r="A246" s="81" t="s">
        <v>613</v>
      </c>
      <c r="B246" s="81" t="s">
        <v>77</v>
      </c>
      <c r="C246" s="81" t="s">
        <v>203</v>
      </c>
      <c r="D246" s="81" t="s">
        <v>927</v>
      </c>
      <c r="E246" s="81">
        <v>2</v>
      </c>
      <c r="F246" s="81">
        <v>2</v>
      </c>
      <c r="G246" s="81" t="s">
        <v>202</v>
      </c>
      <c r="H246" s="81" t="s">
        <v>887</v>
      </c>
      <c r="I246" s="81" t="s">
        <v>341</v>
      </c>
      <c r="J246" s="81" t="s">
        <v>1041</v>
      </c>
      <c r="K246" s="79"/>
      <c r="L246" s="79"/>
    </row>
    <row r="247" spans="1:12">
      <c r="A247" s="81" t="s">
        <v>614</v>
      </c>
      <c r="B247" s="81" t="s">
        <v>77</v>
      </c>
      <c r="C247" s="81" t="s">
        <v>203</v>
      </c>
      <c r="D247" s="81" t="s">
        <v>921</v>
      </c>
      <c r="E247" s="81">
        <v>2</v>
      </c>
      <c r="F247" s="81">
        <v>3</v>
      </c>
      <c r="G247" s="81" t="s">
        <v>200</v>
      </c>
      <c r="H247" s="81" t="s">
        <v>892</v>
      </c>
      <c r="I247" s="81" t="s">
        <v>243</v>
      </c>
      <c r="J247" s="81" t="s">
        <v>1042</v>
      </c>
      <c r="K247" s="79"/>
      <c r="L247" s="79"/>
    </row>
    <row r="248" spans="1:12">
      <c r="A248" s="81" t="s">
        <v>615</v>
      </c>
      <c r="B248" s="81" t="s">
        <v>77</v>
      </c>
      <c r="C248" s="81" t="s">
        <v>203</v>
      </c>
      <c r="D248" s="81" t="s">
        <v>894</v>
      </c>
      <c r="E248" s="81">
        <v>4</v>
      </c>
      <c r="F248" s="81">
        <v>2</v>
      </c>
      <c r="G248" s="81" t="s">
        <v>200</v>
      </c>
      <c r="H248" s="81" t="s">
        <v>887</v>
      </c>
      <c r="I248" s="81" t="s">
        <v>341</v>
      </c>
      <c r="J248" s="81" t="s">
        <v>1040</v>
      </c>
      <c r="K248" s="79"/>
      <c r="L248" s="79"/>
    </row>
    <row r="249" spans="1:12">
      <c r="A249" s="81" t="s">
        <v>617</v>
      </c>
      <c r="B249" s="81" t="s">
        <v>77</v>
      </c>
      <c r="C249" s="81" t="s">
        <v>203</v>
      </c>
      <c r="D249" s="81" t="s">
        <v>894</v>
      </c>
      <c r="E249" s="81">
        <v>4</v>
      </c>
      <c r="F249" s="81">
        <v>2</v>
      </c>
      <c r="G249" s="81" t="s">
        <v>200</v>
      </c>
      <c r="H249" s="81" t="s">
        <v>887</v>
      </c>
      <c r="I249" s="81" t="s">
        <v>341</v>
      </c>
      <c r="J249" s="81" t="s">
        <v>1040</v>
      </c>
      <c r="K249" s="79"/>
      <c r="L249" s="79"/>
    </row>
    <row r="250" spans="1:12">
      <c r="A250" s="81" t="s">
        <v>618</v>
      </c>
      <c r="B250" s="81" t="s">
        <v>77</v>
      </c>
      <c r="C250" s="81" t="s">
        <v>203</v>
      </c>
      <c r="D250" s="81" t="s">
        <v>894</v>
      </c>
      <c r="E250" s="81">
        <v>4</v>
      </c>
      <c r="F250" s="81">
        <v>2</v>
      </c>
      <c r="G250" s="81" t="s">
        <v>200</v>
      </c>
      <c r="H250" s="81" t="s">
        <v>887</v>
      </c>
      <c r="I250" s="81" t="s">
        <v>341</v>
      </c>
      <c r="J250" s="81" t="s">
        <v>1040</v>
      </c>
      <c r="K250" s="79"/>
      <c r="L250" s="79"/>
    </row>
    <row r="251" spans="1:12">
      <c r="A251" s="81" t="s">
        <v>619</v>
      </c>
      <c r="B251" s="81" t="s">
        <v>77</v>
      </c>
      <c r="C251" s="81" t="s">
        <v>203</v>
      </c>
      <c r="D251" s="81" t="s">
        <v>894</v>
      </c>
      <c r="E251" s="81">
        <v>4</v>
      </c>
      <c r="F251" s="81">
        <v>2</v>
      </c>
      <c r="G251" s="81" t="s">
        <v>200</v>
      </c>
      <c r="H251" s="81" t="s">
        <v>887</v>
      </c>
      <c r="I251" s="81" t="s">
        <v>341</v>
      </c>
      <c r="J251" s="81" t="s">
        <v>1040</v>
      </c>
      <c r="K251" s="79"/>
      <c r="L251" s="79"/>
    </row>
    <row r="252" spans="1:12">
      <c r="A252" s="81" t="s">
        <v>620</v>
      </c>
      <c r="B252" s="81" t="s">
        <v>77</v>
      </c>
      <c r="C252" s="81" t="s">
        <v>203</v>
      </c>
      <c r="D252" s="81" t="s">
        <v>894</v>
      </c>
      <c r="E252" s="81">
        <v>4</v>
      </c>
      <c r="F252" s="81">
        <v>2</v>
      </c>
      <c r="G252" s="81" t="s">
        <v>200</v>
      </c>
      <c r="H252" s="81" t="s">
        <v>887</v>
      </c>
      <c r="I252" s="81" t="s">
        <v>341</v>
      </c>
      <c r="J252" s="81" t="s">
        <v>1040</v>
      </c>
      <c r="K252" s="79"/>
      <c r="L252" s="79"/>
    </row>
    <row r="253" spans="1:12">
      <c r="A253" s="81" t="s">
        <v>621</v>
      </c>
      <c r="B253" s="81" t="s">
        <v>77</v>
      </c>
      <c r="C253" s="81" t="s">
        <v>203</v>
      </c>
      <c r="D253" s="81" t="s">
        <v>894</v>
      </c>
      <c r="E253" s="81">
        <v>4</v>
      </c>
      <c r="F253" s="81">
        <v>2</v>
      </c>
      <c r="G253" s="81" t="s">
        <v>200</v>
      </c>
      <c r="H253" s="81" t="s">
        <v>887</v>
      </c>
      <c r="I253" s="81" t="s">
        <v>341</v>
      </c>
      <c r="J253" s="81" t="s">
        <v>1040</v>
      </c>
      <c r="K253" s="79"/>
      <c r="L253" s="79"/>
    </row>
    <row r="254" spans="1:12">
      <c r="A254" s="81" t="s">
        <v>622</v>
      </c>
      <c r="B254" s="81" t="s">
        <v>77</v>
      </c>
      <c r="C254" s="81" t="s">
        <v>203</v>
      </c>
      <c r="D254" s="81" t="s">
        <v>894</v>
      </c>
      <c r="E254" s="81">
        <v>4</v>
      </c>
      <c r="F254" s="81">
        <v>2</v>
      </c>
      <c r="G254" s="81" t="s">
        <v>200</v>
      </c>
      <c r="H254" s="81" t="s">
        <v>887</v>
      </c>
      <c r="I254" s="81" t="s">
        <v>341</v>
      </c>
      <c r="J254" s="81" t="s">
        <v>1040</v>
      </c>
      <c r="K254" s="79"/>
      <c r="L254" s="79"/>
    </row>
    <row r="255" spans="1:12">
      <c r="A255" s="81" t="s">
        <v>623</v>
      </c>
      <c r="B255" s="81" t="s">
        <v>77</v>
      </c>
      <c r="C255" s="81" t="s">
        <v>203</v>
      </c>
      <c r="D255" s="81" t="s">
        <v>894</v>
      </c>
      <c r="E255" s="81">
        <v>4</v>
      </c>
      <c r="F255" s="81">
        <v>2</v>
      </c>
      <c r="G255" s="81" t="s">
        <v>200</v>
      </c>
      <c r="H255" s="81" t="s">
        <v>887</v>
      </c>
      <c r="I255" s="81" t="s">
        <v>341</v>
      </c>
      <c r="J255" s="81" t="s">
        <v>1040</v>
      </c>
      <c r="K255" s="79"/>
      <c r="L255" s="79"/>
    </row>
    <row r="256" spans="1:12">
      <c r="A256" s="81" t="s">
        <v>624</v>
      </c>
      <c r="B256" s="81" t="s">
        <v>77</v>
      </c>
      <c r="C256" s="81" t="s">
        <v>203</v>
      </c>
      <c r="D256" s="81" t="s">
        <v>894</v>
      </c>
      <c r="E256" s="81">
        <v>4</v>
      </c>
      <c r="F256" s="81">
        <v>2</v>
      </c>
      <c r="G256" s="81" t="s">
        <v>200</v>
      </c>
      <c r="H256" s="81" t="s">
        <v>887</v>
      </c>
      <c r="I256" s="81" t="s">
        <v>341</v>
      </c>
      <c r="J256" s="81" t="s">
        <v>1040</v>
      </c>
      <c r="K256" s="79"/>
      <c r="L256" s="79"/>
    </row>
    <row r="257" spans="1:12">
      <c r="A257" s="81" t="s">
        <v>625</v>
      </c>
      <c r="B257" s="81" t="s">
        <v>77</v>
      </c>
      <c r="C257" s="81" t="s">
        <v>203</v>
      </c>
      <c r="D257" s="81" t="s">
        <v>894</v>
      </c>
      <c r="E257" s="81">
        <v>4</v>
      </c>
      <c r="F257" s="81">
        <v>2</v>
      </c>
      <c r="G257" s="81" t="s">
        <v>200</v>
      </c>
      <c r="H257" s="81" t="s">
        <v>887</v>
      </c>
      <c r="I257" s="81" t="s">
        <v>341</v>
      </c>
      <c r="J257" s="81" t="s">
        <v>1040</v>
      </c>
      <c r="K257" s="79"/>
      <c r="L257" s="79"/>
    </row>
    <row r="258" spans="1:12">
      <c r="A258" s="81" t="s">
        <v>626</v>
      </c>
      <c r="B258" s="81" t="s">
        <v>77</v>
      </c>
      <c r="C258" s="81" t="s">
        <v>203</v>
      </c>
      <c r="D258" s="81" t="s">
        <v>928</v>
      </c>
      <c r="E258" s="81">
        <v>2</v>
      </c>
      <c r="F258" s="81">
        <v>2</v>
      </c>
      <c r="G258" s="81" t="s">
        <v>202</v>
      </c>
      <c r="H258" s="81" t="s">
        <v>887</v>
      </c>
      <c r="I258" s="81" t="s">
        <v>341</v>
      </c>
      <c r="J258" s="81" t="s">
        <v>1041</v>
      </c>
      <c r="K258" s="79"/>
      <c r="L258" s="79"/>
    </row>
    <row r="259" spans="1:12">
      <c r="A259" s="81" t="s">
        <v>627</v>
      </c>
      <c r="B259" s="81" t="s">
        <v>77</v>
      </c>
      <c r="C259" s="81" t="s">
        <v>203</v>
      </c>
      <c r="D259" s="81" t="s">
        <v>928</v>
      </c>
      <c r="E259" s="81">
        <v>2</v>
      </c>
      <c r="F259" s="81">
        <v>2</v>
      </c>
      <c r="G259" s="81" t="s">
        <v>202</v>
      </c>
      <c r="H259" s="81" t="s">
        <v>887</v>
      </c>
      <c r="I259" s="81" t="s">
        <v>341</v>
      </c>
      <c r="J259" s="81" t="s">
        <v>1041</v>
      </c>
      <c r="K259" s="79"/>
      <c r="L259" s="79"/>
    </row>
    <row r="260" spans="1:12">
      <c r="A260" s="81" t="s">
        <v>628</v>
      </c>
      <c r="B260" s="81" t="s">
        <v>77</v>
      </c>
      <c r="C260" s="81" t="s">
        <v>203</v>
      </c>
      <c r="D260" s="81" t="s">
        <v>929</v>
      </c>
      <c r="E260" s="81">
        <v>1</v>
      </c>
      <c r="F260" s="81">
        <v>2</v>
      </c>
      <c r="G260" s="81" t="s">
        <v>204</v>
      </c>
      <c r="H260" s="81" t="s">
        <v>887</v>
      </c>
      <c r="I260" s="81" t="s">
        <v>341</v>
      </c>
      <c r="J260" s="81" t="s">
        <v>1048</v>
      </c>
      <c r="K260" s="79"/>
      <c r="L260" s="79"/>
    </row>
    <row r="261" spans="1:12">
      <c r="A261" s="81" t="s">
        <v>635</v>
      </c>
      <c r="B261" s="81" t="s">
        <v>77</v>
      </c>
      <c r="C261" s="81" t="s">
        <v>203</v>
      </c>
      <c r="D261" s="81" t="s">
        <v>929</v>
      </c>
      <c r="E261" s="81">
        <v>1</v>
      </c>
      <c r="F261" s="81">
        <v>2</v>
      </c>
      <c r="G261" s="81" t="s">
        <v>204</v>
      </c>
      <c r="H261" s="81" t="s">
        <v>887</v>
      </c>
      <c r="I261" s="81" t="s">
        <v>341</v>
      </c>
      <c r="J261" s="81" t="s">
        <v>1048</v>
      </c>
      <c r="K261" s="79"/>
      <c r="L261" s="79"/>
    </row>
    <row r="262" spans="1:12">
      <c r="A262" s="81" t="s">
        <v>636</v>
      </c>
      <c r="B262" s="81" t="s">
        <v>77</v>
      </c>
      <c r="C262" s="81" t="s">
        <v>203</v>
      </c>
      <c r="D262" s="81" t="s">
        <v>929</v>
      </c>
      <c r="E262" s="81">
        <v>1</v>
      </c>
      <c r="F262" s="81">
        <v>2</v>
      </c>
      <c r="G262" s="81" t="s">
        <v>204</v>
      </c>
      <c r="H262" s="81" t="s">
        <v>887</v>
      </c>
      <c r="I262" s="81" t="s">
        <v>341</v>
      </c>
      <c r="J262" s="81" t="s">
        <v>1048</v>
      </c>
      <c r="K262" s="79"/>
      <c r="L262" s="79"/>
    </row>
    <row r="263" spans="1:12">
      <c r="A263" s="81" t="s">
        <v>637</v>
      </c>
      <c r="B263" s="81" t="s">
        <v>77</v>
      </c>
      <c r="C263" s="81" t="s">
        <v>203</v>
      </c>
      <c r="D263" s="81" t="s">
        <v>929</v>
      </c>
      <c r="E263" s="81">
        <v>1</v>
      </c>
      <c r="F263" s="81">
        <v>2</v>
      </c>
      <c r="G263" s="81" t="s">
        <v>204</v>
      </c>
      <c r="H263" s="81" t="s">
        <v>887</v>
      </c>
      <c r="I263" s="81" t="s">
        <v>341</v>
      </c>
      <c r="J263" s="81" t="s">
        <v>1048</v>
      </c>
      <c r="K263" s="79"/>
      <c r="L263" s="79"/>
    </row>
    <row r="264" spans="1:12">
      <c r="A264" s="81" t="s">
        <v>638</v>
      </c>
      <c r="B264" s="81" t="s">
        <v>77</v>
      </c>
      <c r="C264" s="81" t="s">
        <v>203</v>
      </c>
      <c r="D264" s="81" t="s">
        <v>929</v>
      </c>
      <c r="E264" s="81">
        <v>1</v>
      </c>
      <c r="F264" s="81">
        <v>2</v>
      </c>
      <c r="G264" s="81" t="s">
        <v>204</v>
      </c>
      <c r="H264" s="81" t="s">
        <v>887</v>
      </c>
      <c r="I264" s="81" t="s">
        <v>341</v>
      </c>
      <c r="J264" s="81" t="s">
        <v>1048</v>
      </c>
      <c r="K264" s="79"/>
      <c r="L264" s="79"/>
    </row>
    <row r="265" spans="1:12">
      <c r="A265" s="81" t="s">
        <v>639</v>
      </c>
      <c r="B265" s="81" t="s">
        <v>77</v>
      </c>
      <c r="C265" s="81" t="s">
        <v>203</v>
      </c>
      <c r="D265" s="81" t="s">
        <v>929</v>
      </c>
      <c r="E265" s="81">
        <v>1</v>
      </c>
      <c r="F265" s="81">
        <v>2</v>
      </c>
      <c r="G265" s="81" t="s">
        <v>204</v>
      </c>
      <c r="H265" s="81" t="s">
        <v>887</v>
      </c>
      <c r="I265" s="81" t="s">
        <v>341</v>
      </c>
      <c r="J265" s="81" t="s">
        <v>1048</v>
      </c>
      <c r="K265" s="79"/>
      <c r="L265" s="79"/>
    </row>
    <row r="266" spans="1:12">
      <c r="A266" s="81" t="s">
        <v>640</v>
      </c>
      <c r="B266" s="81" t="s">
        <v>77</v>
      </c>
      <c r="C266" s="81" t="s">
        <v>203</v>
      </c>
      <c r="D266" s="81" t="s">
        <v>930</v>
      </c>
      <c r="E266" s="81">
        <v>1</v>
      </c>
      <c r="F266" s="81">
        <v>2</v>
      </c>
      <c r="G266" s="81" t="s">
        <v>204</v>
      </c>
      <c r="H266" s="81" t="s">
        <v>887</v>
      </c>
      <c r="I266" s="81" t="s">
        <v>341</v>
      </c>
      <c r="J266" s="81" t="s">
        <v>1048</v>
      </c>
      <c r="K266" s="79"/>
      <c r="L266" s="79"/>
    </row>
    <row r="267" spans="1:12">
      <c r="A267" s="81" t="s">
        <v>643</v>
      </c>
      <c r="B267" s="81" t="s">
        <v>77</v>
      </c>
      <c r="C267" s="81" t="s">
        <v>203</v>
      </c>
      <c r="D267" s="81" t="s">
        <v>931</v>
      </c>
      <c r="E267" s="81">
        <v>1</v>
      </c>
      <c r="F267" s="81">
        <v>2</v>
      </c>
      <c r="G267" s="81" t="s">
        <v>204</v>
      </c>
      <c r="H267" s="81" t="s">
        <v>887</v>
      </c>
      <c r="I267" s="81" t="s">
        <v>341</v>
      </c>
      <c r="J267" s="81" t="s">
        <v>1048</v>
      </c>
      <c r="K267" s="79"/>
      <c r="L267" s="79"/>
    </row>
    <row r="268" spans="1:12">
      <c r="A268" s="81" t="s">
        <v>644</v>
      </c>
      <c r="B268" s="81" t="s">
        <v>77</v>
      </c>
      <c r="C268" s="81" t="s">
        <v>203</v>
      </c>
      <c r="D268" s="81" t="s">
        <v>905</v>
      </c>
      <c r="E268" s="81">
        <v>2</v>
      </c>
      <c r="F268" s="81">
        <v>3</v>
      </c>
      <c r="G268" s="81" t="s">
        <v>200</v>
      </c>
      <c r="H268" s="81" t="s">
        <v>892</v>
      </c>
      <c r="I268" s="81" t="s">
        <v>243</v>
      </c>
      <c r="J268" s="81" t="s">
        <v>1042</v>
      </c>
      <c r="K268" s="79"/>
      <c r="L268" s="79"/>
    </row>
    <row r="269" spans="1:12">
      <c r="A269" s="81" t="s">
        <v>645</v>
      </c>
      <c r="B269" s="81" t="s">
        <v>77</v>
      </c>
      <c r="C269" s="81" t="s">
        <v>203</v>
      </c>
      <c r="D269" s="81" t="s">
        <v>905</v>
      </c>
      <c r="E269" s="81">
        <v>2</v>
      </c>
      <c r="F269" s="81">
        <v>3</v>
      </c>
      <c r="G269" s="81" t="s">
        <v>200</v>
      </c>
      <c r="H269" s="81" t="s">
        <v>892</v>
      </c>
      <c r="I269" s="81" t="s">
        <v>243</v>
      </c>
      <c r="J269" s="81" t="s">
        <v>1042</v>
      </c>
      <c r="K269" s="79"/>
      <c r="L269" s="79"/>
    </row>
    <row r="270" spans="1:12">
      <c r="A270" s="81" t="s">
        <v>646</v>
      </c>
      <c r="B270" s="81" t="s">
        <v>77</v>
      </c>
      <c r="C270" s="81" t="s">
        <v>203</v>
      </c>
      <c r="D270" s="81" t="s">
        <v>930</v>
      </c>
      <c r="E270" s="81">
        <v>1</v>
      </c>
      <c r="F270" s="81">
        <v>2</v>
      </c>
      <c r="G270" s="81" t="s">
        <v>204</v>
      </c>
      <c r="H270" s="81" t="s">
        <v>887</v>
      </c>
      <c r="I270" s="81" t="s">
        <v>341</v>
      </c>
      <c r="J270" s="81" t="s">
        <v>1048</v>
      </c>
      <c r="K270" s="79"/>
      <c r="L270" s="79"/>
    </row>
    <row r="271" spans="1:12">
      <c r="A271" s="81" t="s">
        <v>648</v>
      </c>
      <c r="B271" s="81" t="s">
        <v>77</v>
      </c>
      <c r="C271" s="81" t="s">
        <v>203</v>
      </c>
      <c r="D271" s="81" t="s">
        <v>930</v>
      </c>
      <c r="E271" s="81">
        <v>1</v>
      </c>
      <c r="F271" s="81">
        <v>2</v>
      </c>
      <c r="G271" s="81" t="s">
        <v>204</v>
      </c>
      <c r="H271" s="81" t="s">
        <v>887</v>
      </c>
      <c r="I271" s="81" t="s">
        <v>341</v>
      </c>
      <c r="J271" s="81" t="s">
        <v>1048</v>
      </c>
      <c r="K271" s="79"/>
      <c r="L271" s="79"/>
    </row>
    <row r="272" spans="1:12">
      <c r="A272" s="81" t="s">
        <v>649</v>
      </c>
      <c r="B272" s="81" t="s">
        <v>77</v>
      </c>
      <c r="C272" s="81" t="s">
        <v>203</v>
      </c>
      <c r="D272" s="81" t="s">
        <v>930</v>
      </c>
      <c r="E272" s="81">
        <v>1</v>
      </c>
      <c r="F272" s="81">
        <v>2</v>
      </c>
      <c r="G272" s="81" t="s">
        <v>204</v>
      </c>
      <c r="H272" s="81" t="s">
        <v>887</v>
      </c>
      <c r="I272" s="81" t="s">
        <v>341</v>
      </c>
      <c r="J272" s="81" t="s">
        <v>1048</v>
      </c>
      <c r="K272" s="79"/>
      <c r="L272" s="79"/>
    </row>
    <row r="273" spans="1:12">
      <c r="A273" s="81" t="s">
        <v>650</v>
      </c>
      <c r="B273" s="81" t="s">
        <v>77</v>
      </c>
      <c r="C273" s="81" t="s">
        <v>203</v>
      </c>
      <c r="D273" s="81" t="s">
        <v>930</v>
      </c>
      <c r="E273" s="81">
        <v>1</v>
      </c>
      <c r="F273" s="81">
        <v>2</v>
      </c>
      <c r="G273" s="81" t="s">
        <v>204</v>
      </c>
      <c r="H273" s="81" t="s">
        <v>887</v>
      </c>
      <c r="I273" s="81" t="s">
        <v>341</v>
      </c>
      <c r="J273" s="81" t="s">
        <v>1048</v>
      </c>
      <c r="K273" s="79"/>
      <c r="L273" s="79"/>
    </row>
    <row r="274" spans="1:12">
      <c r="A274" s="81" t="s">
        <v>651</v>
      </c>
      <c r="B274" s="81" t="s">
        <v>77</v>
      </c>
      <c r="C274" s="81" t="s">
        <v>203</v>
      </c>
      <c r="D274" s="81" t="s">
        <v>930</v>
      </c>
      <c r="E274" s="81">
        <v>1</v>
      </c>
      <c r="F274" s="81">
        <v>2</v>
      </c>
      <c r="G274" s="81" t="s">
        <v>204</v>
      </c>
      <c r="H274" s="81" t="s">
        <v>887</v>
      </c>
      <c r="I274" s="81" t="s">
        <v>341</v>
      </c>
      <c r="J274" s="81" t="s">
        <v>1048</v>
      </c>
      <c r="K274" s="79"/>
      <c r="L274" s="79"/>
    </row>
    <row r="275" spans="1:12">
      <c r="A275" s="81" t="s">
        <v>652</v>
      </c>
      <c r="B275" s="81" t="s">
        <v>77</v>
      </c>
      <c r="C275" s="81" t="s">
        <v>203</v>
      </c>
      <c r="D275" s="81" t="s">
        <v>930</v>
      </c>
      <c r="E275" s="81">
        <v>1</v>
      </c>
      <c r="F275" s="81">
        <v>2</v>
      </c>
      <c r="G275" s="81" t="s">
        <v>204</v>
      </c>
      <c r="H275" s="81" t="s">
        <v>887</v>
      </c>
      <c r="I275" s="81" t="s">
        <v>341</v>
      </c>
      <c r="J275" s="81" t="s">
        <v>1048</v>
      </c>
      <c r="K275" s="79"/>
      <c r="L275" s="79"/>
    </row>
    <row r="276" spans="1:12">
      <c r="A276" s="81" t="s">
        <v>653</v>
      </c>
      <c r="B276" s="81" t="s">
        <v>77</v>
      </c>
      <c r="C276" s="81" t="s">
        <v>203</v>
      </c>
      <c r="D276" s="81" t="s">
        <v>930</v>
      </c>
      <c r="E276" s="81">
        <v>1</v>
      </c>
      <c r="F276" s="81">
        <v>2</v>
      </c>
      <c r="G276" s="81" t="s">
        <v>204</v>
      </c>
      <c r="H276" s="81" t="s">
        <v>887</v>
      </c>
      <c r="I276" s="81" t="s">
        <v>341</v>
      </c>
      <c r="J276" s="81" t="s">
        <v>1048</v>
      </c>
      <c r="K276" s="79"/>
      <c r="L276" s="79"/>
    </row>
    <row r="277" spans="1:12">
      <c r="A277" s="81" t="s">
        <v>654</v>
      </c>
      <c r="B277" s="81" t="s">
        <v>77</v>
      </c>
      <c r="C277" s="81" t="s">
        <v>203</v>
      </c>
      <c r="D277" s="81" t="s">
        <v>930</v>
      </c>
      <c r="E277" s="81">
        <v>1</v>
      </c>
      <c r="F277" s="81">
        <v>2</v>
      </c>
      <c r="G277" s="81" t="s">
        <v>204</v>
      </c>
      <c r="H277" s="81" t="s">
        <v>887</v>
      </c>
      <c r="I277" s="81" t="s">
        <v>341</v>
      </c>
      <c r="J277" s="81" t="s">
        <v>1048</v>
      </c>
      <c r="K277" s="79"/>
      <c r="L277" s="79"/>
    </row>
    <row r="278" spans="1:12">
      <c r="A278" s="81" t="s">
        <v>655</v>
      </c>
      <c r="B278" s="81" t="s">
        <v>77</v>
      </c>
      <c r="C278" s="81" t="s">
        <v>203</v>
      </c>
      <c r="D278" s="81" t="s">
        <v>930</v>
      </c>
      <c r="E278" s="81">
        <v>1</v>
      </c>
      <c r="F278" s="81">
        <v>2</v>
      </c>
      <c r="G278" s="81" t="s">
        <v>204</v>
      </c>
      <c r="H278" s="81" t="s">
        <v>887</v>
      </c>
      <c r="I278" s="81" t="s">
        <v>341</v>
      </c>
      <c r="J278" s="81" t="s">
        <v>1048</v>
      </c>
      <c r="K278" s="79"/>
      <c r="L278" s="79"/>
    </row>
    <row r="279" spans="1:12">
      <c r="A279" s="81" t="s">
        <v>656</v>
      </c>
      <c r="B279" s="81" t="s">
        <v>77</v>
      </c>
      <c r="C279" s="81" t="s">
        <v>203</v>
      </c>
      <c r="D279" s="81" t="s">
        <v>930</v>
      </c>
      <c r="E279" s="81">
        <v>1</v>
      </c>
      <c r="F279" s="81">
        <v>2</v>
      </c>
      <c r="G279" s="81" t="s">
        <v>204</v>
      </c>
      <c r="H279" s="81" t="s">
        <v>887</v>
      </c>
      <c r="I279" s="81" t="s">
        <v>341</v>
      </c>
      <c r="J279" s="81" t="s">
        <v>1048</v>
      </c>
      <c r="K279" s="79"/>
      <c r="L279" s="79"/>
    </row>
    <row r="280" spans="1:12">
      <c r="A280" s="81" t="s">
        <v>657</v>
      </c>
      <c r="B280" s="81" t="s">
        <v>77</v>
      </c>
      <c r="C280" s="81" t="s">
        <v>203</v>
      </c>
      <c r="D280" s="81" t="s">
        <v>930</v>
      </c>
      <c r="E280" s="81">
        <v>1</v>
      </c>
      <c r="F280" s="81">
        <v>2</v>
      </c>
      <c r="G280" s="81" t="s">
        <v>204</v>
      </c>
      <c r="H280" s="81" t="s">
        <v>887</v>
      </c>
      <c r="I280" s="81" t="s">
        <v>341</v>
      </c>
      <c r="J280" s="81" t="s">
        <v>1048</v>
      </c>
      <c r="K280" s="79"/>
      <c r="L280" s="79"/>
    </row>
    <row r="281" spans="1:12">
      <c r="A281" s="81" t="s">
        <v>658</v>
      </c>
      <c r="B281" s="81" t="s">
        <v>77</v>
      </c>
      <c r="C281" s="81" t="s">
        <v>203</v>
      </c>
      <c r="D281" s="81" t="s">
        <v>930</v>
      </c>
      <c r="E281" s="81">
        <v>1</v>
      </c>
      <c r="F281" s="81">
        <v>2</v>
      </c>
      <c r="G281" s="81" t="s">
        <v>204</v>
      </c>
      <c r="H281" s="81" t="s">
        <v>887</v>
      </c>
      <c r="I281" s="81" t="s">
        <v>341</v>
      </c>
      <c r="J281" s="81" t="s">
        <v>1048</v>
      </c>
      <c r="K281" s="79"/>
      <c r="L281" s="79"/>
    </row>
    <row r="282" spans="1:12">
      <c r="A282" s="81" t="s">
        <v>659</v>
      </c>
      <c r="B282" s="81" t="s">
        <v>77</v>
      </c>
      <c r="C282" s="81" t="s">
        <v>203</v>
      </c>
      <c r="D282" s="81" t="s">
        <v>930</v>
      </c>
      <c r="E282" s="81">
        <v>1</v>
      </c>
      <c r="F282" s="81">
        <v>2</v>
      </c>
      <c r="G282" s="81" t="s">
        <v>204</v>
      </c>
      <c r="H282" s="81" t="s">
        <v>887</v>
      </c>
      <c r="I282" s="81" t="s">
        <v>341</v>
      </c>
      <c r="J282" s="81" t="s">
        <v>1048</v>
      </c>
      <c r="K282" s="79"/>
      <c r="L282" s="79"/>
    </row>
    <row r="283" spans="1:12">
      <c r="A283" s="81" t="s">
        <v>660</v>
      </c>
      <c r="B283" s="81" t="s">
        <v>77</v>
      </c>
      <c r="C283" s="81" t="s">
        <v>203</v>
      </c>
      <c r="D283" s="81" t="s">
        <v>930</v>
      </c>
      <c r="E283" s="81">
        <v>1</v>
      </c>
      <c r="F283" s="81">
        <v>2</v>
      </c>
      <c r="G283" s="81" t="s">
        <v>204</v>
      </c>
      <c r="H283" s="81" t="s">
        <v>887</v>
      </c>
      <c r="I283" s="81" t="s">
        <v>341</v>
      </c>
      <c r="J283" s="81" t="s">
        <v>1048</v>
      </c>
      <c r="K283" s="79"/>
      <c r="L283" s="79"/>
    </row>
    <row r="284" spans="1:12">
      <c r="A284" s="81" t="s">
        <v>661</v>
      </c>
      <c r="B284" s="81" t="s">
        <v>77</v>
      </c>
      <c r="C284" s="81" t="s">
        <v>203</v>
      </c>
      <c r="D284" s="81" t="s">
        <v>930</v>
      </c>
      <c r="E284" s="81">
        <v>1</v>
      </c>
      <c r="F284" s="81">
        <v>2</v>
      </c>
      <c r="G284" s="81" t="s">
        <v>204</v>
      </c>
      <c r="H284" s="81" t="s">
        <v>887</v>
      </c>
      <c r="I284" s="81" t="s">
        <v>341</v>
      </c>
      <c r="J284" s="81" t="s">
        <v>1048</v>
      </c>
      <c r="K284" s="79"/>
      <c r="L284" s="79"/>
    </row>
    <row r="285" spans="1:12">
      <c r="A285" s="81" t="s">
        <v>662</v>
      </c>
      <c r="B285" s="81" t="s">
        <v>77</v>
      </c>
      <c r="C285" s="81" t="s">
        <v>203</v>
      </c>
      <c r="D285" s="81" t="s">
        <v>930</v>
      </c>
      <c r="E285" s="81">
        <v>1</v>
      </c>
      <c r="F285" s="81">
        <v>2</v>
      </c>
      <c r="G285" s="81" t="s">
        <v>204</v>
      </c>
      <c r="H285" s="81" t="s">
        <v>887</v>
      </c>
      <c r="I285" s="81" t="s">
        <v>341</v>
      </c>
      <c r="J285" s="81" t="s">
        <v>1048</v>
      </c>
      <c r="K285" s="79"/>
      <c r="L285" s="79"/>
    </row>
    <row r="286" spans="1:12">
      <c r="A286" s="81" t="s">
        <v>663</v>
      </c>
      <c r="B286" s="81" t="s">
        <v>77</v>
      </c>
      <c r="C286" s="81" t="s">
        <v>203</v>
      </c>
      <c r="D286" s="81" t="s">
        <v>930</v>
      </c>
      <c r="E286" s="81">
        <v>1</v>
      </c>
      <c r="F286" s="81">
        <v>2</v>
      </c>
      <c r="G286" s="81" t="s">
        <v>204</v>
      </c>
      <c r="H286" s="81" t="s">
        <v>887</v>
      </c>
      <c r="I286" s="81" t="s">
        <v>341</v>
      </c>
      <c r="J286" s="81" t="s">
        <v>1048</v>
      </c>
      <c r="K286" s="79"/>
      <c r="L286" s="79"/>
    </row>
    <row r="287" spans="1:12">
      <c r="A287" s="81" t="s">
        <v>664</v>
      </c>
      <c r="B287" s="81" t="s">
        <v>77</v>
      </c>
      <c r="C287" s="81" t="s">
        <v>203</v>
      </c>
      <c r="D287" s="81" t="s">
        <v>930</v>
      </c>
      <c r="E287" s="81">
        <v>1</v>
      </c>
      <c r="F287" s="81">
        <v>2</v>
      </c>
      <c r="G287" s="81" t="s">
        <v>204</v>
      </c>
      <c r="H287" s="81" t="s">
        <v>887</v>
      </c>
      <c r="I287" s="81" t="s">
        <v>341</v>
      </c>
      <c r="J287" s="81" t="s">
        <v>1048</v>
      </c>
      <c r="K287" s="79"/>
      <c r="L287" s="79"/>
    </row>
    <row r="288" spans="1:12">
      <c r="A288" s="81" t="s">
        <v>665</v>
      </c>
      <c r="B288" s="81" t="s">
        <v>77</v>
      </c>
      <c r="C288" s="81" t="s">
        <v>203</v>
      </c>
      <c r="D288" s="81" t="s">
        <v>930</v>
      </c>
      <c r="E288" s="81">
        <v>1</v>
      </c>
      <c r="F288" s="81">
        <v>2</v>
      </c>
      <c r="G288" s="81" t="s">
        <v>204</v>
      </c>
      <c r="H288" s="81" t="s">
        <v>887</v>
      </c>
      <c r="I288" s="81" t="s">
        <v>341</v>
      </c>
      <c r="J288" s="81" t="s">
        <v>1048</v>
      </c>
      <c r="K288" s="79"/>
      <c r="L288" s="79"/>
    </row>
    <row r="289" spans="1:12">
      <c r="A289" s="81" t="s">
        <v>666</v>
      </c>
      <c r="B289" s="81" t="s">
        <v>77</v>
      </c>
      <c r="C289" s="81" t="s">
        <v>203</v>
      </c>
      <c r="D289" s="81" t="s">
        <v>930</v>
      </c>
      <c r="E289" s="81">
        <v>1</v>
      </c>
      <c r="F289" s="81">
        <v>2</v>
      </c>
      <c r="G289" s="81" t="s">
        <v>204</v>
      </c>
      <c r="H289" s="81" t="s">
        <v>887</v>
      </c>
      <c r="I289" s="81" t="s">
        <v>341</v>
      </c>
      <c r="J289" s="81" t="s">
        <v>1048</v>
      </c>
      <c r="K289" s="79"/>
      <c r="L289" s="79"/>
    </row>
    <row r="290" spans="1:12">
      <c r="A290" s="81" t="s">
        <v>667</v>
      </c>
      <c r="B290" s="81" t="s">
        <v>77</v>
      </c>
      <c r="C290" s="81" t="s">
        <v>203</v>
      </c>
      <c r="D290" s="81" t="s">
        <v>930</v>
      </c>
      <c r="E290" s="81">
        <v>1</v>
      </c>
      <c r="F290" s="81">
        <v>2</v>
      </c>
      <c r="G290" s="81" t="s">
        <v>204</v>
      </c>
      <c r="H290" s="81" t="s">
        <v>887</v>
      </c>
      <c r="I290" s="81" t="s">
        <v>341</v>
      </c>
      <c r="J290" s="81" t="s">
        <v>1048</v>
      </c>
      <c r="K290" s="79"/>
      <c r="L290" s="79"/>
    </row>
    <row r="291" spans="1:12">
      <c r="A291" s="81" t="s">
        <v>668</v>
      </c>
      <c r="B291" s="81" t="s">
        <v>77</v>
      </c>
      <c r="C291" s="81" t="s">
        <v>203</v>
      </c>
      <c r="D291" s="81" t="s">
        <v>930</v>
      </c>
      <c r="E291" s="81">
        <v>1</v>
      </c>
      <c r="F291" s="81">
        <v>2</v>
      </c>
      <c r="G291" s="81" t="s">
        <v>204</v>
      </c>
      <c r="H291" s="81" t="s">
        <v>887</v>
      </c>
      <c r="I291" s="81" t="s">
        <v>341</v>
      </c>
      <c r="J291" s="81" t="s">
        <v>1048</v>
      </c>
      <c r="K291" s="79"/>
      <c r="L291" s="79"/>
    </row>
    <row r="292" spans="1:12">
      <c r="A292" s="81" t="s">
        <v>669</v>
      </c>
      <c r="B292" s="81" t="s">
        <v>77</v>
      </c>
      <c r="C292" s="81" t="s">
        <v>203</v>
      </c>
      <c r="D292" s="81" t="s">
        <v>930</v>
      </c>
      <c r="E292" s="81">
        <v>1</v>
      </c>
      <c r="F292" s="81">
        <v>2</v>
      </c>
      <c r="G292" s="81" t="s">
        <v>204</v>
      </c>
      <c r="H292" s="81" t="s">
        <v>887</v>
      </c>
      <c r="I292" s="81" t="s">
        <v>341</v>
      </c>
      <c r="J292" s="81" t="s">
        <v>1048</v>
      </c>
      <c r="K292" s="79"/>
      <c r="L292" s="79"/>
    </row>
    <row r="293" spans="1:12">
      <c r="A293" s="81" t="s">
        <v>670</v>
      </c>
      <c r="B293" s="81" t="s">
        <v>77</v>
      </c>
      <c r="C293" s="81" t="s">
        <v>203</v>
      </c>
      <c r="D293" s="81" t="s">
        <v>930</v>
      </c>
      <c r="E293" s="81">
        <v>1</v>
      </c>
      <c r="F293" s="81">
        <v>2</v>
      </c>
      <c r="G293" s="81" t="s">
        <v>204</v>
      </c>
      <c r="H293" s="81" t="s">
        <v>887</v>
      </c>
      <c r="I293" s="81" t="s">
        <v>341</v>
      </c>
      <c r="J293" s="81" t="s">
        <v>1048</v>
      </c>
      <c r="K293" s="79"/>
      <c r="L293" s="79"/>
    </row>
    <row r="294" spans="1:12">
      <c r="A294" s="81" t="s">
        <v>671</v>
      </c>
      <c r="B294" s="81" t="s">
        <v>77</v>
      </c>
      <c r="C294" s="81" t="s">
        <v>203</v>
      </c>
      <c r="D294" s="81" t="s">
        <v>930</v>
      </c>
      <c r="E294" s="81">
        <v>1</v>
      </c>
      <c r="F294" s="81">
        <v>2</v>
      </c>
      <c r="G294" s="81" t="s">
        <v>204</v>
      </c>
      <c r="H294" s="81" t="s">
        <v>887</v>
      </c>
      <c r="I294" s="81" t="s">
        <v>341</v>
      </c>
      <c r="J294" s="81" t="s">
        <v>1048</v>
      </c>
      <c r="K294" s="79"/>
      <c r="L294" s="79"/>
    </row>
    <row r="295" spans="1:12">
      <c r="A295" s="81" t="s">
        <v>672</v>
      </c>
      <c r="B295" s="81" t="s">
        <v>77</v>
      </c>
      <c r="C295" s="81" t="s">
        <v>203</v>
      </c>
      <c r="D295" s="81" t="s">
        <v>930</v>
      </c>
      <c r="E295" s="81">
        <v>1</v>
      </c>
      <c r="F295" s="81">
        <v>2</v>
      </c>
      <c r="G295" s="81" t="s">
        <v>204</v>
      </c>
      <c r="H295" s="81" t="s">
        <v>887</v>
      </c>
      <c r="I295" s="81" t="s">
        <v>341</v>
      </c>
      <c r="J295" s="81" t="s">
        <v>1048</v>
      </c>
      <c r="K295" s="79"/>
      <c r="L295" s="79"/>
    </row>
    <row r="296" spans="1:12">
      <c r="A296" s="81" t="s">
        <v>673</v>
      </c>
      <c r="B296" s="81" t="s">
        <v>77</v>
      </c>
      <c r="C296" s="81" t="s">
        <v>203</v>
      </c>
      <c r="D296" s="81" t="s">
        <v>930</v>
      </c>
      <c r="E296" s="81">
        <v>1</v>
      </c>
      <c r="F296" s="81">
        <v>2</v>
      </c>
      <c r="G296" s="81" t="s">
        <v>204</v>
      </c>
      <c r="H296" s="81" t="s">
        <v>887</v>
      </c>
      <c r="I296" s="81" t="s">
        <v>341</v>
      </c>
      <c r="J296" s="81" t="s">
        <v>1048</v>
      </c>
      <c r="K296" s="79"/>
      <c r="L296" s="79"/>
    </row>
    <row r="297" spans="1:12">
      <c r="A297" s="81" t="s">
        <v>674</v>
      </c>
      <c r="B297" s="81" t="s">
        <v>77</v>
      </c>
      <c r="C297" s="81" t="s">
        <v>203</v>
      </c>
      <c r="D297" s="81" t="s">
        <v>930</v>
      </c>
      <c r="E297" s="81">
        <v>1</v>
      </c>
      <c r="F297" s="81">
        <v>2</v>
      </c>
      <c r="G297" s="81" t="s">
        <v>204</v>
      </c>
      <c r="H297" s="81" t="s">
        <v>887</v>
      </c>
      <c r="I297" s="81" t="s">
        <v>341</v>
      </c>
      <c r="J297" s="81" t="s">
        <v>1048</v>
      </c>
      <c r="K297" s="79"/>
      <c r="L297" s="79"/>
    </row>
    <row r="298" spans="1:12">
      <c r="A298" s="81" t="s">
        <v>675</v>
      </c>
      <c r="B298" s="81" t="s">
        <v>77</v>
      </c>
      <c r="C298" s="81" t="s">
        <v>203</v>
      </c>
      <c r="D298" s="81" t="s">
        <v>930</v>
      </c>
      <c r="E298" s="81">
        <v>1</v>
      </c>
      <c r="F298" s="81">
        <v>2</v>
      </c>
      <c r="G298" s="81" t="s">
        <v>204</v>
      </c>
      <c r="H298" s="81" t="s">
        <v>887</v>
      </c>
      <c r="I298" s="81" t="s">
        <v>341</v>
      </c>
      <c r="J298" s="81" t="s">
        <v>1048</v>
      </c>
      <c r="K298" s="79"/>
      <c r="L298" s="79"/>
    </row>
    <row r="299" spans="1:12">
      <c r="A299" s="81" t="s">
        <v>676</v>
      </c>
      <c r="B299" s="81" t="s">
        <v>77</v>
      </c>
      <c r="C299" s="81" t="s">
        <v>203</v>
      </c>
      <c r="D299" s="81" t="s">
        <v>930</v>
      </c>
      <c r="E299" s="81">
        <v>1</v>
      </c>
      <c r="F299" s="81">
        <v>2</v>
      </c>
      <c r="G299" s="81" t="s">
        <v>204</v>
      </c>
      <c r="H299" s="81" t="s">
        <v>887</v>
      </c>
      <c r="I299" s="81" t="s">
        <v>341</v>
      </c>
      <c r="J299" s="81" t="s">
        <v>1048</v>
      </c>
      <c r="K299" s="79"/>
      <c r="L299" s="79"/>
    </row>
    <row r="300" spans="1:12">
      <c r="A300" s="81" t="s">
        <v>677</v>
      </c>
      <c r="B300" s="81" t="s">
        <v>77</v>
      </c>
      <c r="C300" s="81" t="s">
        <v>203</v>
      </c>
      <c r="D300" s="81" t="s">
        <v>930</v>
      </c>
      <c r="E300" s="81">
        <v>1</v>
      </c>
      <c r="F300" s="81">
        <v>2</v>
      </c>
      <c r="G300" s="81" t="s">
        <v>204</v>
      </c>
      <c r="H300" s="81" t="s">
        <v>887</v>
      </c>
      <c r="I300" s="81" t="s">
        <v>341</v>
      </c>
      <c r="J300" s="81" t="s">
        <v>1048</v>
      </c>
      <c r="K300" s="79"/>
      <c r="L300" s="79"/>
    </row>
    <row r="301" spans="1:12">
      <c r="A301" s="81" t="s">
        <v>678</v>
      </c>
      <c r="B301" s="81" t="s">
        <v>77</v>
      </c>
      <c r="C301" s="81" t="s">
        <v>203</v>
      </c>
      <c r="D301" s="81" t="s">
        <v>930</v>
      </c>
      <c r="E301" s="81">
        <v>1</v>
      </c>
      <c r="F301" s="81">
        <v>2</v>
      </c>
      <c r="G301" s="81" t="s">
        <v>204</v>
      </c>
      <c r="H301" s="81" t="s">
        <v>887</v>
      </c>
      <c r="I301" s="81" t="s">
        <v>341</v>
      </c>
      <c r="J301" s="81" t="s">
        <v>1048</v>
      </c>
      <c r="K301" s="79"/>
      <c r="L301" s="79"/>
    </row>
    <row r="302" spans="1:12">
      <c r="A302" s="81" t="s">
        <v>679</v>
      </c>
      <c r="B302" s="81" t="s">
        <v>77</v>
      </c>
      <c r="C302" s="81" t="s">
        <v>203</v>
      </c>
      <c r="D302" s="81" t="s">
        <v>930</v>
      </c>
      <c r="E302" s="81">
        <v>1</v>
      </c>
      <c r="F302" s="81">
        <v>2</v>
      </c>
      <c r="G302" s="81" t="s">
        <v>204</v>
      </c>
      <c r="H302" s="81" t="s">
        <v>887</v>
      </c>
      <c r="I302" s="81" t="s">
        <v>341</v>
      </c>
      <c r="J302" s="81" t="s">
        <v>1048</v>
      </c>
      <c r="K302" s="79"/>
      <c r="L302" s="79"/>
    </row>
    <row r="303" spans="1:12">
      <c r="A303" s="81" t="s">
        <v>680</v>
      </c>
      <c r="B303" s="81" t="s">
        <v>77</v>
      </c>
      <c r="C303" s="81" t="s">
        <v>203</v>
      </c>
      <c r="D303" s="81" t="s">
        <v>930</v>
      </c>
      <c r="E303" s="81">
        <v>1</v>
      </c>
      <c r="F303" s="81">
        <v>2</v>
      </c>
      <c r="G303" s="81" t="s">
        <v>204</v>
      </c>
      <c r="H303" s="81" t="s">
        <v>887</v>
      </c>
      <c r="I303" s="81" t="s">
        <v>341</v>
      </c>
      <c r="J303" s="81" t="s">
        <v>1048</v>
      </c>
      <c r="K303" s="79"/>
      <c r="L303" s="79"/>
    </row>
    <row r="304" spans="1:12">
      <c r="A304" s="81" t="s">
        <v>681</v>
      </c>
      <c r="B304" s="81" t="s">
        <v>77</v>
      </c>
      <c r="C304" s="81" t="s">
        <v>203</v>
      </c>
      <c r="D304" s="81" t="s">
        <v>930</v>
      </c>
      <c r="E304" s="81">
        <v>1</v>
      </c>
      <c r="F304" s="81">
        <v>2</v>
      </c>
      <c r="G304" s="81" t="s">
        <v>204</v>
      </c>
      <c r="H304" s="81" t="s">
        <v>887</v>
      </c>
      <c r="I304" s="81" t="s">
        <v>341</v>
      </c>
      <c r="J304" s="81" t="s">
        <v>1048</v>
      </c>
      <c r="K304" s="79"/>
      <c r="L304" s="79"/>
    </row>
    <row r="305" spans="1:12">
      <c r="A305" s="81" t="s">
        <v>682</v>
      </c>
      <c r="B305" s="81" t="s">
        <v>77</v>
      </c>
      <c r="C305" s="81" t="s">
        <v>203</v>
      </c>
      <c r="D305" s="81" t="s">
        <v>930</v>
      </c>
      <c r="E305" s="81">
        <v>1</v>
      </c>
      <c r="F305" s="81">
        <v>2</v>
      </c>
      <c r="G305" s="81" t="s">
        <v>204</v>
      </c>
      <c r="H305" s="81" t="s">
        <v>887</v>
      </c>
      <c r="I305" s="81" t="s">
        <v>341</v>
      </c>
      <c r="J305" s="81" t="s">
        <v>1048</v>
      </c>
      <c r="K305" s="79"/>
      <c r="L305" s="79"/>
    </row>
    <row r="306" spans="1:12">
      <c r="A306" s="81" t="s">
        <v>683</v>
      </c>
      <c r="B306" s="81" t="s">
        <v>77</v>
      </c>
      <c r="C306" s="81" t="s">
        <v>203</v>
      </c>
      <c r="D306" s="81" t="s">
        <v>930</v>
      </c>
      <c r="E306" s="81">
        <v>1</v>
      </c>
      <c r="F306" s="81">
        <v>2</v>
      </c>
      <c r="G306" s="81" t="s">
        <v>204</v>
      </c>
      <c r="H306" s="81" t="s">
        <v>887</v>
      </c>
      <c r="I306" s="81" t="s">
        <v>341</v>
      </c>
      <c r="J306" s="81" t="s">
        <v>1048</v>
      </c>
      <c r="K306" s="79"/>
      <c r="L306" s="79"/>
    </row>
    <row r="307" spans="1:12">
      <c r="A307" s="81" t="s">
        <v>684</v>
      </c>
      <c r="B307" s="81" t="s">
        <v>77</v>
      </c>
      <c r="C307" s="81" t="s">
        <v>203</v>
      </c>
      <c r="D307" s="81" t="s">
        <v>930</v>
      </c>
      <c r="E307" s="81">
        <v>1</v>
      </c>
      <c r="F307" s="81">
        <v>2</v>
      </c>
      <c r="G307" s="81" t="s">
        <v>204</v>
      </c>
      <c r="H307" s="81" t="s">
        <v>887</v>
      </c>
      <c r="I307" s="81" t="s">
        <v>341</v>
      </c>
      <c r="J307" s="81" t="s">
        <v>1048</v>
      </c>
      <c r="K307" s="79"/>
      <c r="L307" s="79"/>
    </row>
    <row r="308" spans="1:12">
      <c r="A308" s="81" t="s">
        <v>685</v>
      </c>
      <c r="B308" s="81" t="s">
        <v>77</v>
      </c>
      <c r="C308" s="81" t="s">
        <v>203</v>
      </c>
      <c r="D308" s="81" t="s">
        <v>930</v>
      </c>
      <c r="E308" s="81">
        <v>1</v>
      </c>
      <c r="F308" s="81">
        <v>2</v>
      </c>
      <c r="G308" s="81" t="s">
        <v>204</v>
      </c>
      <c r="H308" s="81" t="s">
        <v>887</v>
      </c>
      <c r="I308" s="81" t="s">
        <v>341</v>
      </c>
      <c r="J308" s="81" t="s">
        <v>1048</v>
      </c>
      <c r="K308" s="79"/>
      <c r="L308" s="79"/>
    </row>
    <row r="309" spans="1:12">
      <c r="A309" s="81" t="s">
        <v>686</v>
      </c>
      <c r="B309" s="81" t="s">
        <v>77</v>
      </c>
      <c r="C309" s="81" t="s">
        <v>203</v>
      </c>
      <c r="D309" s="81" t="s">
        <v>930</v>
      </c>
      <c r="E309" s="81">
        <v>1</v>
      </c>
      <c r="F309" s="81">
        <v>2</v>
      </c>
      <c r="G309" s="81" t="s">
        <v>204</v>
      </c>
      <c r="H309" s="81" t="s">
        <v>887</v>
      </c>
      <c r="I309" s="81" t="s">
        <v>341</v>
      </c>
      <c r="J309" s="81" t="s">
        <v>1048</v>
      </c>
      <c r="K309" s="79"/>
      <c r="L309" s="79"/>
    </row>
    <row r="310" spans="1:12">
      <c r="A310" s="81" t="s">
        <v>687</v>
      </c>
      <c r="B310" s="81" t="s">
        <v>77</v>
      </c>
      <c r="C310" s="81" t="s">
        <v>203</v>
      </c>
      <c r="D310" s="81" t="s">
        <v>930</v>
      </c>
      <c r="E310" s="81">
        <v>1</v>
      </c>
      <c r="F310" s="81">
        <v>2</v>
      </c>
      <c r="G310" s="81" t="s">
        <v>204</v>
      </c>
      <c r="H310" s="81" t="s">
        <v>887</v>
      </c>
      <c r="I310" s="81" t="s">
        <v>341</v>
      </c>
      <c r="J310" s="81" t="s">
        <v>1048</v>
      </c>
      <c r="K310" s="79"/>
      <c r="L310" s="79"/>
    </row>
    <row r="311" spans="1:12">
      <c r="A311" s="81" t="s">
        <v>688</v>
      </c>
      <c r="B311" s="81" t="s">
        <v>77</v>
      </c>
      <c r="C311" s="81" t="s">
        <v>203</v>
      </c>
      <c r="D311" s="81" t="s">
        <v>930</v>
      </c>
      <c r="E311" s="81">
        <v>1</v>
      </c>
      <c r="F311" s="81">
        <v>2</v>
      </c>
      <c r="G311" s="81" t="s">
        <v>204</v>
      </c>
      <c r="H311" s="81" t="s">
        <v>887</v>
      </c>
      <c r="I311" s="81" t="s">
        <v>341</v>
      </c>
      <c r="J311" s="81" t="s">
        <v>1048</v>
      </c>
      <c r="K311" s="79"/>
      <c r="L311" s="79"/>
    </row>
    <row r="312" spans="1:12">
      <c r="A312" s="81" t="s">
        <v>689</v>
      </c>
      <c r="B312" s="81" t="s">
        <v>77</v>
      </c>
      <c r="C312" s="81" t="s">
        <v>203</v>
      </c>
      <c r="D312" s="81" t="s">
        <v>930</v>
      </c>
      <c r="E312" s="81">
        <v>1</v>
      </c>
      <c r="F312" s="81">
        <v>2</v>
      </c>
      <c r="G312" s="81" t="s">
        <v>204</v>
      </c>
      <c r="H312" s="81" t="s">
        <v>887</v>
      </c>
      <c r="I312" s="81" t="s">
        <v>341</v>
      </c>
      <c r="J312" s="81" t="s">
        <v>1048</v>
      </c>
      <c r="K312" s="79"/>
      <c r="L312" s="79"/>
    </row>
    <row r="313" spans="1:12">
      <c r="A313" s="81" t="s">
        <v>690</v>
      </c>
      <c r="B313" s="81" t="s">
        <v>77</v>
      </c>
      <c r="C313" s="81" t="s">
        <v>203</v>
      </c>
      <c r="D313" s="81" t="s">
        <v>930</v>
      </c>
      <c r="E313" s="81">
        <v>1</v>
      </c>
      <c r="F313" s="81">
        <v>2</v>
      </c>
      <c r="G313" s="81" t="s">
        <v>204</v>
      </c>
      <c r="H313" s="81" t="s">
        <v>887</v>
      </c>
      <c r="I313" s="81" t="s">
        <v>341</v>
      </c>
      <c r="J313" s="81" t="s">
        <v>1048</v>
      </c>
      <c r="K313" s="79"/>
      <c r="L313" s="79"/>
    </row>
    <row r="314" spans="1:12">
      <c r="A314" s="81" t="s">
        <v>691</v>
      </c>
      <c r="B314" s="81" t="s">
        <v>77</v>
      </c>
      <c r="C314" s="81" t="s">
        <v>203</v>
      </c>
      <c r="D314" s="81" t="s">
        <v>932</v>
      </c>
      <c r="E314" s="81">
        <v>3</v>
      </c>
      <c r="F314" s="81">
        <v>2</v>
      </c>
      <c r="G314" s="81" t="s">
        <v>200</v>
      </c>
      <c r="H314" s="81" t="s">
        <v>887</v>
      </c>
      <c r="I314" s="81" t="s">
        <v>341</v>
      </c>
      <c r="J314" s="81" t="s">
        <v>1047</v>
      </c>
      <c r="K314" s="79"/>
      <c r="L314" s="79"/>
    </row>
    <row r="315" spans="1:12">
      <c r="A315" s="81" t="s">
        <v>696</v>
      </c>
      <c r="B315" s="81" t="s">
        <v>77</v>
      </c>
      <c r="C315" s="81" t="s">
        <v>203</v>
      </c>
      <c r="D315" s="81" t="s">
        <v>933</v>
      </c>
      <c r="E315" s="81">
        <v>3</v>
      </c>
      <c r="F315" s="81">
        <v>2</v>
      </c>
      <c r="G315" s="81" t="s">
        <v>200</v>
      </c>
      <c r="H315" s="81" t="s">
        <v>887</v>
      </c>
      <c r="I315" s="81" t="s">
        <v>341</v>
      </c>
      <c r="J315" s="81" t="s">
        <v>1047</v>
      </c>
      <c r="K315" s="79"/>
      <c r="L315" s="79"/>
    </row>
    <row r="316" spans="1:12">
      <c r="A316" s="81" t="s">
        <v>700</v>
      </c>
      <c r="B316" s="81" t="s">
        <v>77</v>
      </c>
      <c r="C316" s="81" t="s">
        <v>203</v>
      </c>
      <c r="D316" s="81" t="s">
        <v>934</v>
      </c>
      <c r="E316" s="81">
        <v>3</v>
      </c>
      <c r="F316" s="81">
        <v>2</v>
      </c>
      <c r="G316" s="81" t="s">
        <v>200</v>
      </c>
      <c r="H316" s="81" t="s">
        <v>887</v>
      </c>
      <c r="I316" s="81" t="s">
        <v>341</v>
      </c>
      <c r="J316" s="81" t="s">
        <v>1047</v>
      </c>
      <c r="K316" s="79"/>
      <c r="L316" s="79"/>
    </row>
    <row r="317" spans="1:12">
      <c r="A317" s="81" t="s">
        <v>701</v>
      </c>
      <c r="B317" s="81" t="s">
        <v>77</v>
      </c>
      <c r="C317" s="81" t="s">
        <v>203</v>
      </c>
      <c r="D317" s="81" t="s">
        <v>933</v>
      </c>
      <c r="E317" s="81">
        <v>3</v>
      </c>
      <c r="F317" s="81">
        <v>2</v>
      </c>
      <c r="G317" s="81" t="s">
        <v>200</v>
      </c>
      <c r="H317" s="81" t="s">
        <v>887</v>
      </c>
      <c r="I317" s="81" t="s">
        <v>341</v>
      </c>
      <c r="J317" s="81" t="s">
        <v>1047</v>
      </c>
      <c r="K317" s="79"/>
      <c r="L317" s="79"/>
    </row>
    <row r="318" spans="1:12">
      <c r="A318" s="81" t="s">
        <v>702</v>
      </c>
      <c r="B318" s="81" t="s">
        <v>77</v>
      </c>
      <c r="C318" s="81" t="s">
        <v>203</v>
      </c>
      <c r="D318" s="81" t="s">
        <v>934</v>
      </c>
      <c r="E318" s="81">
        <v>3</v>
      </c>
      <c r="F318" s="81">
        <v>2</v>
      </c>
      <c r="G318" s="81" t="s">
        <v>200</v>
      </c>
      <c r="H318" s="81" t="s">
        <v>887</v>
      </c>
      <c r="I318" s="81" t="s">
        <v>341</v>
      </c>
      <c r="J318" s="81" t="s">
        <v>1047</v>
      </c>
      <c r="K318" s="79"/>
      <c r="L318" s="79"/>
    </row>
    <row r="319" spans="1:12">
      <c r="A319" s="81" t="s">
        <v>703</v>
      </c>
      <c r="B319" s="81" t="s">
        <v>77</v>
      </c>
      <c r="C319" s="81" t="s">
        <v>203</v>
      </c>
      <c r="D319" s="81" t="s">
        <v>934</v>
      </c>
      <c r="E319" s="81">
        <v>3</v>
      </c>
      <c r="F319" s="81">
        <v>2</v>
      </c>
      <c r="G319" s="81" t="s">
        <v>200</v>
      </c>
      <c r="H319" s="81" t="s">
        <v>887</v>
      </c>
      <c r="I319" s="81" t="s">
        <v>341</v>
      </c>
      <c r="J319" s="81" t="s">
        <v>1047</v>
      </c>
      <c r="K319" s="79"/>
      <c r="L319" s="79"/>
    </row>
    <row r="320" spans="1:12">
      <c r="A320" s="81" t="s">
        <v>704</v>
      </c>
      <c r="B320" s="81" t="s">
        <v>77</v>
      </c>
      <c r="C320" s="81" t="s">
        <v>203</v>
      </c>
      <c r="D320" s="81" t="s">
        <v>934</v>
      </c>
      <c r="E320" s="81">
        <v>3</v>
      </c>
      <c r="F320" s="81">
        <v>2</v>
      </c>
      <c r="G320" s="81" t="s">
        <v>200</v>
      </c>
      <c r="H320" s="81" t="s">
        <v>887</v>
      </c>
      <c r="I320" s="81" t="s">
        <v>341</v>
      </c>
      <c r="J320" s="81" t="s">
        <v>1047</v>
      </c>
      <c r="K320" s="79"/>
      <c r="L320" s="79"/>
    </row>
    <row r="321" spans="1:12">
      <c r="A321" s="81" t="s">
        <v>705</v>
      </c>
      <c r="B321" s="81" t="s">
        <v>77</v>
      </c>
      <c r="C321" s="81" t="s">
        <v>203</v>
      </c>
      <c r="D321" s="81" t="s">
        <v>934</v>
      </c>
      <c r="E321" s="81">
        <v>3</v>
      </c>
      <c r="F321" s="81">
        <v>2</v>
      </c>
      <c r="G321" s="81" t="s">
        <v>200</v>
      </c>
      <c r="H321" s="81" t="s">
        <v>887</v>
      </c>
      <c r="I321" s="81" t="s">
        <v>341</v>
      </c>
      <c r="J321" s="81" t="s">
        <v>1047</v>
      </c>
      <c r="K321" s="79"/>
      <c r="L321" s="79"/>
    </row>
    <row r="322" spans="1:12">
      <c r="A322" s="81" t="s">
        <v>706</v>
      </c>
      <c r="B322" s="81" t="s">
        <v>77</v>
      </c>
      <c r="C322" s="81" t="s">
        <v>203</v>
      </c>
      <c r="D322" s="81" t="s">
        <v>934</v>
      </c>
      <c r="E322" s="81">
        <v>3</v>
      </c>
      <c r="F322" s="81">
        <v>2</v>
      </c>
      <c r="G322" s="81" t="s">
        <v>200</v>
      </c>
      <c r="H322" s="81" t="s">
        <v>887</v>
      </c>
      <c r="I322" s="81" t="s">
        <v>341</v>
      </c>
      <c r="J322" s="81" t="s">
        <v>1047</v>
      </c>
      <c r="K322" s="79"/>
      <c r="L322" s="79"/>
    </row>
    <row r="323" spans="1:12">
      <c r="A323" s="81" t="s">
        <v>708</v>
      </c>
      <c r="B323" s="81" t="s">
        <v>77</v>
      </c>
      <c r="C323" s="81" t="s">
        <v>203</v>
      </c>
      <c r="D323" s="81" t="s">
        <v>934</v>
      </c>
      <c r="E323" s="81">
        <v>3</v>
      </c>
      <c r="F323" s="81">
        <v>2</v>
      </c>
      <c r="G323" s="81" t="s">
        <v>200</v>
      </c>
      <c r="H323" s="81" t="s">
        <v>887</v>
      </c>
      <c r="I323" s="81" t="s">
        <v>341</v>
      </c>
      <c r="J323" s="81" t="s">
        <v>1047</v>
      </c>
      <c r="K323" s="79"/>
      <c r="L323" s="79"/>
    </row>
    <row r="324" spans="1:12">
      <c r="A324" s="81" t="s">
        <v>709</v>
      </c>
      <c r="B324" s="81" t="s">
        <v>77</v>
      </c>
      <c r="C324" s="81" t="s">
        <v>203</v>
      </c>
      <c r="D324" s="81" t="s">
        <v>934</v>
      </c>
      <c r="E324" s="81">
        <v>3</v>
      </c>
      <c r="F324" s="81">
        <v>2</v>
      </c>
      <c r="G324" s="81" t="s">
        <v>200</v>
      </c>
      <c r="H324" s="81" t="s">
        <v>887</v>
      </c>
      <c r="I324" s="81" t="s">
        <v>341</v>
      </c>
      <c r="J324" s="81" t="s">
        <v>1047</v>
      </c>
      <c r="K324" s="79"/>
      <c r="L324" s="79"/>
    </row>
    <row r="325" spans="1:12">
      <c r="A325" s="81" t="s">
        <v>710</v>
      </c>
      <c r="B325" s="81" t="s">
        <v>77</v>
      </c>
      <c r="C325" s="81" t="s">
        <v>203</v>
      </c>
      <c r="D325" s="81" t="s">
        <v>935</v>
      </c>
      <c r="E325" s="81">
        <v>2</v>
      </c>
      <c r="F325" s="81">
        <v>2</v>
      </c>
      <c r="G325" s="81" t="s">
        <v>202</v>
      </c>
      <c r="H325" s="81" t="s">
        <v>887</v>
      </c>
      <c r="I325" s="81" t="s">
        <v>341</v>
      </c>
      <c r="J325" s="81" t="s">
        <v>1041</v>
      </c>
      <c r="K325" s="79"/>
      <c r="L325" s="79"/>
    </row>
    <row r="326" spans="1:12">
      <c r="A326" s="81" t="s">
        <v>714</v>
      </c>
      <c r="B326" s="81" t="s">
        <v>77</v>
      </c>
      <c r="C326" s="81" t="s">
        <v>203</v>
      </c>
      <c r="D326" s="81" t="s">
        <v>936</v>
      </c>
      <c r="E326" s="81">
        <v>2</v>
      </c>
      <c r="F326" s="81">
        <v>2</v>
      </c>
      <c r="G326" s="81" t="s">
        <v>202</v>
      </c>
      <c r="H326" s="81" t="s">
        <v>887</v>
      </c>
      <c r="I326" s="81" t="s">
        <v>341</v>
      </c>
      <c r="J326" s="81" t="s">
        <v>1041</v>
      </c>
      <c r="K326" s="79"/>
      <c r="L326" s="79"/>
    </row>
    <row r="327" spans="1:12">
      <c r="A327" s="81" t="s">
        <v>715</v>
      </c>
      <c r="B327" s="81" t="s">
        <v>77</v>
      </c>
      <c r="C327" s="81" t="s">
        <v>203</v>
      </c>
      <c r="D327" s="81" t="s">
        <v>936</v>
      </c>
      <c r="E327" s="81">
        <v>2</v>
      </c>
      <c r="F327" s="81">
        <v>2</v>
      </c>
      <c r="G327" s="81" t="s">
        <v>202</v>
      </c>
      <c r="H327" s="81" t="s">
        <v>887</v>
      </c>
      <c r="I327" s="81" t="s">
        <v>341</v>
      </c>
      <c r="J327" s="81" t="s">
        <v>1041</v>
      </c>
      <c r="K327" s="79"/>
      <c r="L327" s="79"/>
    </row>
    <row r="328" spans="1:12">
      <c r="A328" s="81" t="s">
        <v>716</v>
      </c>
      <c r="B328" s="81" t="s">
        <v>77</v>
      </c>
      <c r="C328" s="81" t="s">
        <v>203</v>
      </c>
      <c r="D328" s="81" t="s">
        <v>936</v>
      </c>
      <c r="E328" s="81">
        <v>2</v>
      </c>
      <c r="F328" s="81">
        <v>2</v>
      </c>
      <c r="G328" s="81" t="s">
        <v>202</v>
      </c>
      <c r="H328" s="81" t="s">
        <v>887</v>
      </c>
      <c r="I328" s="81" t="s">
        <v>341</v>
      </c>
      <c r="J328" s="81" t="s">
        <v>1041</v>
      </c>
      <c r="K328" s="79"/>
      <c r="L328" s="79"/>
    </row>
    <row r="329" spans="1:12">
      <c r="A329" s="81" t="s">
        <v>717</v>
      </c>
      <c r="B329" s="81" t="s">
        <v>77</v>
      </c>
      <c r="C329" s="81" t="s">
        <v>203</v>
      </c>
      <c r="D329" s="81" t="s">
        <v>936</v>
      </c>
      <c r="E329" s="81">
        <v>2</v>
      </c>
      <c r="F329" s="81">
        <v>2</v>
      </c>
      <c r="G329" s="81" t="s">
        <v>202</v>
      </c>
      <c r="H329" s="81" t="s">
        <v>887</v>
      </c>
      <c r="I329" s="81" t="s">
        <v>341</v>
      </c>
      <c r="J329" s="81" t="s">
        <v>1041</v>
      </c>
      <c r="K329" s="79"/>
      <c r="L329" s="79"/>
    </row>
    <row r="330" spans="1:12">
      <c r="A330" s="81" t="s">
        <v>718</v>
      </c>
      <c r="B330" s="81" t="s">
        <v>77</v>
      </c>
      <c r="C330" s="81" t="s">
        <v>203</v>
      </c>
      <c r="D330" s="81" t="s">
        <v>936</v>
      </c>
      <c r="E330" s="81">
        <v>2</v>
      </c>
      <c r="F330" s="81">
        <v>2</v>
      </c>
      <c r="G330" s="81" t="s">
        <v>202</v>
      </c>
      <c r="H330" s="81" t="s">
        <v>887</v>
      </c>
      <c r="I330" s="81" t="s">
        <v>341</v>
      </c>
      <c r="J330" s="81" t="s">
        <v>1041</v>
      </c>
      <c r="K330" s="79"/>
      <c r="L330" s="79"/>
    </row>
    <row r="331" spans="1:12">
      <c r="A331" s="81" t="s">
        <v>719</v>
      </c>
      <c r="B331" s="81" t="s">
        <v>77</v>
      </c>
      <c r="C331" s="81" t="s">
        <v>203</v>
      </c>
      <c r="D331" s="81" t="s">
        <v>936</v>
      </c>
      <c r="E331" s="81">
        <v>2</v>
      </c>
      <c r="F331" s="81">
        <v>2</v>
      </c>
      <c r="G331" s="81" t="s">
        <v>202</v>
      </c>
      <c r="H331" s="81" t="s">
        <v>887</v>
      </c>
      <c r="I331" s="81" t="s">
        <v>341</v>
      </c>
      <c r="J331" s="81" t="s">
        <v>1041</v>
      </c>
      <c r="K331" s="79"/>
      <c r="L331" s="79"/>
    </row>
    <row r="332" spans="1:12">
      <c r="A332" s="81" t="s">
        <v>720</v>
      </c>
      <c r="B332" s="81" t="s">
        <v>77</v>
      </c>
      <c r="C332" s="81" t="s">
        <v>203</v>
      </c>
      <c r="D332" s="81" t="s">
        <v>936</v>
      </c>
      <c r="E332" s="81">
        <v>2</v>
      </c>
      <c r="F332" s="81">
        <v>2</v>
      </c>
      <c r="G332" s="81" t="s">
        <v>202</v>
      </c>
      <c r="H332" s="81" t="s">
        <v>887</v>
      </c>
      <c r="I332" s="81" t="s">
        <v>341</v>
      </c>
      <c r="J332" s="81" t="s">
        <v>1041</v>
      </c>
      <c r="K332" s="79"/>
      <c r="L332" s="79"/>
    </row>
    <row r="333" spans="1:12">
      <c r="A333" s="81" t="s">
        <v>721</v>
      </c>
      <c r="B333" s="81" t="s">
        <v>77</v>
      </c>
      <c r="C333" s="81" t="s">
        <v>203</v>
      </c>
      <c r="D333" s="81" t="s">
        <v>936</v>
      </c>
      <c r="E333" s="81">
        <v>2</v>
      </c>
      <c r="F333" s="81">
        <v>2</v>
      </c>
      <c r="G333" s="81" t="s">
        <v>202</v>
      </c>
      <c r="H333" s="81" t="s">
        <v>887</v>
      </c>
      <c r="I333" s="81" t="s">
        <v>341</v>
      </c>
      <c r="J333" s="81" t="s">
        <v>1041</v>
      </c>
      <c r="K333" s="79"/>
      <c r="L333" s="79"/>
    </row>
    <row r="334" spans="1:12">
      <c r="A334" s="81" t="s">
        <v>722</v>
      </c>
      <c r="B334" s="81" t="s">
        <v>77</v>
      </c>
      <c r="C334" s="81" t="s">
        <v>203</v>
      </c>
      <c r="D334" s="81" t="s">
        <v>936</v>
      </c>
      <c r="E334" s="81">
        <v>2</v>
      </c>
      <c r="F334" s="81">
        <v>2</v>
      </c>
      <c r="G334" s="81" t="s">
        <v>202</v>
      </c>
      <c r="H334" s="81" t="s">
        <v>887</v>
      </c>
      <c r="I334" s="81" t="s">
        <v>341</v>
      </c>
      <c r="J334" s="81" t="s">
        <v>1041</v>
      </c>
      <c r="K334" s="79"/>
      <c r="L334" s="79"/>
    </row>
    <row r="335" spans="1:12">
      <c r="A335" s="81" t="s">
        <v>723</v>
      </c>
      <c r="B335" s="81" t="s">
        <v>77</v>
      </c>
      <c r="C335" s="81" t="s">
        <v>399</v>
      </c>
      <c r="D335" s="81" t="s">
        <v>937</v>
      </c>
      <c r="E335" s="81">
        <v>2</v>
      </c>
      <c r="F335" s="81">
        <v>2</v>
      </c>
      <c r="G335" s="81" t="s">
        <v>202</v>
      </c>
      <c r="H335" s="81" t="s">
        <v>887</v>
      </c>
      <c r="I335" s="81" t="s">
        <v>341</v>
      </c>
      <c r="J335" s="81" t="s">
        <v>1041</v>
      </c>
      <c r="K335" s="79"/>
      <c r="L335" s="79"/>
    </row>
    <row r="336" spans="1:12">
      <c r="A336" s="81" t="s">
        <v>727</v>
      </c>
      <c r="B336" s="81" t="s">
        <v>77</v>
      </c>
      <c r="C336" s="81" t="s">
        <v>399</v>
      </c>
      <c r="D336" s="81" t="s">
        <v>937</v>
      </c>
      <c r="E336" s="81">
        <v>2</v>
      </c>
      <c r="F336" s="81">
        <v>2</v>
      </c>
      <c r="G336" s="81" t="s">
        <v>202</v>
      </c>
      <c r="H336" s="81" t="s">
        <v>887</v>
      </c>
      <c r="I336" s="81" t="s">
        <v>341</v>
      </c>
      <c r="J336" s="81" t="s">
        <v>1041</v>
      </c>
      <c r="K336" s="79"/>
      <c r="L336" s="79"/>
    </row>
    <row r="337" spans="1:12">
      <c r="A337" s="81" t="s">
        <v>728</v>
      </c>
      <c r="B337" s="81" t="s">
        <v>77</v>
      </c>
      <c r="C337" s="81" t="s">
        <v>399</v>
      </c>
      <c r="D337" s="81" t="s">
        <v>937</v>
      </c>
      <c r="E337" s="81">
        <v>2</v>
      </c>
      <c r="F337" s="81">
        <v>2</v>
      </c>
      <c r="G337" s="81" t="s">
        <v>202</v>
      </c>
      <c r="H337" s="81" t="s">
        <v>887</v>
      </c>
      <c r="I337" s="81" t="s">
        <v>341</v>
      </c>
      <c r="J337" s="81" t="s">
        <v>1041</v>
      </c>
      <c r="K337" s="79"/>
      <c r="L337" s="79"/>
    </row>
    <row r="338" spans="1:12">
      <c r="A338" s="81" t="s">
        <v>729</v>
      </c>
      <c r="B338" s="81" t="s">
        <v>77</v>
      </c>
      <c r="C338" s="81" t="s">
        <v>399</v>
      </c>
      <c r="D338" s="81" t="s">
        <v>938</v>
      </c>
      <c r="E338" s="81">
        <v>2</v>
      </c>
      <c r="F338" s="81">
        <v>2</v>
      </c>
      <c r="G338" s="81" t="s">
        <v>202</v>
      </c>
      <c r="H338" s="81" t="s">
        <v>887</v>
      </c>
      <c r="I338" s="81" t="s">
        <v>341</v>
      </c>
      <c r="J338" s="81" t="s">
        <v>1041</v>
      </c>
      <c r="K338" s="79"/>
      <c r="L338" s="79"/>
    </row>
    <row r="339" spans="1:12">
      <c r="A339" s="81" t="s">
        <v>732</v>
      </c>
      <c r="B339" s="81" t="s">
        <v>77</v>
      </c>
      <c r="C339" s="81" t="s">
        <v>399</v>
      </c>
      <c r="D339" s="81" t="s">
        <v>938</v>
      </c>
      <c r="E339" s="81">
        <v>2</v>
      </c>
      <c r="F339" s="81">
        <v>2</v>
      </c>
      <c r="G339" s="81" t="s">
        <v>202</v>
      </c>
      <c r="H339" s="81" t="s">
        <v>887</v>
      </c>
      <c r="I339" s="81" t="s">
        <v>341</v>
      </c>
      <c r="J339" s="81" t="s">
        <v>1041</v>
      </c>
      <c r="K339" s="79"/>
      <c r="L339" s="79"/>
    </row>
    <row r="340" spans="1:12">
      <c r="A340" s="81" t="s">
        <v>733</v>
      </c>
      <c r="B340" s="81" t="s">
        <v>77</v>
      </c>
      <c r="C340" s="81" t="s">
        <v>399</v>
      </c>
      <c r="D340" s="81" t="s">
        <v>938</v>
      </c>
      <c r="E340" s="81">
        <v>2</v>
      </c>
      <c r="F340" s="81">
        <v>2</v>
      </c>
      <c r="G340" s="81" t="s">
        <v>202</v>
      </c>
      <c r="H340" s="81" t="s">
        <v>887</v>
      </c>
      <c r="I340" s="81" t="s">
        <v>341</v>
      </c>
      <c r="J340" s="81" t="s">
        <v>1041</v>
      </c>
      <c r="K340" s="79"/>
      <c r="L340" s="79"/>
    </row>
    <row r="341" spans="1:12">
      <c r="A341" s="81" t="s">
        <v>734</v>
      </c>
      <c r="B341" s="81" t="s">
        <v>77</v>
      </c>
      <c r="C341" s="81" t="s">
        <v>399</v>
      </c>
      <c r="D341" s="81" t="s">
        <v>939</v>
      </c>
      <c r="E341" s="81">
        <v>1</v>
      </c>
      <c r="F341" s="81">
        <v>2</v>
      </c>
      <c r="G341" s="81" t="s">
        <v>204</v>
      </c>
      <c r="H341" s="81" t="s">
        <v>887</v>
      </c>
      <c r="I341" s="81" t="s">
        <v>341</v>
      </c>
      <c r="J341" s="81" t="s">
        <v>1048</v>
      </c>
      <c r="K341" s="79"/>
      <c r="L341" s="79"/>
    </row>
    <row r="342" spans="1:12">
      <c r="A342" s="81" t="s">
        <v>735</v>
      </c>
      <c r="B342" s="81" t="s">
        <v>77</v>
      </c>
      <c r="C342" s="81" t="s">
        <v>203</v>
      </c>
      <c r="D342" s="81" t="s">
        <v>929</v>
      </c>
      <c r="E342" s="81">
        <v>1</v>
      </c>
      <c r="F342" s="81">
        <v>2</v>
      </c>
      <c r="G342" s="81" t="s">
        <v>204</v>
      </c>
      <c r="H342" s="81" t="s">
        <v>887</v>
      </c>
      <c r="I342" s="81" t="s">
        <v>341</v>
      </c>
      <c r="J342" s="81" t="s">
        <v>1048</v>
      </c>
      <c r="K342" s="79"/>
      <c r="L342" s="79"/>
    </row>
    <row r="343" spans="1:12">
      <c r="A343" s="81" t="s">
        <v>737</v>
      </c>
      <c r="B343" s="81" t="s">
        <v>77</v>
      </c>
      <c r="C343" s="81" t="s">
        <v>203</v>
      </c>
      <c r="D343" s="81" t="s">
        <v>929</v>
      </c>
      <c r="E343" s="81">
        <v>1</v>
      </c>
      <c r="F343" s="81">
        <v>2</v>
      </c>
      <c r="G343" s="81" t="s">
        <v>204</v>
      </c>
      <c r="H343" s="81" t="s">
        <v>887</v>
      </c>
      <c r="I343" s="81" t="s">
        <v>341</v>
      </c>
      <c r="J343" s="81" t="s">
        <v>1048</v>
      </c>
      <c r="K343" s="79"/>
      <c r="L343" s="79"/>
    </row>
    <row r="344" spans="1:12">
      <c r="A344" s="81" t="s">
        <v>738</v>
      </c>
      <c r="B344" s="81" t="s">
        <v>77</v>
      </c>
      <c r="C344" s="81" t="s">
        <v>203</v>
      </c>
      <c r="D344" s="81" t="s">
        <v>929</v>
      </c>
      <c r="E344" s="81">
        <v>1</v>
      </c>
      <c r="F344" s="81">
        <v>2</v>
      </c>
      <c r="G344" s="81" t="s">
        <v>204</v>
      </c>
      <c r="H344" s="81" t="s">
        <v>887</v>
      </c>
      <c r="I344" s="81" t="s">
        <v>341</v>
      </c>
      <c r="J344" s="81" t="s">
        <v>1048</v>
      </c>
      <c r="K344" s="79"/>
      <c r="L344" s="79"/>
    </row>
    <row r="345" spans="1:12">
      <c r="A345" s="81" t="s">
        <v>739</v>
      </c>
      <c r="B345" s="81" t="s">
        <v>77</v>
      </c>
      <c r="C345" s="81" t="s">
        <v>203</v>
      </c>
      <c r="D345" s="81" t="s">
        <v>930</v>
      </c>
      <c r="E345" s="81">
        <v>1</v>
      </c>
      <c r="F345" s="81">
        <v>2</v>
      </c>
      <c r="G345" s="81" t="s">
        <v>204</v>
      </c>
      <c r="H345" s="81" t="s">
        <v>887</v>
      </c>
      <c r="I345" s="81" t="s">
        <v>341</v>
      </c>
      <c r="J345" s="81" t="s">
        <v>1048</v>
      </c>
      <c r="K345" s="79"/>
      <c r="L345" s="79"/>
    </row>
    <row r="346" spans="1:12">
      <c r="A346" s="81" t="s">
        <v>740</v>
      </c>
      <c r="B346" s="81" t="s">
        <v>77</v>
      </c>
      <c r="C346" s="81" t="s">
        <v>203</v>
      </c>
      <c r="D346" s="81" t="s">
        <v>940</v>
      </c>
      <c r="E346" s="81">
        <v>2</v>
      </c>
      <c r="F346" s="81">
        <v>2</v>
      </c>
      <c r="G346" s="81" t="s">
        <v>202</v>
      </c>
      <c r="H346" s="81" t="s">
        <v>887</v>
      </c>
      <c r="I346" s="81" t="s">
        <v>341</v>
      </c>
      <c r="J346" s="81" t="s">
        <v>1041</v>
      </c>
      <c r="K346" s="79"/>
      <c r="L346" s="79"/>
    </row>
    <row r="347" spans="1:12">
      <c r="A347" s="81" t="s">
        <v>741</v>
      </c>
      <c r="B347" s="81" t="s">
        <v>77</v>
      </c>
      <c r="C347" s="81" t="s">
        <v>203</v>
      </c>
      <c r="D347" s="81" t="s">
        <v>941</v>
      </c>
      <c r="E347" s="81">
        <v>2</v>
      </c>
      <c r="F347" s="81">
        <v>2</v>
      </c>
      <c r="G347" s="81" t="s">
        <v>202</v>
      </c>
      <c r="H347" s="81" t="s">
        <v>887</v>
      </c>
      <c r="I347" s="81" t="s">
        <v>341</v>
      </c>
      <c r="J347" s="81" t="s">
        <v>1041</v>
      </c>
      <c r="K347" s="79"/>
      <c r="L347" s="79"/>
    </row>
    <row r="348" spans="1:12">
      <c r="A348" s="81" t="s">
        <v>742</v>
      </c>
      <c r="B348" s="81" t="s">
        <v>77</v>
      </c>
      <c r="C348" s="81" t="s">
        <v>203</v>
      </c>
      <c r="D348" s="81" t="s">
        <v>905</v>
      </c>
      <c r="E348" s="81">
        <v>2</v>
      </c>
      <c r="F348" s="81">
        <v>3</v>
      </c>
      <c r="G348" s="81" t="s">
        <v>200</v>
      </c>
      <c r="H348" s="81" t="s">
        <v>892</v>
      </c>
      <c r="I348" s="81" t="s">
        <v>243</v>
      </c>
      <c r="J348" s="81" t="s">
        <v>1042</v>
      </c>
      <c r="K348" s="79"/>
      <c r="L348" s="79"/>
    </row>
    <row r="349" spans="1:12">
      <c r="A349" s="81" t="s">
        <v>743</v>
      </c>
      <c r="B349" s="81" t="s">
        <v>205</v>
      </c>
      <c r="C349" s="81" t="s">
        <v>85</v>
      </c>
      <c r="D349" s="81" t="s">
        <v>942</v>
      </c>
      <c r="E349" s="81">
        <v>3</v>
      </c>
      <c r="F349" s="81">
        <v>4</v>
      </c>
      <c r="G349" s="81" t="s">
        <v>200</v>
      </c>
      <c r="H349" s="81" t="s">
        <v>884</v>
      </c>
      <c r="I349" s="81" t="s">
        <v>243</v>
      </c>
      <c r="J349" s="81" t="s">
        <v>1049</v>
      </c>
      <c r="K349" s="79"/>
      <c r="L349" s="79"/>
    </row>
    <row r="350" spans="1:12">
      <c r="A350" s="81" t="s">
        <v>747</v>
      </c>
      <c r="B350" s="81" t="s">
        <v>205</v>
      </c>
      <c r="C350" s="81" t="s">
        <v>85</v>
      </c>
      <c r="D350" s="81" t="s">
        <v>943</v>
      </c>
      <c r="E350" s="81">
        <v>2</v>
      </c>
      <c r="F350" s="81">
        <v>2</v>
      </c>
      <c r="G350" s="81" t="s">
        <v>202</v>
      </c>
      <c r="H350" s="81" t="s">
        <v>887</v>
      </c>
      <c r="I350" s="81" t="s">
        <v>545</v>
      </c>
      <c r="J350" s="81" t="s">
        <v>1041</v>
      </c>
      <c r="K350" s="79"/>
      <c r="L350" s="79"/>
    </row>
    <row r="351" spans="1:12">
      <c r="A351" s="81" t="s">
        <v>749</v>
      </c>
      <c r="B351" s="81" t="s">
        <v>205</v>
      </c>
      <c r="C351" s="81" t="s">
        <v>85</v>
      </c>
      <c r="D351" s="81" t="s">
        <v>943</v>
      </c>
      <c r="E351" s="81">
        <v>2</v>
      </c>
      <c r="F351" s="81">
        <v>2</v>
      </c>
      <c r="G351" s="81" t="s">
        <v>202</v>
      </c>
      <c r="H351" s="81" t="s">
        <v>887</v>
      </c>
      <c r="I351" s="81" t="s">
        <v>545</v>
      </c>
      <c r="J351" s="81" t="s">
        <v>1041</v>
      </c>
      <c r="K351" s="79"/>
      <c r="L351" s="79"/>
    </row>
    <row r="352" spans="1:12">
      <c r="A352" s="81" t="s">
        <v>750</v>
      </c>
      <c r="B352" s="81" t="s">
        <v>205</v>
      </c>
      <c r="C352" s="81" t="s">
        <v>85</v>
      </c>
      <c r="D352" s="81" t="s">
        <v>943</v>
      </c>
      <c r="E352" s="81">
        <v>2</v>
      </c>
      <c r="F352" s="81">
        <v>2</v>
      </c>
      <c r="G352" s="81" t="s">
        <v>202</v>
      </c>
      <c r="H352" s="81" t="s">
        <v>887</v>
      </c>
      <c r="I352" s="81" t="s">
        <v>545</v>
      </c>
      <c r="J352" s="81" t="s">
        <v>1041</v>
      </c>
      <c r="K352" s="79"/>
      <c r="L352" s="79"/>
    </row>
    <row r="353" spans="1:12">
      <c r="A353" s="81" t="s">
        <v>751</v>
      </c>
      <c r="B353" s="81" t="s">
        <v>205</v>
      </c>
      <c r="C353" s="81" t="s">
        <v>85</v>
      </c>
      <c r="D353" s="81" t="s">
        <v>942</v>
      </c>
      <c r="E353" s="81">
        <v>3</v>
      </c>
      <c r="F353" s="81">
        <v>4</v>
      </c>
      <c r="G353" s="81" t="s">
        <v>200</v>
      </c>
      <c r="H353" s="81" t="s">
        <v>884</v>
      </c>
      <c r="I353" s="81" t="s">
        <v>243</v>
      </c>
      <c r="J353" s="81" t="s">
        <v>1049</v>
      </c>
      <c r="K353" s="79"/>
      <c r="L353" s="79"/>
    </row>
    <row r="354" spans="1:12">
      <c r="A354" s="81" t="s">
        <v>753</v>
      </c>
      <c r="B354" s="81" t="s">
        <v>205</v>
      </c>
      <c r="C354" s="81" t="s">
        <v>85</v>
      </c>
      <c r="D354" s="81" t="s">
        <v>944</v>
      </c>
      <c r="E354" s="81">
        <v>3</v>
      </c>
      <c r="F354" s="81">
        <v>5</v>
      </c>
      <c r="G354" s="81" t="s">
        <v>199</v>
      </c>
      <c r="H354" s="81" t="s">
        <v>884</v>
      </c>
      <c r="I354" s="81" t="s">
        <v>243</v>
      </c>
      <c r="J354" s="81" t="s">
        <v>1050</v>
      </c>
      <c r="K354" s="79"/>
      <c r="L354" s="79"/>
    </row>
    <row r="355" spans="1:12">
      <c r="A355" s="81" t="s">
        <v>757</v>
      </c>
      <c r="B355" s="81" t="s">
        <v>205</v>
      </c>
      <c r="C355" s="81" t="s">
        <v>201</v>
      </c>
      <c r="D355" s="81" t="s">
        <v>945</v>
      </c>
      <c r="E355" s="81">
        <v>2</v>
      </c>
      <c r="F355" s="81">
        <v>4</v>
      </c>
      <c r="G355" s="81" t="s">
        <v>200</v>
      </c>
      <c r="H355" s="81" t="s">
        <v>884</v>
      </c>
      <c r="I355" s="81" t="s">
        <v>545</v>
      </c>
      <c r="J355" s="81" t="s">
        <v>1043</v>
      </c>
      <c r="K355" s="79"/>
      <c r="L355" s="79"/>
    </row>
    <row r="356" spans="1:12">
      <c r="A356" s="81" t="s">
        <v>759</v>
      </c>
      <c r="B356" s="81" t="s">
        <v>205</v>
      </c>
      <c r="C356" s="81" t="s">
        <v>201</v>
      </c>
      <c r="D356" s="81" t="s">
        <v>946</v>
      </c>
      <c r="E356" s="81">
        <v>3</v>
      </c>
      <c r="F356" s="81">
        <v>4</v>
      </c>
      <c r="G356" s="81" t="s">
        <v>200</v>
      </c>
      <c r="H356" s="81" t="s">
        <v>884</v>
      </c>
      <c r="I356" s="81" t="s">
        <v>243</v>
      </c>
      <c r="J356" s="81" t="s">
        <v>1049</v>
      </c>
      <c r="K356" s="79"/>
      <c r="L356" s="79"/>
    </row>
    <row r="357" spans="1:12">
      <c r="A357" s="81" t="s">
        <v>761</v>
      </c>
      <c r="B357" s="81" t="s">
        <v>205</v>
      </c>
      <c r="C357" s="81" t="s">
        <v>201</v>
      </c>
      <c r="D357" s="81" t="s">
        <v>947</v>
      </c>
      <c r="E357" s="81">
        <v>2</v>
      </c>
      <c r="F357" s="81">
        <v>4</v>
      </c>
      <c r="G357" s="81" t="s">
        <v>200</v>
      </c>
      <c r="H357" s="81" t="s">
        <v>884</v>
      </c>
      <c r="I357" s="81" t="s">
        <v>545</v>
      </c>
      <c r="J357" s="81" t="s">
        <v>1043</v>
      </c>
      <c r="K357" s="79"/>
      <c r="L357" s="79"/>
    </row>
    <row r="358" spans="1:12">
      <c r="A358" s="81" t="s">
        <v>763</v>
      </c>
      <c r="B358" s="81" t="s">
        <v>205</v>
      </c>
      <c r="C358" s="81" t="s">
        <v>201</v>
      </c>
      <c r="D358" s="81" t="s">
        <v>948</v>
      </c>
      <c r="E358" s="81">
        <v>3</v>
      </c>
      <c r="F358" s="81">
        <v>4</v>
      </c>
      <c r="G358" s="81" t="s">
        <v>200</v>
      </c>
      <c r="H358" s="81" t="s">
        <v>884</v>
      </c>
      <c r="I358" s="81" t="s">
        <v>243</v>
      </c>
      <c r="J358" s="81" t="s">
        <v>1049</v>
      </c>
      <c r="K358" s="79"/>
      <c r="L358" s="79"/>
    </row>
    <row r="359" spans="1:12">
      <c r="A359" s="81" t="s">
        <v>765</v>
      </c>
      <c r="B359" s="81" t="s">
        <v>205</v>
      </c>
      <c r="C359" s="81" t="s">
        <v>201</v>
      </c>
      <c r="D359" s="81" t="s">
        <v>948</v>
      </c>
      <c r="E359" s="81">
        <v>3</v>
      </c>
      <c r="F359" s="81">
        <v>4</v>
      </c>
      <c r="G359" s="81" t="s">
        <v>200</v>
      </c>
      <c r="H359" s="81" t="s">
        <v>884</v>
      </c>
      <c r="I359" s="81" t="s">
        <v>243</v>
      </c>
      <c r="J359" s="81" t="s">
        <v>1049</v>
      </c>
      <c r="K359" s="79"/>
      <c r="L359" s="79"/>
    </row>
    <row r="360" spans="1:12">
      <c r="A360" s="81" t="s">
        <v>768</v>
      </c>
      <c r="B360" s="81" t="s">
        <v>205</v>
      </c>
      <c r="C360" s="81" t="s">
        <v>201</v>
      </c>
      <c r="D360" s="81" t="s">
        <v>948</v>
      </c>
      <c r="E360" s="81">
        <v>3</v>
      </c>
      <c r="F360" s="81">
        <v>4</v>
      </c>
      <c r="G360" s="81" t="s">
        <v>200</v>
      </c>
      <c r="H360" s="81" t="s">
        <v>884</v>
      </c>
      <c r="I360" s="81" t="s">
        <v>243</v>
      </c>
      <c r="J360" s="81" t="s">
        <v>1049</v>
      </c>
      <c r="K360" s="79"/>
      <c r="L360" s="79"/>
    </row>
    <row r="361" spans="1:12">
      <c r="A361" s="81" t="s">
        <v>770</v>
      </c>
      <c r="B361" s="81" t="s">
        <v>205</v>
      </c>
      <c r="C361" s="81" t="s">
        <v>201</v>
      </c>
      <c r="D361" s="81" t="s">
        <v>947</v>
      </c>
      <c r="E361" s="81">
        <v>2</v>
      </c>
      <c r="F361" s="81">
        <v>4</v>
      </c>
      <c r="G361" s="81" t="s">
        <v>200</v>
      </c>
      <c r="H361" s="81" t="s">
        <v>884</v>
      </c>
      <c r="I361" s="81" t="s">
        <v>545</v>
      </c>
      <c r="J361" s="81" t="s">
        <v>1043</v>
      </c>
      <c r="K361" s="79"/>
      <c r="L361" s="79"/>
    </row>
    <row r="362" spans="1:12">
      <c r="A362" s="81" t="s">
        <v>772</v>
      </c>
      <c r="B362" s="81" t="s">
        <v>205</v>
      </c>
      <c r="C362" s="81" t="s">
        <v>201</v>
      </c>
      <c r="D362" s="81" t="s">
        <v>947</v>
      </c>
      <c r="E362" s="81">
        <v>2</v>
      </c>
      <c r="F362" s="81">
        <v>4</v>
      </c>
      <c r="G362" s="81" t="s">
        <v>200</v>
      </c>
      <c r="H362" s="81" t="s">
        <v>884</v>
      </c>
      <c r="I362" s="81" t="s">
        <v>545</v>
      </c>
      <c r="J362" s="81" t="s">
        <v>1043</v>
      </c>
      <c r="K362" s="79"/>
      <c r="L362" s="79"/>
    </row>
    <row r="363" spans="1:12">
      <c r="A363" s="81" t="s">
        <v>774</v>
      </c>
      <c r="B363" s="81" t="s">
        <v>205</v>
      </c>
      <c r="C363" s="81" t="s">
        <v>201</v>
      </c>
      <c r="D363" s="81" t="s">
        <v>949</v>
      </c>
      <c r="E363" s="81">
        <v>2</v>
      </c>
      <c r="F363" s="81">
        <v>4</v>
      </c>
      <c r="G363" s="81" t="s">
        <v>200</v>
      </c>
      <c r="H363" s="81" t="s">
        <v>884</v>
      </c>
      <c r="I363" s="81" t="s">
        <v>545</v>
      </c>
      <c r="J363" s="81" t="s">
        <v>1043</v>
      </c>
      <c r="K363" s="79"/>
      <c r="L363" s="79"/>
    </row>
    <row r="364" spans="1:12">
      <c r="A364" s="81" t="s">
        <v>777</v>
      </c>
      <c r="B364" s="81" t="s">
        <v>205</v>
      </c>
      <c r="C364" s="81" t="s">
        <v>201</v>
      </c>
      <c r="D364" s="81" t="s">
        <v>947</v>
      </c>
      <c r="E364" s="81">
        <v>2</v>
      </c>
      <c r="F364" s="81">
        <v>4</v>
      </c>
      <c r="G364" s="81" t="s">
        <v>200</v>
      </c>
      <c r="H364" s="81" t="s">
        <v>884</v>
      </c>
      <c r="I364" s="81" t="s">
        <v>545</v>
      </c>
      <c r="J364" s="81" t="s">
        <v>1043</v>
      </c>
      <c r="K364" s="79"/>
      <c r="L364" s="79"/>
    </row>
    <row r="365" spans="1:12">
      <c r="A365" s="81" t="s">
        <v>779</v>
      </c>
      <c r="B365" s="81" t="s">
        <v>205</v>
      </c>
      <c r="C365" s="81" t="s">
        <v>205</v>
      </c>
      <c r="D365" s="81" t="s">
        <v>950</v>
      </c>
      <c r="E365" s="81">
        <v>3</v>
      </c>
      <c r="F365" s="81">
        <v>2</v>
      </c>
      <c r="G365" s="81" t="s">
        <v>200</v>
      </c>
      <c r="H365" s="81" t="s">
        <v>887</v>
      </c>
      <c r="I365" s="81" t="s">
        <v>545</v>
      </c>
      <c r="J365" s="81" t="s">
        <v>1047</v>
      </c>
      <c r="K365" s="79"/>
      <c r="L365" s="79"/>
    </row>
    <row r="366" spans="1:12">
      <c r="A366" s="81" t="s">
        <v>781</v>
      </c>
      <c r="B366" s="81" t="s">
        <v>205</v>
      </c>
      <c r="C366" s="81" t="s">
        <v>205</v>
      </c>
      <c r="D366" s="81" t="s">
        <v>951</v>
      </c>
      <c r="E366" s="81">
        <v>2</v>
      </c>
      <c r="F366" s="81">
        <v>2</v>
      </c>
      <c r="G366" s="81" t="s">
        <v>202</v>
      </c>
      <c r="H366" s="81" t="s">
        <v>887</v>
      </c>
      <c r="I366" s="81" t="s">
        <v>545</v>
      </c>
      <c r="J366" s="81" t="s">
        <v>1041</v>
      </c>
      <c r="K366" s="79"/>
      <c r="L366" s="79"/>
    </row>
    <row r="367" spans="1:12">
      <c r="A367" s="81" t="s">
        <v>783</v>
      </c>
      <c r="B367" s="81" t="s">
        <v>205</v>
      </c>
      <c r="C367" s="81" t="s">
        <v>201</v>
      </c>
      <c r="D367" s="81" t="s">
        <v>952</v>
      </c>
      <c r="E367" s="81">
        <v>2</v>
      </c>
      <c r="F367" s="81">
        <v>4</v>
      </c>
      <c r="G367" s="81" t="s">
        <v>200</v>
      </c>
      <c r="H367" s="81" t="s">
        <v>884</v>
      </c>
      <c r="I367" s="81" t="s">
        <v>545</v>
      </c>
      <c r="J367" s="81" t="s">
        <v>1043</v>
      </c>
      <c r="K367" s="79"/>
      <c r="L367" s="79"/>
    </row>
    <row r="368" spans="1:12">
      <c r="A368" s="81" t="s">
        <v>784</v>
      </c>
      <c r="B368" s="81" t="s">
        <v>205</v>
      </c>
      <c r="C368" s="81" t="s">
        <v>201</v>
      </c>
      <c r="D368" s="81" t="s">
        <v>952</v>
      </c>
      <c r="E368" s="81">
        <v>2</v>
      </c>
      <c r="F368" s="81">
        <v>4</v>
      </c>
      <c r="G368" s="81" t="s">
        <v>200</v>
      </c>
      <c r="H368" s="81" t="s">
        <v>884</v>
      </c>
      <c r="I368" s="81" t="s">
        <v>545</v>
      </c>
      <c r="J368" s="81" t="s">
        <v>1043</v>
      </c>
      <c r="K368" s="79"/>
      <c r="L368" s="79"/>
    </row>
    <row r="369" spans="1:12">
      <c r="A369" s="81" t="s">
        <v>785</v>
      </c>
      <c r="B369" s="81" t="s">
        <v>205</v>
      </c>
      <c r="C369" s="81" t="s">
        <v>201</v>
      </c>
      <c r="D369" s="81" t="s">
        <v>952</v>
      </c>
      <c r="E369" s="81">
        <v>2</v>
      </c>
      <c r="F369" s="81">
        <v>4</v>
      </c>
      <c r="G369" s="81" t="s">
        <v>200</v>
      </c>
      <c r="H369" s="81" t="s">
        <v>884</v>
      </c>
      <c r="I369" s="81" t="s">
        <v>545</v>
      </c>
      <c r="J369" s="81" t="s">
        <v>1043</v>
      </c>
      <c r="K369" s="79"/>
      <c r="L369" s="79"/>
    </row>
    <row r="370" spans="1:12">
      <c r="A370" s="81" t="s">
        <v>788</v>
      </c>
      <c r="B370" s="81" t="s">
        <v>205</v>
      </c>
      <c r="C370" s="81" t="s">
        <v>201</v>
      </c>
      <c r="D370" s="81" t="s">
        <v>953</v>
      </c>
      <c r="E370" s="81">
        <v>3</v>
      </c>
      <c r="F370" s="81">
        <v>5</v>
      </c>
      <c r="G370" s="81" t="s">
        <v>199</v>
      </c>
      <c r="H370" s="81" t="s">
        <v>884</v>
      </c>
      <c r="I370" s="81" t="s">
        <v>243</v>
      </c>
      <c r="J370" s="81" t="s">
        <v>1050</v>
      </c>
      <c r="K370" s="79"/>
      <c r="L370" s="79"/>
    </row>
    <row r="371" spans="1:12">
      <c r="A371" s="81" t="s">
        <v>790</v>
      </c>
      <c r="B371" s="81" t="s">
        <v>205</v>
      </c>
      <c r="C371" s="81" t="s">
        <v>201</v>
      </c>
      <c r="D371" s="81" t="s">
        <v>952</v>
      </c>
      <c r="E371" s="81">
        <v>2</v>
      </c>
      <c r="F371" s="81">
        <v>4</v>
      </c>
      <c r="G371" s="81" t="s">
        <v>200</v>
      </c>
      <c r="H371" s="81" t="s">
        <v>884</v>
      </c>
      <c r="I371" s="81" t="s">
        <v>545</v>
      </c>
      <c r="J371" s="81" t="s">
        <v>1043</v>
      </c>
      <c r="K371" s="79"/>
      <c r="L371" s="79"/>
    </row>
    <row r="372" spans="1:12">
      <c r="A372" s="81" t="s">
        <v>791</v>
      </c>
      <c r="B372" s="81" t="s">
        <v>205</v>
      </c>
      <c r="C372" s="81" t="s">
        <v>201</v>
      </c>
      <c r="D372" s="81" t="s">
        <v>954</v>
      </c>
      <c r="E372" s="81">
        <v>2</v>
      </c>
      <c r="F372" s="81">
        <v>4</v>
      </c>
      <c r="G372" s="81" t="s">
        <v>200</v>
      </c>
      <c r="H372" s="81" t="s">
        <v>884</v>
      </c>
      <c r="I372" s="81" t="s">
        <v>545</v>
      </c>
      <c r="J372" s="81" t="s">
        <v>1043</v>
      </c>
      <c r="K372" s="79"/>
      <c r="L372" s="79"/>
    </row>
    <row r="373" spans="1:12">
      <c r="A373" s="81" t="s">
        <v>794</v>
      </c>
      <c r="B373" s="81" t="s">
        <v>205</v>
      </c>
      <c r="C373" s="81" t="s">
        <v>201</v>
      </c>
      <c r="D373" s="81" t="s">
        <v>952</v>
      </c>
      <c r="E373" s="81">
        <v>2</v>
      </c>
      <c r="F373" s="81">
        <v>4</v>
      </c>
      <c r="G373" s="81" t="s">
        <v>200</v>
      </c>
      <c r="H373" s="81" t="s">
        <v>884</v>
      </c>
      <c r="I373" s="81" t="s">
        <v>545</v>
      </c>
      <c r="J373" s="81" t="s">
        <v>1043</v>
      </c>
      <c r="K373" s="79"/>
      <c r="L373" s="79"/>
    </row>
    <row r="374" spans="1:12">
      <c r="A374" s="81" t="s">
        <v>795</v>
      </c>
      <c r="B374" s="81" t="s">
        <v>205</v>
      </c>
      <c r="C374" s="81" t="s">
        <v>201</v>
      </c>
      <c r="D374" s="81" t="s">
        <v>953</v>
      </c>
      <c r="E374" s="81">
        <v>3</v>
      </c>
      <c r="F374" s="81">
        <v>4</v>
      </c>
      <c r="G374" s="81" t="s">
        <v>200</v>
      </c>
      <c r="H374" s="81" t="s">
        <v>884</v>
      </c>
      <c r="I374" s="81" t="s">
        <v>243</v>
      </c>
      <c r="J374" s="81" t="s">
        <v>1049</v>
      </c>
      <c r="K374" s="79"/>
      <c r="L374" s="79"/>
    </row>
    <row r="375" spans="1:12">
      <c r="A375" s="81" t="s">
        <v>797</v>
      </c>
      <c r="B375" s="81" t="s">
        <v>205</v>
      </c>
      <c r="C375" s="81" t="s">
        <v>201</v>
      </c>
      <c r="D375" s="81" t="s">
        <v>952</v>
      </c>
      <c r="E375" s="81">
        <v>2</v>
      </c>
      <c r="F375" s="81">
        <v>4</v>
      </c>
      <c r="G375" s="81" t="s">
        <v>200</v>
      </c>
      <c r="H375" s="81" t="s">
        <v>884</v>
      </c>
      <c r="I375" s="81" t="s">
        <v>545</v>
      </c>
      <c r="J375" s="81" t="s">
        <v>1043</v>
      </c>
      <c r="K375" s="79"/>
      <c r="L375" s="79"/>
    </row>
    <row r="376" spans="1:12">
      <c r="A376" s="81" t="s">
        <v>799</v>
      </c>
      <c r="B376" s="81" t="s">
        <v>205</v>
      </c>
      <c r="C376" s="81" t="s">
        <v>201</v>
      </c>
      <c r="D376" s="81" t="s">
        <v>953</v>
      </c>
      <c r="E376" s="81">
        <v>3</v>
      </c>
      <c r="F376" s="81">
        <v>5</v>
      </c>
      <c r="G376" s="81" t="s">
        <v>199</v>
      </c>
      <c r="H376" s="81" t="s">
        <v>884</v>
      </c>
      <c r="I376" s="81" t="s">
        <v>243</v>
      </c>
      <c r="J376" s="81" t="s">
        <v>1050</v>
      </c>
      <c r="K376" s="79"/>
      <c r="L376" s="79"/>
    </row>
    <row r="377" spans="1:12">
      <c r="A377" s="81" t="s">
        <v>801</v>
      </c>
      <c r="B377" s="81" t="s">
        <v>205</v>
      </c>
      <c r="C377" s="81" t="s">
        <v>203</v>
      </c>
      <c r="D377" s="81" t="s">
        <v>955</v>
      </c>
      <c r="E377" s="81">
        <v>2</v>
      </c>
      <c r="F377" s="81">
        <v>2</v>
      </c>
      <c r="G377" s="81" t="s">
        <v>202</v>
      </c>
      <c r="H377" s="81" t="s">
        <v>887</v>
      </c>
      <c r="I377" s="81" t="s">
        <v>545</v>
      </c>
      <c r="J377" s="81" t="s">
        <v>1041</v>
      </c>
      <c r="K377" s="79"/>
      <c r="L377" s="79"/>
    </row>
    <row r="378" spans="1:12">
      <c r="A378" s="81" t="s">
        <v>803</v>
      </c>
      <c r="B378" s="81" t="s">
        <v>205</v>
      </c>
      <c r="C378" s="81" t="s">
        <v>203</v>
      </c>
      <c r="D378" s="81" t="s">
        <v>956</v>
      </c>
      <c r="E378" s="81">
        <v>2</v>
      </c>
      <c r="F378" s="81">
        <v>4</v>
      </c>
      <c r="G378" s="81" t="s">
        <v>200</v>
      </c>
      <c r="H378" s="81" t="s">
        <v>884</v>
      </c>
      <c r="I378" s="81" t="s">
        <v>545</v>
      </c>
      <c r="J378" s="81" t="s">
        <v>1043</v>
      </c>
      <c r="K378" s="79"/>
      <c r="L378" s="79"/>
    </row>
    <row r="379" spans="1:12">
      <c r="A379" s="81" t="s">
        <v>806</v>
      </c>
      <c r="B379" s="81" t="s">
        <v>205</v>
      </c>
      <c r="C379" s="81" t="s">
        <v>203</v>
      </c>
      <c r="D379" s="81" t="s">
        <v>957</v>
      </c>
      <c r="E379" s="81">
        <v>2</v>
      </c>
      <c r="F379" s="81">
        <v>3</v>
      </c>
      <c r="G379" s="81" t="s">
        <v>200</v>
      </c>
      <c r="H379" s="81" t="s">
        <v>892</v>
      </c>
      <c r="I379" s="81" t="s">
        <v>545</v>
      </c>
      <c r="J379" s="81" t="s">
        <v>1042</v>
      </c>
      <c r="K379" s="79"/>
      <c r="L379" s="79"/>
    </row>
    <row r="380" spans="1:12">
      <c r="A380" s="81" t="s">
        <v>807</v>
      </c>
      <c r="B380" s="81" t="s">
        <v>205</v>
      </c>
      <c r="C380" s="81" t="s">
        <v>203</v>
      </c>
      <c r="D380" s="81" t="s">
        <v>958</v>
      </c>
      <c r="E380" s="81">
        <v>2</v>
      </c>
      <c r="F380" s="81">
        <v>3</v>
      </c>
      <c r="G380" s="81" t="s">
        <v>200</v>
      </c>
      <c r="H380" s="81" t="s">
        <v>892</v>
      </c>
      <c r="I380" s="81" t="s">
        <v>545</v>
      </c>
      <c r="J380" s="81" t="s">
        <v>1042</v>
      </c>
      <c r="K380" s="79"/>
      <c r="L380" s="79"/>
    </row>
    <row r="381" spans="1:12">
      <c r="A381" s="81" t="s">
        <v>809</v>
      </c>
      <c r="B381" s="81" t="s">
        <v>205</v>
      </c>
      <c r="C381" s="81" t="s">
        <v>203</v>
      </c>
      <c r="D381" s="81" t="s">
        <v>959</v>
      </c>
      <c r="E381" s="81">
        <v>2</v>
      </c>
      <c r="F381" s="81">
        <v>4</v>
      </c>
      <c r="G381" s="81" t="s">
        <v>200</v>
      </c>
      <c r="H381" s="81" t="s">
        <v>884</v>
      </c>
      <c r="I381" s="81" t="s">
        <v>545</v>
      </c>
      <c r="J381" s="81" t="s">
        <v>1043</v>
      </c>
      <c r="K381" s="79"/>
      <c r="L381" s="79"/>
    </row>
    <row r="382" spans="1:12">
      <c r="A382" s="81" t="s">
        <v>811</v>
      </c>
      <c r="B382" s="81" t="s">
        <v>205</v>
      </c>
      <c r="C382" s="81" t="s">
        <v>203</v>
      </c>
      <c r="D382" s="81" t="s">
        <v>960</v>
      </c>
      <c r="E382" s="81">
        <v>3</v>
      </c>
      <c r="F382" s="81">
        <v>4</v>
      </c>
      <c r="G382" s="81" t="s">
        <v>200</v>
      </c>
      <c r="H382" s="81" t="s">
        <v>884</v>
      </c>
      <c r="I382" s="81" t="s">
        <v>243</v>
      </c>
      <c r="J382" s="81" t="s">
        <v>1049</v>
      </c>
      <c r="K382" s="79"/>
      <c r="L382" s="79"/>
    </row>
    <row r="383" spans="1:12">
      <c r="A383" s="81" t="s">
        <v>814</v>
      </c>
      <c r="B383" s="81" t="s">
        <v>205</v>
      </c>
      <c r="C383" s="81" t="s">
        <v>203</v>
      </c>
      <c r="D383" s="81" t="s">
        <v>955</v>
      </c>
      <c r="E383" s="81">
        <v>2</v>
      </c>
      <c r="F383" s="81">
        <v>2</v>
      </c>
      <c r="G383" s="81" t="s">
        <v>202</v>
      </c>
      <c r="H383" s="81" t="s">
        <v>887</v>
      </c>
      <c r="I383" s="81" t="s">
        <v>545</v>
      </c>
      <c r="J383" s="81" t="s">
        <v>1041</v>
      </c>
      <c r="K383" s="79"/>
      <c r="L383" s="79"/>
    </row>
    <row r="384" spans="1:12">
      <c r="A384" s="81" t="s">
        <v>815</v>
      </c>
      <c r="B384" s="81" t="s">
        <v>205</v>
      </c>
      <c r="C384" s="81" t="s">
        <v>201</v>
      </c>
      <c r="D384" s="81" t="s">
        <v>961</v>
      </c>
      <c r="E384" s="81">
        <v>2</v>
      </c>
      <c r="F384" s="81">
        <v>4</v>
      </c>
      <c r="G384" s="81" t="s">
        <v>200</v>
      </c>
      <c r="H384" s="81" t="s">
        <v>884</v>
      </c>
      <c r="I384" s="81" t="s">
        <v>545</v>
      </c>
      <c r="J384" s="81" t="s">
        <v>1043</v>
      </c>
      <c r="K384" s="79"/>
      <c r="L384" s="79"/>
    </row>
    <row r="385" spans="1:12">
      <c r="A385" s="81" t="s">
        <v>817</v>
      </c>
      <c r="B385" s="81" t="s">
        <v>205</v>
      </c>
      <c r="C385" s="81" t="s">
        <v>203</v>
      </c>
      <c r="D385" s="81" t="s">
        <v>962</v>
      </c>
      <c r="E385" s="81">
        <v>2</v>
      </c>
      <c r="F385" s="81">
        <v>4</v>
      </c>
      <c r="G385" s="81" t="s">
        <v>200</v>
      </c>
      <c r="H385" s="81" t="s">
        <v>884</v>
      </c>
      <c r="I385" s="81" t="s">
        <v>545</v>
      </c>
      <c r="J385" s="81" t="s">
        <v>1043</v>
      </c>
      <c r="K385" s="79"/>
      <c r="L385" s="79"/>
    </row>
    <row r="386" spans="1:12">
      <c r="A386" s="81" t="s">
        <v>819</v>
      </c>
      <c r="B386" s="81" t="s">
        <v>205</v>
      </c>
      <c r="C386" s="81" t="s">
        <v>203</v>
      </c>
      <c r="D386" s="81" t="s">
        <v>963</v>
      </c>
      <c r="E386" s="81">
        <v>2</v>
      </c>
      <c r="F386" s="81">
        <v>2</v>
      </c>
      <c r="G386" s="81" t="s">
        <v>202</v>
      </c>
      <c r="H386" s="81" t="s">
        <v>887</v>
      </c>
      <c r="I386" s="81" t="s">
        <v>545</v>
      </c>
      <c r="J386" s="81" t="s">
        <v>1041</v>
      </c>
      <c r="K386" s="79"/>
      <c r="L386" s="79"/>
    </row>
    <row r="387" spans="1:12">
      <c r="A387" s="81" t="s">
        <v>820</v>
      </c>
      <c r="B387" s="81" t="s">
        <v>205</v>
      </c>
      <c r="C387" s="81" t="s">
        <v>203</v>
      </c>
      <c r="D387" s="81" t="s">
        <v>964</v>
      </c>
      <c r="E387" s="81">
        <v>2</v>
      </c>
      <c r="F387" s="81">
        <v>2</v>
      </c>
      <c r="G387" s="81" t="s">
        <v>202</v>
      </c>
      <c r="H387" s="81" t="s">
        <v>887</v>
      </c>
      <c r="I387" s="81" t="s">
        <v>545</v>
      </c>
      <c r="J387" s="81" t="s">
        <v>1041</v>
      </c>
      <c r="K387" s="79"/>
      <c r="L387" s="79"/>
    </row>
    <row r="388" spans="1:12">
      <c r="A388" s="81" t="s">
        <v>822</v>
      </c>
      <c r="B388" s="81" t="s">
        <v>205</v>
      </c>
      <c r="C388" s="81" t="s">
        <v>203</v>
      </c>
      <c r="D388" s="81" t="s">
        <v>965</v>
      </c>
      <c r="E388" s="81">
        <v>3</v>
      </c>
      <c r="F388" s="81">
        <v>4</v>
      </c>
      <c r="G388" s="81" t="s">
        <v>200</v>
      </c>
      <c r="H388" s="81" t="s">
        <v>884</v>
      </c>
      <c r="I388" s="81" t="s">
        <v>243</v>
      </c>
      <c r="J388" s="81" t="s">
        <v>1049</v>
      </c>
      <c r="K388" s="79"/>
      <c r="L388" s="79"/>
    </row>
    <row r="389" spans="1:12">
      <c r="A389" s="81" t="s">
        <v>824</v>
      </c>
      <c r="B389" s="81" t="s">
        <v>205</v>
      </c>
      <c r="C389" s="81" t="s">
        <v>203</v>
      </c>
      <c r="D389" s="81" t="s">
        <v>966</v>
      </c>
      <c r="E389" s="81">
        <v>3</v>
      </c>
      <c r="F389" s="81">
        <v>4</v>
      </c>
      <c r="G389" s="81" t="s">
        <v>200</v>
      </c>
      <c r="H389" s="81" t="s">
        <v>884</v>
      </c>
      <c r="I389" s="81" t="s">
        <v>243</v>
      </c>
      <c r="J389" s="81" t="s">
        <v>1049</v>
      </c>
      <c r="K389" s="79"/>
      <c r="L389" s="79"/>
    </row>
    <row r="390" spans="1:12">
      <c r="A390" s="81" t="s">
        <v>826</v>
      </c>
      <c r="B390" s="81" t="s">
        <v>205</v>
      </c>
      <c r="C390" s="81" t="s">
        <v>203</v>
      </c>
      <c r="D390" s="81" t="s">
        <v>963</v>
      </c>
      <c r="E390" s="81">
        <v>2</v>
      </c>
      <c r="F390" s="81">
        <v>2</v>
      </c>
      <c r="G390" s="81" t="s">
        <v>202</v>
      </c>
      <c r="H390" s="81" t="s">
        <v>887</v>
      </c>
      <c r="I390" s="81" t="s">
        <v>545</v>
      </c>
      <c r="J390" s="81" t="s">
        <v>1041</v>
      </c>
      <c r="K390" s="79"/>
      <c r="L390" s="79"/>
    </row>
    <row r="391" spans="1:12">
      <c r="A391" s="81" t="s">
        <v>827</v>
      </c>
      <c r="B391" s="81" t="s">
        <v>205</v>
      </c>
      <c r="C391" s="81" t="s">
        <v>203</v>
      </c>
      <c r="D391" s="81" t="s">
        <v>964</v>
      </c>
      <c r="E391" s="81">
        <v>2</v>
      </c>
      <c r="F391" s="81">
        <v>2</v>
      </c>
      <c r="G391" s="81" t="s">
        <v>202</v>
      </c>
      <c r="H391" s="81" t="s">
        <v>887</v>
      </c>
      <c r="I391" s="81" t="s">
        <v>545</v>
      </c>
      <c r="J391" s="81" t="s">
        <v>1041</v>
      </c>
      <c r="K391" s="79"/>
      <c r="L391" s="79"/>
    </row>
    <row r="392" spans="1:12">
      <c r="A392" s="81" t="s">
        <v>829</v>
      </c>
      <c r="B392" s="81" t="s">
        <v>205</v>
      </c>
      <c r="C392" s="81" t="s">
        <v>203</v>
      </c>
      <c r="D392" s="81" t="s">
        <v>964</v>
      </c>
      <c r="E392" s="81">
        <v>2</v>
      </c>
      <c r="F392" s="81">
        <v>2</v>
      </c>
      <c r="G392" s="81" t="s">
        <v>202</v>
      </c>
      <c r="H392" s="81" t="s">
        <v>887</v>
      </c>
      <c r="I392" s="81" t="s">
        <v>545</v>
      </c>
      <c r="J392" s="81" t="s">
        <v>1041</v>
      </c>
      <c r="K392" s="79"/>
      <c r="L392" s="79"/>
    </row>
    <row r="393" spans="1:12">
      <c r="A393" s="81" t="s">
        <v>831</v>
      </c>
      <c r="B393" s="81" t="s">
        <v>205</v>
      </c>
      <c r="C393" s="81" t="s">
        <v>203</v>
      </c>
      <c r="D393" s="81" t="s">
        <v>965</v>
      </c>
      <c r="E393" s="81">
        <v>3</v>
      </c>
      <c r="F393" s="81">
        <v>4</v>
      </c>
      <c r="G393" s="81" t="s">
        <v>200</v>
      </c>
      <c r="H393" s="81" t="s">
        <v>884</v>
      </c>
      <c r="I393" s="81" t="s">
        <v>243</v>
      </c>
      <c r="J393" s="81" t="s">
        <v>1049</v>
      </c>
      <c r="K393" s="79"/>
      <c r="L393" s="79"/>
    </row>
    <row r="394" spans="1:12">
      <c r="A394" s="81" t="s">
        <v>833</v>
      </c>
      <c r="B394" s="81" t="s">
        <v>205</v>
      </c>
      <c r="C394" s="81" t="s">
        <v>203</v>
      </c>
      <c r="D394" s="81" t="s">
        <v>967</v>
      </c>
      <c r="E394" s="81">
        <v>3</v>
      </c>
      <c r="F394" s="81">
        <v>2</v>
      </c>
      <c r="G394" s="81" t="s">
        <v>200</v>
      </c>
      <c r="H394" s="81" t="s">
        <v>887</v>
      </c>
      <c r="I394" s="81" t="s">
        <v>545</v>
      </c>
      <c r="J394" s="81" t="s">
        <v>1047</v>
      </c>
      <c r="K394" s="79"/>
      <c r="L394" s="79"/>
    </row>
    <row r="395" spans="1:12">
      <c r="A395" s="81" t="s">
        <v>835</v>
      </c>
      <c r="B395" s="81" t="s">
        <v>205</v>
      </c>
      <c r="C395" s="81" t="s">
        <v>203</v>
      </c>
      <c r="D395" s="81" t="s">
        <v>968</v>
      </c>
      <c r="E395" s="81">
        <v>2</v>
      </c>
      <c r="F395" s="81">
        <v>2</v>
      </c>
      <c r="G395" s="81" t="s">
        <v>202</v>
      </c>
      <c r="H395" s="81" t="s">
        <v>887</v>
      </c>
      <c r="I395" s="81" t="s">
        <v>545</v>
      </c>
      <c r="J395" s="81" t="s">
        <v>1041</v>
      </c>
      <c r="K395" s="79"/>
      <c r="L395" s="79"/>
    </row>
    <row r="396" spans="1:12">
      <c r="A396" s="81" t="s">
        <v>837</v>
      </c>
      <c r="B396" s="81" t="s">
        <v>205</v>
      </c>
      <c r="C396" s="81" t="s">
        <v>203</v>
      </c>
      <c r="D396" s="81" t="s">
        <v>969</v>
      </c>
      <c r="E396" s="81">
        <v>2</v>
      </c>
      <c r="F396" s="81">
        <v>2</v>
      </c>
      <c r="G396" s="81" t="s">
        <v>202</v>
      </c>
      <c r="H396" s="81" t="s">
        <v>887</v>
      </c>
      <c r="I396" s="81" t="s">
        <v>545</v>
      </c>
      <c r="J396" s="81" t="s">
        <v>1041</v>
      </c>
      <c r="K396" s="79"/>
      <c r="L396" s="79"/>
    </row>
    <row r="397" spans="1:12">
      <c r="A397" s="81" t="s">
        <v>839</v>
      </c>
      <c r="B397" s="81" t="s">
        <v>205</v>
      </c>
      <c r="C397" s="81" t="s">
        <v>203</v>
      </c>
      <c r="D397" s="81" t="s">
        <v>969</v>
      </c>
      <c r="E397" s="81">
        <v>2</v>
      </c>
      <c r="F397" s="81">
        <v>2</v>
      </c>
      <c r="G397" s="81" t="s">
        <v>202</v>
      </c>
      <c r="H397" s="81" t="s">
        <v>887</v>
      </c>
      <c r="I397" s="81" t="s">
        <v>545</v>
      </c>
      <c r="J397" s="81" t="s">
        <v>1041</v>
      </c>
      <c r="K397" s="79"/>
      <c r="L397" s="79"/>
    </row>
    <row r="398" spans="1:12">
      <c r="A398" s="81" t="s">
        <v>842</v>
      </c>
      <c r="B398" s="81" t="s">
        <v>205</v>
      </c>
      <c r="C398" s="81" t="s">
        <v>203</v>
      </c>
      <c r="D398" s="81" t="s">
        <v>970</v>
      </c>
      <c r="E398" s="81">
        <v>3</v>
      </c>
      <c r="F398" s="81">
        <v>2</v>
      </c>
      <c r="G398" s="81" t="s">
        <v>200</v>
      </c>
      <c r="H398" s="81" t="s">
        <v>887</v>
      </c>
      <c r="I398" s="81" t="s">
        <v>545</v>
      </c>
      <c r="J398" s="81" t="s">
        <v>1047</v>
      </c>
      <c r="K398" s="79"/>
      <c r="L398" s="79"/>
    </row>
    <row r="399" spans="1:12">
      <c r="A399" s="81" t="s">
        <v>844</v>
      </c>
      <c r="B399" s="81" t="s">
        <v>205</v>
      </c>
      <c r="C399" s="81" t="s">
        <v>203</v>
      </c>
      <c r="D399" s="81" t="s">
        <v>971</v>
      </c>
      <c r="E399" s="81">
        <v>2</v>
      </c>
      <c r="F399" s="81">
        <v>2</v>
      </c>
      <c r="G399" s="81" t="s">
        <v>202</v>
      </c>
      <c r="H399" s="81" t="s">
        <v>887</v>
      </c>
      <c r="I399" s="81" t="s">
        <v>545</v>
      </c>
      <c r="J399" s="81" t="s">
        <v>1041</v>
      </c>
      <c r="K399" s="79"/>
      <c r="L399" s="79"/>
    </row>
    <row r="400" spans="1:12">
      <c r="A400" s="81" t="s">
        <v>845</v>
      </c>
      <c r="B400" s="81" t="s">
        <v>205</v>
      </c>
      <c r="C400" s="81" t="s">
        <v>203</v>
      </c>
      <c r="D400" s="81" t="s">
        <v>972</v>
      </c>
      <c r="E400" s="81">
        <v>2</v>
      </c>
      <c r="F400" s="81">
        <v>2</v>
      </c>
      <c r="G400" s="81" t="s">
        <v>202</v>
      </c>
      <c r="H400" s="81" t="s">
        <v>887</v>
      </c>
      <c r="I400" s="81" t="s">
        <v>545</v>
      </c>
      <c r="J400" s="81" t="s">
        <v>1041</v>
      </c>
      <c r="K400" s="79"/>
      <c r="L400" s="79"/>
    </row>
    <row r="401" spans="1:12">
      <c r="A401" s="81" t="s">
        <v>847</v>
      </c>
      <c r="B401" s="81" t="s">
        <v>205</v>
      </c>
      <c r="C401" s="81" t="s">
        <v>203</v>
      </c>
      <c r="D401" s="81" t="s">
        <v>972</v>
      </c>
      <c r="E401" s="81">
        <v>2</v>
      </c>
      <c r="F401" s="81">
        <v>2</v>
      </c>
      <c r="G401" s="81" t="s">
        <v>202</v>
      </c>
      <c r="H401" s="81" t="s">
        <v>887</v>
      </c>
      <c r="I401" s="81" t="s">
        <v>545</v>
      </c>
      <c r="J401" s="81" t="s">
        <v>1041</v>
      </c>
      <c r="K401" s="79"/>
      <c r="L401" s="79"/>
    </row>
    <row r="402" spans="1:12">
      <c r="A402" s="81" t="s">
        <v>849</v>
      </c>
      <c r="B402" s="81" t="s">
        <v>205</v>
      </c>
      <c r="C402" s="81" t="s">
        <v>203</v>
      </c>
      <c r="D402" s="81" t="s">
        <v>973</v>
      </c>
      <c r="E402" s="81">
        <v>3</v>
      </c>
      <c r="F402" s="81">
        <v>2</v>
      </c>
      <c r="G402" s="81" t="s">
        <v>200</v>
      </c>
      <c r="H402" s="81" t="s">
        <v>887</v>
      </c>
      <c r="I402" s="81" t="s">
        <v>545</v>
      </c>
      <c r="J402" s="81" t="s">
        <v>1047</v>
      </c>
      <c r="K402" s="79"/>
      <c r="L402" s="79"/>
    </row>
    <row r="403" spans="1:12">
      <c r="A403" s="81" t="s">
        <v>851</v>
      </c>
      <c r="B403" s="81" t="s">
        <v>205</v>
      </c>
      <c r="C403" s="81" t="s">
        <v>203</v>
      </c>
      <c r="D403" s="81" t="s">
        <v>974</v>
      </c>
      <c r="E403" s="81">
        <v>2</v>
      </c>
      <c r="F403" s="81">
        <v>2</v>
      </c>
      <c r="G403" s="81" t="s">
        <v>202</v>
      </c>
      <c r="H403" s="81" t="s">
        <v>887</v>
      </c>
      <c r="I403" s="81" t="s">
        <v>545</v>
      </c>
      <c r="J403" s="81" t="s">
        <v>1041</v>
      </c>
      <c r="K403" s="79"/>
      <c r="L403" s="79"/>
    </row>
    <row r="404" spans="1:12">
      <c r="A404" s="81" t="s">
        <v>852</v>
      </c>
      <c r="B404" s="81" t="s">
        <v>205</v>
      </c>
      <c r="C404" s="81" t="s">
        <v>203</v>
      </c>
      <c r="D404" s="81" t="s">
        <v>975</v>
      </c>
      <c r="E404" s="81">
        <v>2</v>
      </c>
      <c r="F404" s="81">
        <v>2</v>
      </c>
      <c r="G404" s="81" t="s">
        <v>202</v>
      </c>
      <c r="H404" s="81" t="s">
        <v>887</v>
      </c>
      <c r="I404" s="81" t="s">
        <v>545</v>
      </c>
      <c r="J404" s="81" t="s">
        <v>1041</v>
      </c>
      <c r="K404" s="79"/>
      <c r="L404" s="79"/>
    </row>
    <row r="405" spans="1:12">
      <c r="A405" s="81" t="s">
        <v>854</v>
      </c>
      <c r="B405" s="81" t="s">
        <v>205</v>
      </c>
      <c r="C405" s="81" t="s">
        <v>203</v>
      </c>
      <c r="D405" s="81" t="s">
        <v>976</v>
      </c>
      <c r="E405" s="81">
        <v>2</v>
      </c>
      <c r="F405" s="81">
        <v>2</v>
      </c>
      <c r="G405" s="81" t="s">
        <v>202</v>
      </c>
      <c r="H405" s="81" t="s">
        <v>887</v>
      </c>
      <c r="I405" s="81" t="s">
        <v>545</v>
      </c>
      <c r="J405" s="81" t="s">
        <v>1041</v>
      </c>
      <c r="K405" s="79"/>
      <c r="L405" s="79"/>
    </row>
    <row r="406" spans="1:12">
      <c r="A406" s="81" t="s">
        <v>855</v>
      </c>
      <c r="B406" s="81" t="s">
        <v>205</v>
      </c>
      <c r="C406" s="81" t="s">
        <v>203</v>
      </c>
      <c r="D406" s="81" t="s">
        <v>977</v>
      </c>
      <c r="E406" s="81">
        <v>2</v>
      </c>
      <c r="F406" s="81">
        <v>2</v>
      </c>
      <c r="G406" s="81" t="s">
        <v>202</v>
      </c>
      <c r="H406" s="81" t="s">
        <v>887</v>
      </c>
      <c r="I406" s="81" t="s">
        <v>545</v>
      </c>
      <c r="J406" s="81" t="s">
        <v>1041</v>
      </c>
      <c r="K406" s="79"/>
      <c r="L406" s="79"/>
    </row>
    <row r="407" spans="1:12">
      <c r="A407" s="81" t="s">
        <v>857</v>
      </c>
      <c r="B407" s="81" t="s">
        <v>205</v>
      </c>
      <c r="C407" s="81" t="s">
        <v>203</v>
      </c>
      <c r="D407" s="81" t="s">
        <v>978</v>
      </c>
      <c r="E407" s="81">
        <v>3</v>
      </c>
      <c r="F407" s="81">
        <v>2</v>
      </c>
      <c r="G407" s="81" t="s">
        <v>200</v>
      </c>
      <c r="H407" s="81" t="s">
        <v>887</v>
      </c>
      <c r="I407" s="81" t="s">
        <v>545</v>
      </c>
      <c r="J407" s="81" t="s">
        <v>1047</v>
      </c>
      <c r="K407" s="79"/>
      <c r="L407" s="79"/>
    </row>
    <row r="408" spans="1:12">
      <c r="A408" s="81" t="s">
        <v>860</v>
      </c>
      <c r="B408" s="81" t="s">
        <v>205</v>
      </c>
      <c r="C408" s="81" t="s">
        <v>203</v>
      </c>
      <c r="D408" s="81" t="s">
        <v>979</v>
      </c>
      <c r="E408" s="81">
        <v>2</v>
      </c>
      <c r="F408" s="81">
        <v>2</v>
      </c>
      <c r="G408" s="81" t="s">
        <v>202</v>
      </c>
      <c r="H408" s="81" t="s">
        <v>887</v>
      </c>
      <c r="I408" s="81" t="s">
        <v>545</v>
      </c>
      <c r="J408" s="81" t="s">
        <v>1041</v>
      </c>
      <c r="K408" s="79"/>
      <c r="L408" s="79"/>
    </row>
    <row r="409" spans="1:12">
      <c r="A409" s="81" t="s">
        <v>862</v>
      </c>
      <c r="B409" s="81" t="s">
        <v>205</v>
      </c>
      <c r="C409" s="81" t="s">
        <v>203</v>
      </c>
      <c r="D409" s="81" t="s">
        <v>980</v>
      </c>
      <c r="E409" s="81">
        <v>2</v>
      </c>
      <c r="F409" s="81">
        <v>2</v>
      </c>
      <c r="G409" s="81" t="s">
        <v>202</v>
      </c>
      <c r="H409" s="81" t="s">
        <v>887</v>
      </c>
      <c r="I409" s="81" t="s">
        <v>545</v>
      </c>
      <c r="J409" s="81" t="s">
        <v>1041</v>
      </c>
      <c r="K409" s="79"/>
      <c r="L409" s="79"/>
    </row>
    <row r="410" spans="1:12">
      <c r="A410" s="81" t="s">
        <v>864</v>
      </c>
      <c r="B410" s="81" t="s">
        <v>205</v>
      </c>
      <c r="C410" s="81" t="s">
        <v>203</v>
      </c>
      <c r="D410" s="81" t="s">
        <v>979</v>
      </c>
      <c r="E410" s="81">
        <v>2</v>
      </c>
      <c r="F410" s="81">
        <v>2</v>
      </c>
      <c r="G410" s="81" t="s">
        <v>202</v>
      </c>
      <c r="H410" s="81" t="s">
        <v>887</v>
      </c>
      <c r="I410" s="81" t="s">
        <v>545</v>
      </c>
      <c r="J410" s="81" t="s">
        <v>1041</v>
      </c>
      <c r="K410" s="79"/>
      <c r="L410" s="79"/>
    </row>
    <row r="411" spans="1:12">
      <c r="A411" s="81" t="s">
        <v>866</v>
      </c>
      <c r="B411" s="81" t="s">
        <v>205</v>
      </c>
      <c r="C411" s="81" t="s">
        <v>203</v>
      </c>
      <c r="D411" s="81" t="s">
        <v>980</v>
      </c>
      <c r="E411" s="81">
        <v>2</v>
      </c>
      <c r="F411" s="81">
        <v>2</v>
      </c>
      <c r="G411" s="81" t="s">
        <v>202</v>
      </c>
      <c r="H411" s="81" t="s">
        <v>887</v>
      </c>
      <c r="I411" s="81" t="s">
        <v>545</v>
      </c>
      <c r="J411" s="81" t="s">
        <v>1041</v>
      </c>
      <c r="K411" s="79"/>
      <c r="L411" s="79"/>
    </row>
    <row r="412" spans="1:12">
      <c r="A412" s="81" t="s">
        <v>868</v>
      </c>
      <c r="B412" s="81" t="s">
        <v>205</v>
      </c>
      <c r="C412" s="81" t="s">
        <v>203</v>
      </c>
      <c r="D412" s="81" t="s">
        <v>981</v>
      </c>
      <c r="E412" s="81">
        <v>3</v>
      </c>
      <c r="F412" s="81">
        <v>2</v>
      </c>
      <c r="G412" s="81" t="s">
        <v>200</v>
      </c>
      <c r="H412" s="81" t="s">
        <v>887</v>
      </c>
      <c r="I412" s="81" t="s">
        <v>545</v>
      </c>
      <c r="J412" s="81" t="s">
        <v>1047</v>
      </c>
      <c r="K412" s="79"/>
      <c r="L412" s="79"/>
    </row>
    <row r="413" spans="1:12">
      <c r="A413" s="81" t="s">
        <v>870</v>
      </c>
      <c r="B413" s="81" t="s">
        <v>205</v>
      </c>
      <c r="C413" s="81" t="s">
        <v>205</v>
      </c>
      <c r="D413" s="81" t="s">
        <v>982</v>
      </c>
      <c r="E413" s="81">
        <v>2</v>
      </c>
      <c r="F413" s="81">
        <v>2</v>
      </c>
      <c r="G413" s="81" t="s">
        <v>202</v>
      </c>
      <c r="H413" s="81" t="s">
        <v>887</v>
      </c>
      <c r="I413" s="81" t="s">
        <v>545</v>
      </c>
      <c r="J413" s="81" t="s">
        <v>1041</v>
      </c>
      <c r="K413" s="79"/>
      <c r="L413" s="79"/>
    </row>
    <row r="414" spans="1:12">
      <c r="A414" s="81" t="s">
        <v>872</v>
      </c>
      <c r="B414" s="81" t="s">
        <v>205</v>
      </c>
      <c r="C414" s="81" t="s">
        <v>205</v>
      </c>
      <c r="D414" s="81" t="s">
        <v>982</v>
      </c>
      <c r="E414" s="81">
        <v>2</v>
      </c>
      <c r="F414" s="81">
        <v>2</v>
      </c>
      <c r="G414" s="81" t="s">
        <v>202</v>
      </c>
      <c r="H414" s="81" t="s">
        <v>887</v>
      </c>
      <c r="I414" s="81" t="s">
        <v>545</v>
      </c>
      <c r="J414" s="81" t="s">
        <v>1041</v>
      </c>
      <c r="K414" s="79"/>
      <c r="L414" s="79"/>
    </row>
    <row r="415" spans="1:12">
      <c r="A415" s="81" t="s">
        <v>874</v>
      </c>
      <c r="B415" s="81" t="s">
        <v>205</v>
      </c>
      <c r="C415" s="81" t="s">
        <v>205</v>
      </c>
      <c r="D415" s="81" t="s">
        <v>982</v>
      </c>
      <c r="E415" s="81">
        <v>2</v>
      </c>
      <c r="F415" s="81">
        <v>2</v>
      </c>
      <c r="G415" s="81" t="s">
        <v>202</v>
      </c>
      <c r="H415" s="81" t="s">
        <v>887</v>
      </c>
      <c r="I415" s="81" t="s">
        <v>545</v>
      </c>
      <c r="J415" s="81" t="s">
        <v>1041</v>
      </c>
      <c r="K415" s="79"/>
      <c r="L415" s="79"/>
    </row>
    <row r="416" spans="1:12">
      <c r="A416" s="81" t="s">
        <v>876</v>
      </c>
      <c r="B416" s="81" t="s">
        <v>205</v>
      </c>
      <c r="C416" s="81" t="s">
        <v>205</v>
      </c>
      <c r="D416" s="81" t="s">
        <v>983</v>
      </c>
      <c r="E416" s="81">
        <v>3</v>
      </c>
      <c r="F416" s="81">
        <v>2</v>
      </c>
      <c r="G416" s="81" t="s">
        <v>200</v>
      </c>
      <c r="H416" s="81" t="s">
        <v>887</v>
      </c>
      <c r="I416" s="81" t="s">
        <v>545</v>
      </c>
      <c r="J416" s="81" t="s">
        <v>1047</v>
      </c>
      <c r="K416" s="79"/>
      <c r="L416" s="79"/>
    </row>
  </sheetData>
  <mergeCells count="1">
    <mergeCell ref="A1:L1"/>
  </mergeCells>
  <conditionalFormatting sqref="G4:G416">
    <cfRule type="expression" dxfId="12" priority="1">
      <formula>$G4="Extreme High"</formula>
    </cfRule>
    <cfRule type="expression" dxfId="13" priority="2">
      <formula>$G4="High"</formula>
    </cfRule>
    <cfRule type="expression" dxfId="8" priority="3">
      <formula>$G4="Medium"</formula>
    </cfRule>
    <cfRule type="expression" dxfId="6" priority="4">
      <formula>$G4="Low"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6"/>
  <sheetViews>
    <sheetView showGridLines="0" workbookViewId="0">
      <selection activeCell="A1" sqref="A1:N1"/>
    </sheetView>
  </sheetViews>
  <sheetFormatPr defaultColWidth="9" defaultRowHeight="14.5"/>
  <cols>
    <col min="1" max="1" width="24" customWidth="1"/>
    <col min="2" max="2" width="12" customWidth="1"/>
    <col min="3" max="3" width="13" customWidth="1"/>
    <col min="4" max="4" width="44" customWidth="1"/>
    <col min="5" max="5" width="14" customWidth="1"/>
    <col min="6" max="6" width="18" customWidth="1"/>
    <col min="7" max="7" width="15" customWidth="1"/>
    <col min="8" max="8" width="42" customWidth="1"/>
    <col min="9" max="10" width="44" customWidth="1"/>
    <col min="11" max="14" width="10" customWidth="1"/>
  </cols>
  <sheetData>
    <row r="1" ht="21" spans="1:14">
      <c r="A1" s="78" t="s">
        <v>1051</v>
      </c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>
      <c r="A3" s="80" t="s">
        <v>72</v>
      </c>
      <c r="B3" s="80" t="s">
        <v>76</v>
      </c>
      <c r="C3" s="80" t="s">
        <v>84</v>
      </c>
      <c r="D3" s="80" t="s">
        <v>74</v>
      </c>
      <c r="E3" s="80" t="s">
        <v>102</v>
      </c>
      <c r="F3" s="80" t="s">
        <v>1052</v>
      </c>
      <c r="G3" s="80" t="s">
        <v>1053</v>
      </c>
      <c r="H3" s="80" t="s">
        <v>1054</v>
      </c>
      <c r="I3" s="80" t="s">
        <v>1055</v>
      </c>
      <c r="J3" s="80" t="s">
        <v>1056</v>
      </c>
      <c r="K3" s="79"/>
      <c r="L3" s="79"/>
      <c r="M3" s="79"/>
      <c r="N3" s="79"/>
    </row>
    <row r="4" ht="26" spans="1:14">
      <c r="A4" s="81" t="s">
        <v>236</v>
      </c>
      <c r="B4" s="81" t="s">
        <v>77</v>
      </c>
      <c r="C4" s="81" t="s">
        <v>85</v>
      </c>
      <c r="D4" s="81" t="s">
        <v>883</v>
      </c>
      <c r="E4" s="81" t="s">
        <v>199</v>
      </c>
      <c r="F4" s="81">
        <v>4</v>
      </c>
      <c r="G4" s="81">
        <v>0.5</v>
      </c>
      <c r="H4" s="81" t="s">
        <v>1001</v>
      </c>
      <c r="I4" s="81" t="s">
        <v>1057</v>
      </c>
      <c r="J4" s="81" t="s">
        <v>1000</v>
      </c>
      <c r="K4" s="79"/>
      <c r="L4" s="79"/>
      <c r="M4" s="79"/>
      <c r="N4" s="79"/>
    </row>
    <row r="5" ht="26" spans="1:14">
      <c r="A5" s="81" t="s">
        <v>244</v>
      </c>
      <c r="B5" s="81" t="s">
        <v>77</v>
      </c>
      <c r="C5" s="81" t="s">
        <v>85</v>
      </c>
      <c r="D5" s="81" t="s">
        <v>883</v>
      </c>
      <c r="E5" s="81" t="s">
        <v>199</v>
      </c>
      <c r="F5" s="81">
        <v>4</v>
      </c>
      <c r="G5" s="81">
        <v>0.5</v>
      </c>
      <c r="H5" s="81" t="s">
        <v>1001</v>
      </c>
      <c r="I5" s="81" t="s">
        <v>1057</v>
      </c>
      <c r="J5" s="81" t="s">
        <v>1000</v>
      </c>
      <c r="K5" s="79"/>
      <c r="L5" s="79"/>
      <c r="M5" s="79"/>
      <c r="N5" s="79"/>
    </row>
    <row r="6" ht="26" spans="1:14">
      <c r="A6" s="81" t="s">
        <v>247</v>
      </c>
      <c r="B6" s="81" t="s">
        <v>77</v>
      </c>
      <c r="C6" s="81" t="s">
        <v>85</v>
      </c>
      <c r="D6" s="81" t="s">
        <v>883</v>
      </c>
      <c r="E6" s="81" t="s">
        <v>199</v>
      </c>
      <c r="F6" s="81">
        <v>4</v>
      </c>
      <c r="G6" s="81">
        <v>0.5</v>
      </c>
      <c r="H6" s="81" t="s">
        <v>1001</v>
      </c>
      <c r="I6" s="81" t="s">
        <v>1057</v>
      </c>
      <c r="J6" s="81" t="s">
        <v>1000</v>
      </c>
      <c r="K6" s="79"/>
      <c r="L6" s="79"/>
      <c r="M6" s="79"/>
      <c r="N6" s="79"/>
    </row>
    <row r="7" ht="26" spans="1:14">
      <c r="A7" s="81" t="s">
        <v>250</v>
      </c>
      <c r="B7" s="81" t="s">
        <v>77</v>
      </c>
      <c r="C7" s="81" t="s">
        <v>85</v>
      </c>
      <c r="D7" s="81" t="s">
        <v>883</v>
      </c>
      <c r="E7" s="81" t="s">
        <v>199</v>
      </c>
      <c r="F7" s="81">
        <v>4</v>
      </c>
      <c r="G7" s="81">
        <v>0.5</v>
      </c>
      <c r="H7" s="81" t="s">
        <v>1001</v>
      </c>
      <c r="I7" s="81" t="s">
        <v>1057</v>
      </c>
      <c r="J7" s="81" t="s">
        <v>1000</v>
      </c>
      <c r="K7" s="79"/>
      <c r="L7" s="79"/>
      <c r="M7" s="79"/>
      <c r="N7" s="79"/>
    </row>
    <row r="8" ht="26" spans="1:14">
      <c r="A8" s="81" t="s">
        <v>255</v>
      </c>
      <c r="B8" s="81" t="s">
        <v>77</v>
      </c>
      <c r="C8" s="81" t="s">
        <v>85</v>
      </c>
      <c r="D8" s="81" t="s">
        <v>883</v>
      </c>
      <c r="E8" s="81" t="s">
        <v>199</v>
      </c>
      <c r="F8" s="81">
        <v>4</v>
      </c>
      <c r="G8" s="81">
        <v>0.5</v>
      </c>
      <c r="H8" s="81" t="s">
        <v>1001</v>
      </c>
      <c r="I8" s="81" t="s">
        <v>1057</v>
      </c>
      <c r="J8" s="81" t="s">
        <v>1000</v>
      </c>
      <c r="K8" s="79"/>
      <c r="L8" s="79"/>
      <c r="M8" s="79"/>
      <c r="N8" s="79"/>
    </row>
    <row r="9" ht="26" spans="1:14">
      <c r="A9" s="81" t="s">
        <v>258</v>
      </c>
      <c r="B9" s="81" t="s">
        <v>77</v>
      </c>
      <c r="C9" s="81" t="s">
        <v>85</v>
      </c>
      <c r="D9" s="81" t="s">
        <v>883</v>
      </c>
      <c r="E9" s="81" t="s">
        <v>199</v>
      </c>
      <c r="F9" s="81">
        <v>4</v>
      </c>
      <c r="G9" s="81">
        <v>0.5</v>
      </c>
      <c r="H9" s="81" t="s">
        <v>1001</v>
      </c>
      <c r="I9" s="81" t="s">
        <v>1057</v>
      </c>
      <c r="J9" s="81" t="s">
        <v>1000</v>
      </c>
      <c r="K9" s="79"/>
      <c r="L9" s="79"/>
      <c r="M9" s="79"/>
      <c r="N9" s="79"/>
    </row>
    <row r="10" ht="26" spans="1:14">
      <c r="A10" s="81" t="s">
        <v>259</v>
      </c>
      <c r="B10" s="81" t="s">
        <v>77</v>
      </c>
      <c r="C10" s="81" t="s">
        <v>85</v>
      </c>
      <c r="D10" s="81" t="s">
        <v>885</v>
      </c>
      <c r="E10" s="81" t="s">
        <v>200</v>
      </c>
      <c r="F10" s="81">
        <v>4</v>
      </c>
      <c r="G10" s="81">
        <v>0.5</v>
      </c>
      <c r="H10" s="81" t="s">
        <v>1006</v>
      </c>
      <c r="I10" s="81" t="s">
        <v>1057</v>
      </c>
      <c r="J10" s="81" t="s">
        <v>1005</v>
      </c>
      <c r="K10" s="79"/>
      <c r="L10" s="79"/>
      <c r="M10" s="79"/>
      <c r="N10" s="79"/>
    </row>
    <row r="11" ht="26" spans="1:14">
      <c r="A11" s="81" t="s">
        <v>261</v>
      </c>
      <c r="B11" s="81" t="s">
        <v>77</v>
      </c>
      <c r="C11" s="81" t="s">
        <v>85</v>
      </c>
      <c r="D11" s="81" t="s">
        <v>885</v>
      </c>
      <c r="E11" s="81" t="s">
        <v>200</v>
      </c>
      <c r="F11" s="81">
        <v>4</v>
      </c>
      <c r="G11" s="81">
        <v>0.5</v>
      </c>
      <c r="H11" s="81" t="s">
        <v>1006</v>
      </c>
      <c r="I11" s="81" t="s">
        <v>1057</v>
      </c>
      <c r="J11" s="81" t="s">
        <v>1005</v>
      </c>
      <c r="K11" s="79"/>
      <c r="L11" s="79"/>
      <c r="M11" s="79"/>
      <c r="N11" s="79"/>
    </row>
    <row r="12" ht="26" spans="1:14">
      <c r="A12" s="81" t="s">
        <v>262</v>
      </c>
      <c r="B12" s="81" t="s">
        <v>77</v>
      </c>
      <c r="C12" s="81" t="s">
        <v>85</v>
      </c>
      <c r="D12" s="81" t="s">
        <v>885</v>
      </c>
      <c r="E12" s="81" t="s">
        <v>200</v>
      </c>
      <c r="F12" s="81">
        <v>4</v>
      </c>
      <c r="G12" s="81">
        <v>0.5</v>
      </c>
      <c r="H12" s="81" t="s">
        <v>1006</v>
      </c>
      <c r="I12" s="81" t="s">
        <v>1057</v>
      </c>
      <c r="J12" s="81" t="s">
        <v>1005</v>
      </c>
      <c r="K12" s="79"/>
      <c r="L12" s="79"/>
      <c r="M12" s="79"/>
      <c r="N12" s="79"/>
    </row>
    <row r="13" ht="26" spans="1:14">
      <c r="A13" s="81" t="s">
        <v>263</v>
      </c>
      <c r="B13" s="81" t="s">
        <v>77</v>
      </c>
      <c r="C13" s="81" t="s">
        <v>85</v>
      </c>
      <c r="D13" s="81" t="s">
        <v>885</v>
      </c>
      <c r="E13" s="81" t="s">
        <v>200</v>
      </c>
      <c r="F13" s="81">
        <v>4</v>
      </c>
      <c r="G13" s="81">
        <v>0.5</v>
      </c>
      <c r="H13" s="81" t="s">
        <v>1006</v>
      </c>
      <c r="I13" s="81" t="s">
        <v>1057</v>
      </c>
      <c r="J13" s="81" t="s">
        <v>1005</v>
      </c>
      <c r="K13" s="79"/>
      <c r="L13" s="79"/>
      <c r="M13" s="79"/>
      <c r="N13" s="79"/>
    </row>
    <row r="14" ht="26" spans="1:14">
      <c r="A14" s="81" t="s">
        <v>264</v>
      </c>
      <c r="B14" s="81" t="s">
        <v>77</v>
      </c>
      <c r="C14" s="81" t="s">
        <v>85</v>
      </c>
      <c r="D14" s="81" t="s">
        <v>885</v>
      </c>
      <c r="E14" s="81" t="s">
        <v>200</v>
      </c>
      <c r="F14" s="81">
        <v>4</v>
      </c>
      <c r="G14" s="81">
        <v>0.5</v>
      </c>
      <c r="H14" s="81" t="s">
        <v>1006</v>
      </c>
      <c r="I14" s="81" t="s">
        <v>1057</v>
      </c>
      <c r="J14" s="81" t="s">
        <v>1005</v>
      </c>
      <c r="K14" s="79"/>
      <c r="L14" s="79"/>
      <c r="M14" s="79"/>
      <c r="N14" s="79"/>
    </row>
    <row r="15" ht="26" spans="1:14">
      <c r="A15" s="81" t="s">
        <v>265</v>
      </c>
      <c r="B15" s="81" t="s">
        <v>77</v>
      </c>
      <c r="C15" s="81" t="s">
        <v>85</v>
      </c>
      <c r="D15" s="81" t="s">
        <v>885</v>
      </c>
      <c r="E15" s="81" t="s">
        <v>200</v>
      </c>
      <c r="F15" s="81">
        <v>4</v>
      </c>
      <c r="G15" s="81">
        <v>0.5</v>
      </c>
      <c r="H15" s="81" t="s">
        <v>1006</v>
      </c>
      <c r="I15" s="81" t="s">
        <v>1057</v>
      </c>
      <c r="J15" s="81" t="s">
        <v>1005</v>
      </c>
      <c r="K15" s="79"/>
      <c r="L15" s="79"/>
      <c r="M15" s="79"/>
      <c r="N15" s="79"/>
    </row>
    <row r="16" ht="26" spans="1:14">
      <c r="A16" s="81" t="s">
        <v>266</v>
      </c>
      <c r="B16" s="81" t="s">
        <v>77</v>
      </c>
      <c r="C16" s="81" t="s">
        <v>85</v>
      </c>
      <c r="D16" s="81" t="s">
        <v>885</v>
      </c>
      <c r="E16" s="81" t="s">
        <v>200</v>
      </c>
      <c r="F16" s="81">
        <v>4</v>
      </c>
      <c r="G16" s="81">
        <v>0.5</v>
      </c>
      <c r="H16" s="81" t="s">
        <v>1006</v>
      </c>
      <c r="I16" s="81" t="s">
        <v>1057</v>
      </c>
      <c r="J16" s="81" t="s">
        <v>1005</v>
      </c>
      <c r="K16" s="79"/>
      <c r="L16" s="79"/>
      <c r="M16" s="79"/>
      <c r="N16" s="79"/>
    </row>
    <row r="17" ht="26" spans="1:14">
      <c r="A17" s="81" t="s">
        <v>268</v>
      </c>
      <c r="B17" s="81" t="s">
        <v>77</v>
      </c>
      <c r="C17" s="81" t="s">
        <v>85</v>
      </c>
      <c r="D17" s="81" t="s">
        <v>885</v>
      </c>
      <c r="E17" s="81" t="s">
        <v>200</v>
      </c>
      <c r="F17" s="81">
        <v>4</v>
      </c>
      <c r="G17" s="81">
        <v>0.5</v>
      </c>
      <c r="H17" s="81" t="s">
        <v>1006</v>
      </c>
      <c r="I17" s="81" t="s">
        <v>1057</v>
      </c>
      <c r="J17" s="81" t="s">
        <v>1005</v>
      </c>
      <c r="K17" s="79"/>
      <c r="L17" s="79"/>
      <c r="M17" s="79"/>
      <c r="N17" s="79"/>
    </row>
    <row r="18" ht="26" spans="1:14">
      <c r="A18" s="81" t="s">
        <v>269</v>
      </c>
      <c r="B18" s="81" t="s">
        <v>77</v>
      </c>
      <c r="C18" s="81" t="s">
        <v>85</v>
      </c>
      <c r="D18" s="81" t="s">
        <v>885</v>
      </c>
      <c r="E18" s="81" t="s">
        <v>200</v>
      </c>
      <c r="F18" s="81">
        <v>4</v>
      </c>
      <c r="G18" s="81">
        <v>0.5</v>
      </c>
      <c r="H18" s="81" t="s">
        <v>1006</v>
      </c>
      <c r="I18" s="81" t="s">
        <v>1057</v>
      </c>
      <c r="J18" s="81" t="s">
        <v>1005</v>
      </c>
      <c r="K18" s="79"/>
      <c r="L18" s="79"/>
      <c r="M18" s="79"/>
      <c r="N18" s="79"/>
    </row>
    <row r="19" ht="26" spans="1:14">
      <c r="A19" s="81" t="s">
        <v>270</v>
      </c>
      <c r="B19" s="81" t="s">
        <v>77</v>
      </c>
      <c r="C19" s="81" t="s">
        <v>85</v>
      </c>
      <c r="D19" s="81" t="s">
        <v>885</v>
      </c>
      <c r="E19" s="81" t="s">
        <v>200</v>
      </c>
      <c r="F19" s="81">
        <v>4</v>
      </c>
      <c r="G19" s="81">
        <v>0.5</v>
      </c>
      <c r="H19" s="81" t="s">
        <v>1006</v>
      </c>
      <c r="I19" s="81" t="s">
        <v>1057</v>
      </c>
      <c r="J19" s="81" t="s">
        <v>1005</v>
      </c>
      <c r="K19" s="79"/>
      <c r="L19" s="79"/>
      <c r="M19" s="79"/>
      <c r="N19" s="79"/>
    </row>
    <row r="20" ht="26" spans="1:14">
      <c r="A20" s="81" t="s">
        <v>271</v>
      </c>
      <c r="B20" s="81" t="s">
        <v>77</v>
      </c>
      <c r="C20" s="81" t="s">
        <v>85</v>
      </c>
      <c r="D20" s="81" t="s">
        <v>885</v>
      </c>
      <c r="E20" s="81" t="s">
        <v>200</v>
      </c>
      <c r="F20" s="81">
        <v>4</v>
      </c>
      <c r="G20" s="81">
        <v>0.5</v>
      </c>
      <c r="H20" s="81" t="s">
        <v>1006</v>
      </c>
      <c r="I20" s="81" t="s">
        <v>1057</v>
      </c>
      <c r="J20" s="81" t="s">
        <v>1005</v>
      </c>
      <c r="K20" s="79"/>
      <c r="L20" s="79"/>
      <c r="M20" s="79"/>
      <c r="N20" s="79"/>
    </row>
    <row r="21" ht="26" spans="1:14">
      <c r="A21" s="81" t="s">
        <v>272</v>
      </c>
      <c r="B21" s="81" t="s">
        <v>77</v>
      </c>
      <c r="C21" s="81" t="s">
        <v>85</v>
      </c>
      <c r="D21" s="81" t="s">
        <v>885</v>
      </c>
      <c r="E21" s="81" t="s">
        <v>200</v>
      </c>
      <c r="F21" s="81">
        <v>4</v>
      </c>
      <c r="G21" s="81">
        <v>0.5</v>
      </c>
      <c r="H21" s="81" t="s">
        <v>1006</v>
      </c>
      <c r="I21" s="81" t="s">
        <v>1057</v>
      </c>
      <c r="J21" s="81" t="s">
        <v>1005</v>
      </c>
      <c r="K21" s="79"/>
      <c r="L21" s="79"/>
      <c r="M21" s="79"/>
      <c r="N21" s="79"/>
    </row>
    <row r="22" ht="26" spans="1:14">
      <c r="A22" s="81" t="s">
        <v>273</v>
      </c>
      <c r="B22" s="81" t="s">
        <v>77</v>
      </c>
      <c r="C22" s="81" t="s">
        <v>85</v>
      </c>
      <c r="D22" s="81" t="s">
        <v>885</v>
      </c>
      <c r="E22" s="81" t="s">
        <v>200</v>
      </c>
      <c r="F22" s="81">
        <v>4</v>
      </c>
      <c r="G22" s="81">
        <v>0.5</v>
      </c>
      <c r="H22" s="81" t="s">
        <v>1006</v>
      </c>
      <c r="I22" s="81" t="s">
        <v>1057</v>
      </c>
      <c r="J22" s="81" t="s">
        <v>1005</v>
      </c>
      <c r="K22" s="79"/>
      <c r="L22" s="79"/>
      <c r="M22" s="79"/>
      <c r="N22" s="79"/>
    </row>
    <row r="23" ht="26" spans="1:14">
      <c r="A23" s="81" t="s">
        <v>277</v>
      </c>
      <c r="B23" s="81" t="s">
        <v>77</v>
      </c>
      <c r="C23" s="81" t="s">
        <v>85</v>
      </c>
      <c r="D23" s="81" t="s">
        <v>885</v>
      </c>
      <c r="E23" s="81" t="s">
        <v>200</v>
      </c>
      <c r="F23" s="81">
        <v>4</v>
      </c>
      <c r="G23" s="81">
        <v>0.5</v>
      </c>
      <c r="H23" s="81" t="s">
        <v>1006</v>
      </c>
      <c r="I23" s="81" t="s">
        <v>1057</v>
      </c>
      <c r="J23" s="81" t="s">
        <v>1005</v>
      </c>
      <c r="K23" s="79"/>
      <c r="L23" s="79"/>
      <c r="M23" s="79"/>
      <c r="N23" s="79"/>
    </row>
    <row r="24" ht="26" spans="1:14">
      <c r="A24" s="81" t="s">
        <v>279</v>
      </c>
      <c r="B24" s="81" t="s">
        <v>77</v>
      </c>
      <c r="C24" s="81" t="s">
        <v>85</v>
      </c>
      <c r="D24" s="81" t="s">
        <v>885</v>
      </c>
      <c r="E24" s="81" t="s">
        <v>200</v>
      </c>
      <c r="F24" s="81">
        <v>4</v>
      </c>
      <c r="G24" s="81">
        <v>0.5</v>
      </c>
      <c r="H24" s="81" t="s">
        <v>1006</v>
      </c>
      <c r="I24" s="81" t="s">
        <v>1057</v>
      </c>
      <c r="J24" s="81" t="s">
        <v>1005</v>
      </c>
      <c r="K24" s="79"/>
      <c r="L24" s="79"/>
      <c r="M24" s="79"/>
      <c r="N24" s="79"/>
    </row>
    <row r="25" ht="26" spans="1:14">
      <c r="A25" s="81" t="s">
        <v>280</v>
      </c>
      <c r="B25" s="81" t="s">
        <v>77</v>
      </c>
      <c r="C25" s="81" t="s">
        <v>85</v>
      </c>
      <c r="D25" s="81" t="s">
        <v>885</v>
      </c>
      <c r="E25" s="81" t="s">
        <v>200</v>
      </c>
      <c r="F25" s="81">
        <v>4</v>
      </c>
      <c r="G25" s="81">
        <v>0.5</v>
      </c>
      <c r="H25" s="81" t="s">
        <v>1006</v>
      </c>
      <c r="I25" s="81" t="s">
        <v>1057</v>
      </c>
      <c r="J25" s="81" t="s">
        <v>1005</v>
      </c>
      <c r="K25" s="79"/>
      <c r="L25" s="79"/>
      <c r="M25" s="79"/>
      <c r="N25" s="79"/>
    </row>
    <row r="26" ht="26" spans="1:14">
      <c r="A26" s="81" t="s">
        <v>281</v>
      </c>
      <c r="B26" s="81" t="s">
        <v>77</v>
      </c>
      <c r="C26" s="81" t="s">
        <v>85</v>
      </c>
      <c r="D26" s="81" t="s">
        <v>885</v>
      </c>
      <c r="E26" s="81" t="s">
        <v>200</v>
      </c>
      <c r="F26" s="81">
        <v>4</v>
      </c>
      <c r="G26" s="81">
        <v>0.5</v>
      </c>
      <c r="H26" s="81" t="s">
        <v>1006</v>
      </c>
      <c r="I26" s="81" t="s">
        <v>1057</v>
      </c>
      <c r="J26" s="81" t="s">
        <v>1005</v>
      </c>
      <c r="K26" s="79"/>
      <c r="L26" s="79"/>
      <c r="M26" s="79"/>
      <c r="N26" s="79"/>
    </row>
    <row r="27" ht="26" spans="1:14">
      <c r="A27" s="81" t="s">
        <v>282</v>
      </c>
      <c r="B27" s="81" t="s">
        <v>77</v>
      </c>
      <c r="C27" s="81" t="s">
        <v>85</v>
      </c>
      <c r="D27" s="81" t="s">
        <v>885</v>
      </c>
      <c r="E27" s="81" t="s">
        <v>200</v>
      </c>
      <c r="F27" s="81">
        <v>4</v>
      </c>
      <c r="G27" s="81">
        <v>0.5</v>
      </c>
      <c r="H27" s="81" t="s">
        <v>1006</v>
      </c>
      <c r="I27" s="81" t="s">
        <v>1057</v>
      </c>
      <c r="J27" s="81" t="s">
        <v>1005</v>
      </c>
      <c r="K27" s="79"/>
      <c r="L27" s="79"/>
      <c r="M27" s="79"/>
      <c r="N27" s="79"/>
    </row>
    <row r="28" ht="26" spans="1:14">
      <c r="A28" s="81" t="s">
        <v>283</v>
      </c>
      <c r="B28" s="81" t="s">
        <v>77</v>
      </c>
      <c r="C28" s="81" t="s">
        <v>85</v>
      </c>
      <c r="D28" s="81" t="s">
        <v>885</v>
      </c>
      <c r="E28" s="81" t="s">
        <v>200</v>
      </c>
      <c r="F28" s="81">
        <v>4</v>
      </c>
      <c r="G28" s="81">
        <v>0.5</v>
      </c>
      <c r="H28" s="81" t="s">
        <v>1006</v>
      </c>
      <c r="I28" s="81" t="s">
        <v>1057</v>
      </c>
      <c r="J28" s="81" t="s">
        <v>1005</v>
      </c>
      <c r="K28" s="79"/>
      <c r="L28" s="79"/>
      <c r="M28" s="79"/>
      <c r="N28" s="79"/>
    </row>
    <row r="29" ht="26" spans="1:14">
      <c r="A29" s="81" t="s">
        <v>284</v>
      </c>
      <c r="B29" s="81" t="s">
        <v>77</v>
      </c>
      <c r="C29" s="81" t="s">
        <v>85</v>
      </c>
      <c r="D29" s="81" t="s">
        <v>885</v>
      </c>
      <c r="E29" s="81" t="s">
        <v>200</v>
      </c>
      <c r="F29" s="81">
        <v>4</v>
      </c>
      <c r="G29" s="81">
        <v>0.5</v>
      </c>
      <c r="H29" s="81" t="s">
        <v>1006</v>
      </c>
      <c r="I29" s="81" t="s">
        <v>1057</v>
      </c>
      <c r="J29" s="81" t="s">
        <v>1005</v>
      </c>
      <c r="K29" s="79"/>
      <c r="L29" s="79"/>
      <c r="M29" s="79"/>
      <c r="N29" s="79"/>
    </row>
    <row r="30" ht="26" spans="1:14">
      <c r="A30" s="81" t="s">
        <v>287</v>
      </c>
      <c r="B30" s="81" t="s">
        <v>77</v>
      </c>
      <c r="C30" s="81" t="s">
        <v>85</v>
      </c>
      <c r="D30" s="81" t="s">
        <v>885</v>
      </c>
      <c r="E30" s="81" t="s">
        <v>200</v>
      </c>
      <c r="F30" s="81">
        <v>4</v>
      </c>
      <c r="G30" s="81">
        <v>0.5</v>
      </c>
      <c r="H30" s="81" t="s">
        <v>1006</v>
      </c>
      <c r="I30" s="81" t="s">
        <v>1057</v>
      </c>
      <c r="J30" s="81" t="s">
        <v>1005</v>
      </c>
      <c r="K30" s="79"/>
      <c r="L30" s="79"/>
      <c r="M30" s="79"/>
      <c r="N30" s="79"/>
    </row>
    <row r="31" ht="26" spans="1:14">
      <c r="A31" s="81" t="s">
        <v>288</v>
      </c>
      <c r="B31" s="81" t="s">
        <v>77</v>
      </c>
      <c r="C31" s="81" t="s">
        <v>85</v>
      </c>
      <c r="D31" s="81" t="s">
        <v>885</v>
      </c>
      <c r="E31" s="81" t="s">
        <v>200</v>
      </c>
      <c r="F31" s="81">
        <v>4</v>
      </c>
      <c r="G31" s="81">
        <v>0.5</v>
      </c>
      <c r="H31" s="81" t="s">
        <v>1006</v>
      </c>
      <c r="I31" s="81" t="s">
        <v>1057</v>
      </c>
      <c r="J31" s="81" t="s">
        <v>1005</v>
      </c>
      <c r="K31" s="79"/>
      <c r="L31" s="79"/>
      <c r="M31" s="79"/>
      <c r="N31" s="79"/>
    </row>
    <row r="32" ht="26" spans="1:14">
      <c r="A32" s="81" t="s">
        <v>289</v>
      </c>
      <c r="B32" s="81" t="s">
        <v>77</v>
      </c>
      <c r="C32" s="81" t="s">
        <v>85</v>
      </c>
      <c r="D32" s="81" t="s">
        <v>885</v>
      </c>
      <c r="E32" s="81" t="s">
        <v>200</v>
      </c>
      <c r="F32" s="81">
        <v>4</v>
      </c>
      <c r="G32" s="81">
        <v>0.5</v>
      </c>
      <c r="H32" s="81" t="s">
        <v>1006</v>
      </c>
      <c r="I32" s="81" t="s">
        <v>1057</v>
      </c>
      <c r="J32" s="81" t="s">
        <v>1005</v>
      </c>
      <c r="K32" s="79"/>
      <c r="L32" s="79"/>
      <c r="M32" s="79"/>
      <c r="N32" s="79"/>
    </row>
    <row r="33" ht="26" spans="1:14">
      <c r="A33" s="81" t="s">
        <v>290</v>
      </c>
      <c r="B33" s="81" t="s">
        <v>77</v>
      </c>
      <c r="C33" s="81" t="s">
        <v>85</v>
      </c>
      <c r="D33" s="81" t="s">
        <v>885</v>
      </c>
      <c r="E33" s="81" t="s">
        <v>200</v>
      </c>
      <c r="F33" s="81">
        <v>4</v>
      </c>
      <c r="G33" s="81">
        <v>0.5</v>
      </c>
      <c r="H33" s="81" t="s">
        <v>1006</v>
      </c>
      <c r="I33" s="81" t="s">
        <v>1057</v>
      </c>
      <c r="J33" s="81" t="s">
        <v>1005</v>
      </c>
      <c r="K33" s="79"/>
      <c r="L33" s="79"/>
      <c r="M33" s="79"/>
      <c r="N33" s="79"/>
    </row>
    <row r="34" ht="26" spans="1:14">
      <c r="A34" s="81" t="s">
        <v>292</v>
      </c>
      <c r="B34" s="81" t="s">
        <v>77</v>
      </c>
      <c r="C34" s="81" t="s">
        <v>85</v>
      </c>
      <c r="D34" s="81" t="s">
        <v>885</v>
      </c>
      <c r="E34" s="81" t="s">
        <v>200</v>
      </c>
      <c r="F34" s="81">
        <v>4</v>
      </c>
      <c r="G34" s="81">
        <v>0.5</v>
      </c>
      <c r="H34" s="81" t="s">
        <v>1006</v>
      </c>
      <c r="I34" s="81" t="s">
        <v>1057</v>
      </c>
      <c r="J34" s="81" t="s">
        <v>1005</v>
      </c>
      <c r="K34" s="79"/>
      <c r="L34" s="79"/>
      <c r="M34" s="79"/>
      <c r="N34" s="79"/>
    </row>
    <row r="35" ht="26" spans="1:14">
      <c r="A35" s="81" t="s">
        <v>293</v>
      </c>
      <c r="B35" s="81" t="s">
        <v>77</v>
      </c>
      <c r="C35" s="81" t="s">
        <v>85</v>
      </c>
      <c r="D35" s="81" t="s">
        <v>885</v>
      </c>
      <c r="E35" s="81" t="s">
        <v>200</v>
      </c>
      <c r="F35" s="81">
        <v>4</v>
      </c>
      <c r="G35" s="81">
        <v>0.5</v>
      </c>
      <c r="H35" s="81" t="s">
        <v>1006</v>
      </c>
      <c r="I35" s="81" t="s">
        <v>1057</v>
      </c>
      <c r="J35" s="81" t="s">
        <v>1005</v>
      </c>
      <c r="K35" s="79"/>
      <c r="L35" s="79"/>
      <c r="M35" s="79"/>
      <c r="N35" s="79"/>
    </row>
    <row r="36" ht="26" spans="1:14">
      <c r="A36" s="81" t="s">
        <v>294</v>
      </c>
      <c r="B36" s="81" t="s">
        <v>77</v>
      </c>
      <c r="C36" s="81" t="s">
        <v>85</v>
      </c>
      <c r="D36" s="81" t="s">
        <v>885</v>
      </c>
      <c r="E36" s="81" t="s">
        <v>200</v>
      </c>
      <c r="F36" s="81">
        <v>4</v>
      </c>
      <c r="G36" s="81">
        <v>0.5</v>
      </c>
      <c r="H36" s="81" t="s">
        <v>1006</v>
      </c>
      <c r="I36" s="81" t="s">
        <v>1057</v>
      </c>
      <c r="J36" s="81" t="s">
        <v>1005</v>
      </c>
      <c r="K36" s="79"/>
      <c r="L36" s="79"/>
      <c r="M36" s="79"/>
      <c r="N36" s="79"/>
    </row>
    <row r="37" ht="26" spans="1:14">
      <c r="A37" s="81" t="s">
        <v>295</v>
      </c>
      <c r="B37" s="81" t="s">
        <v>77</v>
      </c>
      <c r="C37" s="81" t="s">
        <v>85</v>
      </c>
      <c r="D37" s="81" t="s">
        <v>885</v>
      </c>
      <c r="E37" s="81" t="s">
        <v>200</v>
      </c>
      <c r="F37" s="81">
        <v>4</v>
      </c>
      <c r="G37" s="81">
        <v>0.5</v>
      </c>
      <c r="H37" s="81" t="s">
        <v>1006</v>
      </c>
      <c r="I37" s="81" t="s">
        <v>1057</v>
      </c>
      <c r="J37" s="81" t="s">
        <v>1005</v>
      </c>
      <c r="K37" s="79"/>
      <c r="L37" s="79"/>
      <c r="M37" s="79"/>
      <c r="N37" s="79"/>
    </row>
    <row r="38" ht="26" spans="1:14">
      <c r="A38" s="81" t="s">
        <v>296</v>
      </c>
      <c r="B38" s="81" t="s">
        <v>77</v>
      </c>
      <c r="C38" s="81" t="s">
        <v>85</v>
      </c>
      <c r="D38" s="81" t="s">
        <v>885</v>
      </c>
      <c r="E38" s="81" t="s">
        <v>200</v>
      </c>
      <c r="F38" s="81">
        <v>4</v>
      </c>
      <c r="G38" s="81">
        <v>0.5</v>
      </c>
      <c r="H38" s="81" t="s">
        <v>1006</v>
      </c>
      <c r="I38" s="81" t="s">
        <v>1057</v>
      </c>
      <c r="J38" s="81" t="s">
        <v>1005</v>
      </c>
      <c r="K38" s="79"/>
      <c r="L38" s="79"/>
      <c r="M38" s="79"/>
      <c r="N38" s="79"/>
    </row>
    <row r="39" ht="26" spans="1:14">
      <c r="A39" s="81" t="s">
        <v>299</v>
      </c>
      <c r="B39" s="81" t="s">
        <v>77</v>
      </c>
      <c r="C39" s="81" t="s">
        <v>85</v>
      </c>
      <c r="D39" s="81" t="s">
        <v>885</v>
      </c>
      <c r="E39" s="81" t="s">
        <v>200</v>
      </c>
      <c r="F39" s="81">
        <v>4</v>
      </c>
      <c r="G39" s="81">
        <v>0.5</v>
      </c>
      <c r="H39" s="81" t="s">
        <v>1006</v>
      </c>
      <c r="I39" s="81" t="s">
        <v>1057</v>
      </c>
      <c r="J39" s="81" t="s">
        <v>1005</v>
      </c>
      <c r="K39" s="79"/>
      <c r="L39" s="79"/>
      <c r="M39" s="79"/>
      <c r="N39" s="79"/>
    </row>
    <row r="40" ht="26" spans="1:14">
      <c r="A40" s="81" t="s">
        <v>300</v>
      </c>
      <c r="B40" s="81" t="s">
        <v>77</v>
      </c>
      <c r="C40" s="81" t="s">
        <v>85</v>
      </c>
      <c r="D40" s="81" t="s">
        <v>885</v>
      </c>
      <c r="E40" s="81" t="s">
        <v>200</v>
      </c>
      <c r="F40" s="81">
        <v>4</v>
      </c>
      <c r="G40" s="81">
        <v>0.5</v>
      </c>
      <c r="H40" s="81" t="s">
        <v>1006</v>
      </c>
      <c r="I40" s="81" t="s">
        <v>1057</v>
      </c>
      <c r="J40" s="81" t="s">
        <v>1005</v>
      </c>
      <c r="K40" s="79"/>
      <c r="L40" s="79"/>
      <c r="M40" s="79"/>
      <c r="N40" s="79"/>
    </row>
    <row r="41" ht="26" spans="1:14">
      <c r="A41" s="81" t="s">
        <v>301</v>
      </c>
      <c r="B41" s="81" t="s">
        <v>77</v>
      </c>
      <c r="C41" s="81" t="s">
        <v>85</v>
      </c>
      <c r="D41" s="81" t="s">
        <v>885</v>
      </c>
      <c r="E41" s="81" t="s">
        <v>200</v>
      </c>
      <c r="F41" s="81">
        <v>4</v>
      </c>
      <c r="G41" s="81">
        <v>0.5</v>
      </c>
      <c r="H41" s="81" t="s">
        <v>1006</v>
      </c>
      <c r="I41" s="81" t="s">
        <v>1057</v>
      </c>
      <c r="J41" s="81" t="s">
        <v>1005</v>
      </c>
      <c r="K41" s="79"/>
      <c r="L41" s="79"/>
      <c r="M41" s="79"/>
      <c r="N41" s="79"/>
    </row>
    <row r="42" ht="26" spans="1:14">
      <c r="A42" s="81" t="s">
        <v>302</v>
      </c>
      <c r="B42" s="81" t="s">
        <v>77</v>
      </c>
      <c r="C42" s="81" t="s">
        <v>85</v>
      </c>
      <c r="D42" s="81" t="s">
        <v>885</v>
      </c>
      <c r="E42" s="81" t="s">
        <v>200</v>
      </c>
      <c r="F42" s="81">
        <v>4</v>
      </c>
      <c r="G42" s="81">
        <v>0.5</v>
      </c>
      <c r="H42" s="81" t="s">
        <v>1006</v>
      </c>
      <c r="I42" s="81" t="s">
        <v>1057</v>
      </c>
      <c r="J42" s="81" t="s">
        <v>1005</v>
      </c>
      <c r="K42" s="79"/>
      <c r="L42" s="79"/>
      <c r="M42" s="79"/>
      <c r="N42" s="79"/>
    </row>
    <row r="43" ht="26" spans="1:14">
      <c r="A43" s="81" t="s">
        <v>303</v>
      </c>
      <c r="B43" s="81" t="s">
        <v>77</v>
      </c>
      <c r="C43" s="81" t="s">
        <v>85</v>
      </c>
      <c r="D43" s="81" t="s">
        <v>885</v>
      </c>
      <c r="E43" s="81" t="s">
        <v>200</v>
      </c>
      <c r="F43" s="81">
        <v>4</v>
      </c>
      <c r="G43" s="81">
        <v>0.5</v>
      </c>
      <c r="H43" s="81" t="s">
        <v>1006</v>
      </c>
      <c r="I43" s="81" t="s">
        <v>1057</v>
      </c>
      <c r="J43" s="81" t="s">
        <v>1005</v>
      </c>
      <c r="K43" s="79"/>
      <c r="L43" s="79"/>
      <c r="M43" s="79"/>
      <c r="N43" s="79"/>
    </row>
    <row r="44" ht="26" spans="1:14">
      <c r="A44" s="81" t="s">
        <v>304</v>
      </c>
      <c r="B44" s="81" t="s">
        <v>77</v>
      </c>
      <c r="C44" s="81" t="s">
        <v>85</v>
      </c>
      <c r="D44" s="81" t="s">
        <v>883</v>
      </c>
      <c r="E44" s="81" t="s">
        <v>199</v>
      </c>
      <c r="F44" s="81">
        <v>4</v>
      </c>
      <c r="G44" s="81">
        <v>0.5</v>
      </c>
      <c r="H44" s="81" t="s">
        <v>1001</v>
      </c>
      <c r="I44" s="81" t="s">
        <v>1057</v>
      </c>
      <c r="J44" s="81" t="s">
        <v>1000</v>
      </c>
      <c r="K44" s="79"/>
      <c r="L44" s="79"/>
      <c r="M44" s="79"/>
      <c r="N44" s="79"/>
    </row>
    <row r="45" ht="26" spans="1:14">
      <c r="A45" s="81" t="s">
        <v>306</v>
      </c>
      <c r="B45" s="81" t="s">
        <v>77</v>
      </c>
      <c r="C45" s="81" t="s">
        <v>85</v>
      </c>
      <c r="D45" s="81" t="s">
        <v>883</v>
      </c>
      <c r="E45" s="81" t="s">
        <v>199</v>
      </c>
      <c r="F45" s="81">
        <v>4</v>
      </c>
      <c r="G45" s="81">
        <v>0.5</v>
      </c>
      <c r="H45" s="81" t="s">
        <v>1001</v>
      </c>
      <c r="I45" s="81" t="s">
        <v>1057</v>
      </c>
      <c r="J45" s="81" t="s">
        <v>1000</v>
      </c>
      <c r="K45" s="79"/>
      <c r="L45" s="79"/>
      <c r="M45" s="79"/>
      <c r="N45" s="79"/>
    </row>
    <row r="46" ht="26" spans="1:14">
      <c r="A46" s="81" t="s">
        <v>307</v>
      </c>
      <c r="B46" s="81" t="s">
        <v>77</v>
      </c>
      <c r="C46" s="81" t="s">
        <v>85</v>
      </c>
      <c r="D46" s="81" t="s">
        <v>883</v>
      </c>
      <c r="E46" s="81" t="s">
        <v>199</v>
      </c>
      <c r="F46" s="81">
        <v>4</v>
      </c>
      <c r="G46" s="81">
        <v>0.5</v>
      </c>
      <c r="H46" s="81" t="s">
        <v>1001</v>
      </c>
      <c r="I46" s="81" t="s">
        <v>1057</v>
      </c>
      <c r="J46" s="81" t="s">
        <v>1000</v>
      </c>
      <c r="K46" s="79"/>
      <c r="L46" s="79"/>
      <c r="M46" s="79"/>
      <c r="N46" s="79"/>
    </row>
    <row r="47" ht="26" spans="1:14">
      <c r="A47" s="81" t="s">
        <v>308</v>
      </c>
      <c r="B47" s="81" t="s">
        <v>77</v>
      </c>
      <c r="C47" s="81" t="s">
        <v>85</v>
      </c>
      <c r="D47" s="81" t="s">
        <v>883</v>
      </c>
      <c r="E47" s="81" t="s">
        <v>199</v>
      </c>
      <c r="F47" s="81">
        <v>4</v>
      </c>
      <c r="G47" s="81">
        <v>0.5</v>
      </c>
      <c r="H47" s="81" t="s">
        <v>1001</v>
      </c>
      <c r="I47" s="81" t="s">
        <v>1057</v>
      </c>
      <c r="J47" s="81" t="s">
        <v>1000</v>
      </c>
      <c r="K47" s="79"/>
      <c r="L47" s="79"/>
      <c r="M47" s="79"/>
      <c r="N47" s="79"/>
    </row>
    <row r="48" ht="26" spans="1:14">
      <c r="A48" s="81" t="s">
        <v>309</v>
      </c>
      <c r="B48" s="81" t="s">
        <v>77</v>
      </c>
      <c r="C48" s="81" t="s">
        <v>85</v>
      </c>
      <c r="D48" s="81" t="s">
        <v>883</v>
      </c>
      <c r="E48" s="81" t="s">
        <v>199</v>
      </c>
      <c r="F48" s="81">
        <v>4</v>
      </c>
      <c r="G48" s="81">
        <v>0.5</v>
      </c>
      <c r="H48" s="81" t="s">
        <v>1001</v>
      </c>
      <c r="I48" s="81" t="s">
        <v>1057</v>
      </c>
      <c r="J48" s="81" t="s">
        <v>1000</v>
      </c>
      <c r="K48" s="79"/>
      <c r="L48" s="79"/>
      <c r="M48" s="79"/>
      <c r="N48" s="79"/>
    </row>
    <row r="49" ht="26" spans="1:14">
      <c r="A49" s="81" t="s">
        <v>310</v>
      </c>
      <c r="B49" s="81" t="s">
        <v>77</v>
      </c>
      <c r="C49" s="81" t="s">
        <v>85</v>
      </c>
      <c r="D49" s="81" t="s">
        <v>883</v>
      </c>
      <c r="E49" s="81" t="s">
        <v>199</v>
      </c>
      <c r="F49" s="81">
        <v>4</v>
      </c>
      <c r="G49" s="81">
        <v>0.5</v>
      </c>
      <c r="H49" s="81" t="s">
        <v>1001</v>
      </c>
      <c r="I49" s="81" t="s">
        <v>1057</v>
      </c>
      <c r="J49" s="81" t="s">
        <v>1000</v>
      </c>
      <c r="K49" s="79"/>
      <c r="L49" s="79"/>
      <c r="M49" s="79"/>
      <c r="N49" s="79"/>
    </row>
    <row r="50" ht="26" spans="1:14">
      <c r="A50" s="81" t="s">
        <v>311</v>
      </c>
      <c r="B50" s="81" t="s">
        <v>77</v>
      </c>
      <c r="C50" s="81" t="s">
        <v>85</v>
      </c>
      <c r="D50" s="81" t="s">
        <v>883</v>
      </c>
      <c r="E50" s="81" t="s">
        <v>199</v>
      </c>
      <c r="F50" s="81">
        <v>4</v>
      </c>
      <c r="G50" s="81">
        <v>0.5</v>
      </c>
      <c r="H50" s="81" t="s">
        <v>1001</v>
      </c>
      <c r="I50" s="81" t="s">
        <v>1057</v>
      </c>
      <c r="J50" s="81" t="s">
        <v>1000</v>
      </c>
      <c r="K50" s="79"/>
      <c r="L50" s="79"/>
      <c r="M50" s="79"/>
      <c r="N50" s="79"/>
    </row>
    <row r="51" ht="26" spans="1:14">
      <c r="A51" s="81" t="s">
        <v>313</v>
      </c>
      <c r="B51" s="81" t="s">
        <v>77</v>
      </c>
      <c r="C51" s="81" t="s">
        <v>85</v>
      </c>
      <c r="D51" s="81" t="s">
        <v>883</v>
      </c>
      <c r="E51" s="81" t="s">
        <v>199</v>
      </c>
      <c r="F51" s="81">
        <v>4</v>
      </c>
      <c r="G51" s="81">
        <v>0.5</v>
      </c>
      <c r="H51" s="81" t="s">
        <v>1001</v>
      </c>
      <c r="I51" s="81" t="s">
        <v>1057</v>
      </c>
      <c r="J51" s="81" t="s">
        <v>1000</v>
      </c>
      <c r="K51" s="79"/>
      <c r="L51" s="79"/>
      <c r="M51" s="79"/>
      <c r="N51" s="79"/>
    </row>
    <row r="52" ht="26" spans="1:14">
      <c r="A52" s="81" t="s">
        <v>314</v>
      </c>
      <c r="B52" s="81" t="s">
        <v>77</v>
      </c>
      <c r="C52" s="81" t="s">
        <v>85</v>
      </c>
      <c r="D52" s="81" t="s">
        <v>883</v>
      </c>
      <c r="E52" s="81" t="s">
        <v>199</v>
      </c>
      <c r="F52" s="81">
        <v>4</v>
      </c>
      <c r="G52" s="81">
        <v>0.5</v>
      </c>
      <c r="H52" s="81" t="s">
        <v>1001</v>
      </c>
      <c r="I52" s="81" t="s">
        <v>1057</v>
      </c>
      <c r="J52" s="81" t="s">
        <v>1000</v>
      </c>
      <c r="K52" s="79"/>
      <c r="L52" s="79"/>
      <c r="M52" s="79"/>
      <c r="N52" s="79"/>
    </row>
    <row r="53" ht="26" spans="1:14">
      <c r="A53" s="81" t="s">
        <v>315</v>
      </c>
      <c r="B53" s="81" t="s">
        <v>77</v>
      </c>
      <c r="C53" s="81" t="s">
        <v>85</v>
      </c>
      <c r="D53" s="81" t="s">
        <v>883</v>
      </c>
      <c r="E53" s="81" t="s">
        <v>199</v>
      </c>
      <c r="F53" s="81">
        <v>4</v>
      </c>
      <c r="G53" s="81">
        <v>0.5</v>
      </c>
      <c r="H53" s="81" t="s">
        <v>1001</v>
      </c>
      <c r="I53" s="81" t="s">
        <v>1057</v>
      </c>
      <c r="J53" s="81" t="s">
        <v>1000</v>
      </c>
      <c r="K53" s="79"/>
      <c r="L53" s="79"/>
      <c r="M53" s="79"/>
      <c r="N53" s="79"/>
    </row>
    <row r="54" ht="26" spans="1:14">
      <c r="A54" s="81" t="s">
        <v>316</v>
      </c>
      <c r="B54" s="81" t="s">
        <v>77</v>
      </c>
      <c r="C54" s="81" t="s">
        <v>85</v>
      </c>
      <c r="D54" s="81" t="s">
        <v>883</v>
      </c>
      <c r="E54" s="81" t="s">
        <v>199</v>
      </c>
      <c r="F54" s="81">
        <v>4</v>
      </c>
      <c r="G54" s="81">
        <v>0.5</v>
      </c>
      <c r="H54" s="81" t="s">
        <v>1001</v>
      </c>
      <c r="I54" s="81" t="s">
        <v>1057</v>
      </c>
      <c r="J54" s="81" t="s">
        <v>1000</v>
      </c>
      <c r="K54" s="79"/>
      <c r="L54" s="79"/>
      <c r="M54" s="79"/>
      <c r="N54" s="79"/>
    </row>
    <row r="55" ht="26" spans="1:14">
      <c r="A55" s="81" t="s">
        <v>317</v>
      </c>
      <c r="B55" s="81" t="s">
        <v>77</v>
      </c>
      <c r="C55" s="81" t="s">
        <v>85</v>
      </c>
      <c r="D55" s="81" t="s">
        <v>885</v>
      </c>
      <c r="E55" s="81" t="s">
        <v>200</v>
      </c>
      <c r="F55" s="81">
        <v>4</v>
      </c>
      <c r="G55" s="81">
        <v>0.5</v>
      </c>
      <c r="H55" s="81" t="s">
        <v>1006</v>
      </c>
      <c r="I55" s="81" t="s">
        <v>1057</v>
      </c>
      <c r="J55" s="81" t="s">
        <v>1005</v>
      </c>
      <c r="K55" s="79"/>
      <c r="L55" s="79"/>
      <c r="M55" s="79"/>
      <c r="N55" s="79"/>
    </row>
    <row r="56" ht="26" spans="1:14">
      <c r="A56" s="81" t="s">
        <v>320</v>
      </c>
      <c r="B56" s="81" t="s">
        <v>77</v>
      </c>
      <c r="C56" s="81" t="s">
        <v>85</v>
      </c>
      <c r="D56" s="81" t="s">
        <v>885</v>
      </c>
      <c r="E56" s="81" t="s">
        <v>200</v>
      </c>
      <c r="F56" s="81">
        <v>4</v>
      </c>
      <c r="G56" s="81">
        <v>0.5</v>
      </c>
      <c r="H56" s="81" t="s">
        <v>1006</v>
      </c>
      <c r="I56" s="81" t="s">
        <v>1057</v>
      </c>
      <c r="J56" s="81" t="s">
        <v>1005</v>
      </c>
      <c r="K56" s="79"/>
      <c r="L56" s="79"/>
      <c r="M56" s="79"/>
      <c r="N56" s="79"/>
    </row>
    <row r="57" ht="26" spans="1:14">
      <c r="A57" s="81" t="s">
        <v>321</v>
      </c>
      <c r="B57" s="81" t="s">
        <v>77</v>
      </c>
      <c r="C57" s="81" t="s">
        <v>85</v>
      </c>
      <c r="D57" s="81" t="s">
        <v>885</v>
      </c>
      <c r="E57" s="81" t="s">
        <v>200</v>
      </c>
      <c r="F57" s="81">
        <v>4</v>
      </c>
      <c r="G57" s="81">
        <v>0.5</v>
      </c>
      <c r="H57" s="81" t="s">
        <v>1006</v>
      </c>
      <c r="I57" s="81" t="s">
        <v>1057</v>
      </c>
      <c r="J57" s="81" t="s">
        <v>1005</v>
      </c>
      <c r="K57" s="79"/>
      <c r="L57" s="79"/>
      <c r="M57" s="79"/>
      <c r="N57" s="79"/>
    </row>
    <row r="58" ht="26" spans="1:14">
      <c r="A58" s="81" t="s">
        <v>322</v>
      </c>
      <c r="B58" s="81" t="s">
        <v>77</v>
      </c>
      <c r="C58" s="81" t="s">
        <v>85</v>
      </c>
      <c r="D58" s="81" t="s">
        <v>885</v>
      </c>
      <c r="E58" s="81" t="s">
        <v>200</v>
      </c>
      <c r="F58" s="81">
        <v>4</v>
      </c>
      <c r="G58" s="81">
        <v>0.5</v>
      </c>
      <c r="H58" s="81" t="s">
        <v>1006</v>
      </c>
      <c r="I58" s="81" t="s">
        <v>1057</v>
      </c>
      <c r="J58" s="81" t="s">
        <v>1005</v>
      </c>
      <c r="K58" s="79"/>
      <c r="L58" s="79"/>
      <c r="M58" s="79"/>
      <c r="N58" s="79"/>
    </row>
    <row r="59" ht="26" spans="1:14">
      <c r="A59" s="81" t="s">
        <v>323</v>
      </c>
      <c r="B59" s="81" t="s">
        <v>77</v>
      </c>
      <c r="C59" s="81" t="s">
        <v>85</v>
      </c>
      <c r="D59" s="81" t="s">
        <v>885</v>
      </c>
      <c r="E59" s="81" t="s">
        <v>200</v>
      </c>
      <c r="F59" s="81">
        <v>4</v>
      </c>
      <c r="G59" s="81">
        <v>0.5</v>
      </c>
      <c r="H59" s="81" t="s">
        <v>1006</v>
      </c>
      <c r="I59" s="81" t="s">
        <v>1057</v>
      </c>
      <c r="J59" s="81" t="s">
        <v>1005</v>
      </c>
      <c r="K59" s="79"/>
      <c r="L59" s="79"/>
      <c r="M59" s="79"/>
      <c r="N59" s="79"/>
    </row>
    <row r="60" ht="26" spans="1:14">
      <c r="A60" s="81" t="s">
        <v>324</v>
      </c>
      <c r="B60" s="81" t="s">
        <v>77</v>
      </c>
      <c r="C60" s="81" t="s">
        <v>85</v>
      </c>
      <c r="D60" s="81" t="s">
        <v>885</v>
      </c>
      <c r="E60" s="81" t="s">
        <v>200</v>
      </c>
      <c r="F60" s="81">
        <v>4</v>
      </c>
      <c r="G60" s="81">
        <v>0.5</v>
      </c>
      <c r="H60" s="81" t="s">
        <v>1006</v>
      </c>
      <c r="I60" s="81" t="s">
        <v>1057</v>
      </c>
      <c r="J60" s="81" t="s">
        <v>1005</v>
      </c>
      <c r="K60" s="79"/>
      <c r="L60" s="79"/>
      <c r="M60" s="79"/>
      <c r="N60" s="79"/>
    </row>
    <row r="61" ht="26" spans="1:14">
      <c r="A61" s="81" t="s">
        <v>326</v>
      </c>
      <c r="B61" s="81" t="s">
        <v>77</v>
      </c>
      <c r="C61" s="81" t="s">
        <v>85</v>
      </c>
      <c r="D61" s="81" t="s">
        <v>885</v>
      </c>
      <c r="E61" s="81" t="s">
        <v>200</v>
      </c>
      <c r="F61" s="81">
        <v>4</v>
      </c>
      <c r="G61" s="81">
        <v>0.5</v>
      </c>
      <c r="H61" s="81" t="s">
        <v>1006</v>
      </c>
      <c r="I61" s="81" t="s">
        <v>1057</v>
      </c>
      <c r="J61" s="81" t="s">
        <v>1005</v>
      </c>
      <c r="K61" s="79"/>
      <c r="L61" s="79"/>
      <c r="M61" s="79"/>
      <c r="N61" s="79"/>
    </row>
    <row r="62" ht="26" spans="1:14">
      <c r="A62" s="81" t="s">
        <v>327</v>
      </c>
      <c r="B62" s="81" t="s">
        <v>77</v>
      </c>
      <c r="C62" s="81" t="s">
        <v>85</v>
      </c>
      <c r="D62" s="81" t="s">
        <v>885</v>
      </c>
      <c r="E62" s="81" t="s">
        <v>200</v>
      </c>
      <c r="F62" s="81">
        <v>4</v>
      </c>
      <c r="G62" s="81">
        <v>0.5</v>
      </c>
      <c r="H62" s="81" t="s">
        <v>1006</v>
      </c>
      <c r="I62" s="81" t="s">
        <v>1057</v>
      </c>
      <c r="J62" s="81" t="s">
        <v>1005</v>
      </c>
      <c r="K62" s="79"/>
      <c r="L62" s="79"/>
      <c r="M62" s="79"/>
      <c r="N62" s="79"/>
    </row>
    <row r="63" ht="26" spans="1:14">
      <c r="A63" s="81" t="s">
        <v>328</v>
      </c>
      <c r="B63" s="81" t="s">
        <v>77</v>
      </c>
      <c r="C63" s="81" t="s">
        <v>85</v>
      </c>
      <c r="D63" s="81" t="s">
        <v>885</v>
      </c>
      <c r="E63" s="81" t="s">
        <v>200</v>
      </c>
      <c r="F63" s="81">
        <v>4</v>
      </c>
      <c r="G63" s="81">
        <v>0.5</v>
      </c>
      <c r="H63" s="81" t="s">
        <v>1006</v>
      </c>
      <c r="I63" s="81" t="s">
        <v>1057</v>
      </c>
      <c r="J63" s="81" t="s">
        <v>1005</v>
      </c>
      <c r="K63" s="79"/>
      <c r="L63" s="79"/>
      <c r="M63" s="79"/>
      <c r="N63" s="79"/>
    </row>
    <row r="64" ht="26" spans="1:14">
      <c r="A64" s="81" t="s">
        <v>329</v>
      </c>
      <c r="B64" s="81" t="s">
        <v>77</v>
      </c>
      <c r="C64" s="81" t="s">
        <v>85</v>
      </c>
      <c r="D64" s="81" t="s">
        <v>885</v>
      </c>
      <c r="E64" s="81" t="s">
        <v>200</v>
      </c>
      <c r="F64" s="81">
        <v>4</v>
      </c>
      <c r="G64" s="81">
        <v>0.5</v>
      </c>
      <c r="H64" s="81" t="s">
        <v>1006</v>
      </c>
      <c r="I64" s="81" t="s">
        <v>1057</v>
      </c>
      <c r="J64" s="81" t="s">
        <v>1005</v>
      </c>
      <c r="K64" s="79"/>
      <c r="L64" s="79"/>
      <c r="M64" s="79"/>
      <c r="N64" s="79"/>
    </row>
    <row r="65" ht="26" spans="1:14">
      <c r="A65" s="81" t="s">
        <v>330</v>
      </c>
      <c r="B65" s="81" t="s">
        <v>77</v>
      </c>
      <c r="C65" s="81" t="s">
        <v>85</v>
      </c>
      <c r="D65" s="81" t="s">
        <v>885</v>
      </c>
      <c r="E65" s="81" t="s">
        <v>200</v>
      </c>
      <c r="F65" s="81">
        <v>4</v>
      </c>
      <c r="G65" s="81">
        <v>0.5</v>
      </c>
      <c r="H65" s="81" t="s">
        <v>1006</v>
      </c>
      <c r="I65" s="81" t="s">
        <v>1057</v>
      </c>
      <c r="J65" s="81" t="s">
        <v>1005</v>
      </c>
      <c r="K65" s="79"/>
      <c r="L65" s="79"/>
      <c r="M65" s="79"/>
      <c r="N65" s="79"/>
    </row>
    <row r="66" ht="26" spans="1:14">
      <c r="A66" s="81" t="s">
        <v>334</v>
      </c>
      <c r="B66" s="81" t="s">
        <v>77</v>
      </c>
      <c r="C66" s="81" t="s">
        <v>85</v>
      </c>
      <c r="D66" s="81" t="s">
        <v>886</v>
      </c>
      <c r="E66" s="81" t="s">
        <v>200</v>
      </c>
      <c r="F66" s="81">
        <v>4</v>
      </c>
      <c r="G66" s="81">
        <v>0.5</v>
      </c>
      <c r="H66" s="81" t="s">
        <v>1001</v>
      </c>
      <c r="I66" s="81" t="s">
        <v>1057</v>
      </c>
      <c r="J66" s="81" t="s">
        <v>1004</v>
      </c>
      <c r="K66" s="79"/>
      <c r="L66" s="79"/>
      <c r="M66" s="79"/>
      <c r="N66" s="79"/>
    </row>
    <row r="67" ht="26" spans="1:14">
      <c r="A67" s="81" t="s">
        <v>342</v>
      </c>
      <c r="B67" s="81" t="s">
        <v>77</v>
      </c>
      <c r="C67" s="81" t="s">
        <v>85</v>
      </c>
      <c r="D67" s="81" t="s">
        <v>886</v>
      </c>
      <c r="E67" s="81" t="s">
        <v>200</v>
      </c>
      <c r="F67" s="81">
        <v>4</v>
      </c>
      <c r="G67" s="81">
        <v>0.5</v>
      </c>
      <c r="H67" s="81" t="s">
        <v>1001</v>
      </c>
      <c r="I67" s="81" t="s">
        <v>1057</v>
      </c>
      <c r="J67" s="81" t="s">
        <v>1004</v>
      </c>
      <c r="K67" s="79"/>
      <c r="L67" s="79"/>
      <c r="M67" s="79"/>
      <c r="N67" s="79"/>
    </row>
    <row r="68" ht="26" spans="1:14">
      <c r="A68" s="81" t="s">
        <v>343</v>
      </c>
      <c r="B68" s="81" t="s">
        <v>77</v>
      </c>
      <c r="C68" s="81" t="s">
        <v>85</v>
      </c>
      <c r="D68" s="81" t="s">
        <v>888</v>
      </c>
      <c r="E68" s="81" t="s">
        <v>200</v>
      </c>
      <c r="F68" s="81">
        <v>4</v>
      </c>
      <c r="G68" s="81">
        <v>0.5</v>
      </c>
      <c r="H68" s="81" t="s">
        <v>1006</v>
      </c>
      <c r="I68" s="81" t="s">
        <v>1057</v>
      </c>
      <c r="J68" s="81" t="s">
        <v>1005</v>
      </c>
      <c r="K68" s="79"/>
      <c r="L68" s="79"/>
      <c r="M68" s="79"/>
      <c r="N68" s="79"/>
    </row>
    <row r="69" ht="26" spans="1:14">
      <c r="A69" s="81" t="s">
        <v>347</v>
      </c>
      <c r="B69" s="81" t="s">
        <v>77</v>
      </c>
      <c r="C69" s="81" t="s">
        <v>85</v>
      </c>
      <c r="D69" s="81" t="s">
        <v>888</v>
      </c>
      <c r="E69" s="81" t="s">
        <v>200</v>
      </c>
      <c r="F69" s="81">
        <v>4</v>
      </c>
      <c r="G69" s="81">
        <v>0.5</v>
      </c>
      <c r="H69" s="81" t="s">
        <v>1006</v>
      </c>
      <c r="I69" s="81" t="s">
        <v>1057</v>
      </c>
      <c r="J69" s="81" t="s">
        <v>1005</v>
      </c>
      <c r="K69" s="79"/>
      <c r="L69" s="79"/>
      <c r="M69" s="79"/>
      <c r="N69" s="79"/>
    </row>
    <row r="70" ht="26" spans="1:14">
      <c r="A70" s="81" t="s">
        <v>348</v>
      </c>
      <c r="B70" s="81" t="s">
        <v>77</v>
      </c>
      <c r="C70" s="81" t="s">
        <v>85</v>
      </c>
      <c r="D70" s="81" t="s">
        <v>888</v>
      </c>
      <c r="E70" s="81" t="s">
        <v>200</v>
      </c>
      <c r="F70" s="81">
        <v>4</v>
      </c>
      <c r="G70" s="81">
        <v>0.5</v>
      </c>
      <c r="H70" s="81" t="s">
        <v>1006</v>
      </c>
      <c r="I70" s="81" t="s">
        <v>1057</v>
      </c>
      <c r="J70" s="81" t="s">
        <v>1005</v>
      </c>
      <c r="K70" s="79"/>
      <c r="L70" s="79"/>
      <c r="M70" s="79"/>
      <c r="N70" s="79"/>
    </row>
    <row r="71" ht="26" spans="1:14">
      <c r="A71" s="81" t="s">
        <v>349</v>
      </c>
      <c r="B71" s="81" t="s">
        <v>77</v>
      </c>
      <c r="C71" s="81" t="s">
        <v>85</v>
      </c>
      <c r="D71" s="81" t="s">
        <v>888</v>
      </c>
      <c r="E71" s="81" t="s">
        <v>200</v>
      </c>
      <c r="F71" s="81">
        <v>4</v>
      </c>
      <c r="G71" s="81">
        <v>0.5</v>
      </c>
      <c r="H71" s="81" t="s">
        <v>1006</v>
      </c>
      <c r="I71" s="81" t="s">
        <v>1057</v>
      </c>
      <c r="J71" s="81" t="s">
        <v>1005</v>
      </c>
      <c r="K71" s="79"/>
      <c r="L71" s="79"/>
      <c r="M71" s="79"/>
      <c r="N71" s="79"/>
    </row>
    <row r="72" ht="26" spans="1:14">
      <c r="A72" s="81" t="s">
        <v>350</v>
      </c>
      <c r="B72" s="81" t="s">
        <v>77</v>
      </c>
      <c r="C72" s="81" t="s">
        <v>85</v>
      </c>
      <c r="D72" s="81" t="s">
        <v>888</v>
      </c>
      <c r="E72" s="81" t="s">
        <v>200</v>
      </c>
      <c r="F72" s="81">
        <v>4</v>
      </c>
      <c r="G72" s="81">
        <v>0.5</v>
      </c>
      <c r="H72" s="81" t="s">
        <v>1006</v>
      </c>
      <c r="I72" s="81" t="s">
        <v>1057</v>
      </c>
      <c r="J72" s="81" t="s">
        <v>1005</v>
      </c>
      <c r="K72" s="79"/>
      <c r="L72" s="79"/>
      <c r="M72" s="79"/>
      <c r="N72" s="79"/>
    </row>
    <row r="73" ht="26" spans="1:14">
      <c r="A73" s="81" t="s">
        <v>351</v>
      </c>
      <c r="B73" s="81" t="s">
        <v>77</v>
      </c>
      <c r="C73" s="81" t="s">
        <v>85</v>
      </c>
      <c r="D73" s="81" t="s">
        <v>889</v>
      </c>
      <c r="E73" s="81" t="s">
        <v>202</v>
      </c>
      <c r="F73" s="81">
        <v>4</v>
      </c>
      <c r="G73" s="81">
        <v>1</v>
      </c>
      <c r="H73" s="81" t="s">
        <v>1006</v>
      </c>
      <c r="I73" s="81" t="s">
        <v>1057</v>
      </c>
      <c r="J73" s="81" t="s">
        <v>1005</v>
      </c>
      <c r="K73" s="79"/>
      <c r="L73" s="79"/>
      <c r="M73" s="79"/>
      <c r="N73" s="79"/>
    </row>
    <row r="74" ht="26" spans="1:14">
      <c r="A74" s="81" t="s">
        <v>353</v>
      </c>
      <c r="B74" s="81" t="s">
        <v>77</v>
      </c>
      <c r="C74" s="81" t="s">
        <v>85</v>
      </c>
      <c r="D74" s="81" t="s">
        <v>889</v>
      </c>
      <c r="E74" s="81" t="s">
        <v>202</v>
      </c>
      <c r="F74" s="81">
        <v>4</v>
      </c>
      <c r="G74" s="81">
        <v>1</v>
      </c>
      <c r="H74" s="81" t="s">
        <v>1006</v>
      </c>
      <c r="I74" s="81" t="s">
        <v>1057</v>
      </c>
      <c r="J74" s="81" t="s">
        <v>1005</v>
      </c>
      <c r="K74" s="79"/>
      <c r="L74" s="79"/>
      <c r="M74" s="79"/>
      <c r="N74" s="79"/>
    </row>
    <row r="75" ht="26" spans="1:14">
      <c r="A75" s="81" t="s">
        <v>354</v>
      </c>
      <c r="B75" s="81" t="s">
        <v>77</v>
      </c>
      <c r="C75" s="81" t="s">
        <v>85</v>
      </c>
      <c r="D75" s="81" t="s">
        <v>889</v>
      </c>
      <c r="E75" s="81" t="s">
        <v>202</v>
      </c>
      <c r="F75" s="81">
        <v>4</v>
      </c>
      <c r="G75" s="81">
        <v>1</v>
      </c>
      <c r="H75" s="81" t="s">
        <v>1006</v>
      </c>
      <c r="I75" s="81" t="s">
        <v>1057</v>
      </c>
      <c r="J75" s="81" t="s">
        <v>1005</v>
      </c>
      <c r="K75" s="79"/>
      <c r="L75" s="79"/>
      <c r="M75" s="79"/>
      <c r="N75" s="79"/>
    </row>
    <row r="76" ht="26" spans="1:14">
      <c r="A76" s="81" t="s">
        <v>355</v>
      </c>
      <c r="B76" s="81" t="s">
        <v>77</v>
      </c>
      <c r="C76" s="81" t="s">
        <v>85</v>
      </c>
      <c r="D76" s="81" t="s">
        <v>889</v>
      </c>
      <c r="E76" s="81" t="s">
        <v>202</v>
      </c>
      <c r="F76" s="81">
        <v>4</v>
      </c>
      <c r="G76" s="81">
        <v>1</v>
      </c>
      <c r="H76" s="81" t="s">
        <v>1006</v>
      </c>
      <c r="I76" s="81" t="s">
        <v>1057</v>
      </c>
      <c r="J76" s="81" t="s">
        <v>1005</v>
      </c>
      <c r="K76" s="79"/>
      <c r="L76" s="79"/>
      <c r="M76" s="79"/>
      <c r="N76" s="79"/>
    </row>
    <row r="77" ht="26" spans="1:14">
      <c r="A77" s="81" t="s">
        <v>356</v>
      </c>
      <c r="B77" s="81" t="s">
        <v>77</v>
      </c>
      <c r="C77" s="81" t="s">
        <v>85</v>
      </c>
      <c r="D77" s="81" t="s">
        <v>889</v>
      </c>
      <c r="E77" s="81" t="s">
        <v>202</v>
      </c>
      <c r="F77" s="81">
        <v>4</v>
      </c>
      <c r="G77" s="81">
        <v>1</v>
      </c>
      <c r="H77" s="81" t="s">
        <v>1006</v>
      </c>
      <c r="I77" s="81" t="s">
        <v>1057</v>
      </c>
      <c r="J77" s="81" t="s">
        <v>1005</v>
      </c>
      <c r="K77" s="79"/>
      <c r="L77" s="79"/>
      <c r="M77" s="79"/>
      <c r="N77" s="79"/>
    </row>
    <row r="78" ht="26" spans="1:14">
      <c r="A78" s="81" t="s">
        <v>357</v>
      </c>
      <c r="B78" s="81" t="s">
        <v>77</v>
      </c>
      <c r="C78" s="81" t="s">
        <v>85</v>
      </c>
      <c r="D78" s="81" t="s">
        <v>890</v>
      </c>
      <c r="E78" s="81" t="s">
        <v>202</v>
      </c>
      <c r="F78" s="81">
        <v>4</v>
      </c>
      <c r="G78" s="81">
        <v>1</v>
      </c>
      <c r="H78" s="81" t="s">
        <v>1006</v>
      </c>
      <c r="I78" s="81" t="s">
        <v>1057</v>
      </c>
      <c r="J78" s="81" t="s">
        <v>1005</v>
      </c>
      <c r="K78" s="79"/>
      <c r="L78" s="79"/>
      <c r="M78" s="79"/>
      <c r="N78" s="79"/>
    </row>
    <row r="79" ht="26" spans="1:14">
      <c r="A79" s="81" t="s">
        <v>359</v>
      </c>
      <c r="B79" s="81" t="s">
        <v>77</v>
      </c>
      <c r="C79" s="81" t="s">
        <v>85</v>
      </c>
      <c r="D79" s="81" t="s">
        <v>885</v>
      </c>
      <c r="E79" s="81" t="s">
        <v>200</v>
      </c>
      <c r="F79" s="81">
        <v>4</v>
      </c>
      <c r="G79" s="81">
        <v>0.5</v>
      </c>
      <c r="H79" s="81" t="s">
        <v>1006</v>
      </c>
      <c r="I79" s="81" t="s">
        <v>1057</v>
      </c>
      <c r="J79" s="81" t="s">
        <v>1005</v>
      </c>
      <c r="K79" s="79"/>
      <c r="L79" s="79"/>
      <c r="M79" s="79"/>
      <c r="N79" s="79"/>
    </row>
    <row r="80" ht="26" spans="1:14">
      <c r="A80" s="81" t="s">
        <v>361</v>
      </c>
      <c r="B80" s="81" t="s">
        <v>77</v>
      </c>
      <c r="C80" s="81" t="s">
        <v>203</v>
      </c>
      <c r="D80" s="81" t="s">
        <v>891</v>
      </c>
      <c r="E80" s="81" t="s">
        <v>200</v>
      </c>
      <c r="F80" s="81">
        <v>4</v>
      </c>
      <c r="G80" s="81">
        <v>0.5</v>
      </c>
      <c r="H80" s="81" t="s">
        <v>1008</v>
      </c>
      <c r="I80" s="81" t="s">
        <v>1057</v>
      </c>
      <c r="J80" s="81" t="s">
        <v>1007</v>
      </c>
      <c r="K80" s="79"/>
      <c r="L80" s="79"/>
      <c r="M80" s="79"/>
      <c r="N80" s="79"/>
    </row>
    <row r="81" ht="26" spans="1:14">
      <c r="A81" s="81" t="s">
        <v>370</v>
      </c>
      <c r="B81" s="81" t="s">
        <v>77</v>
      </c>
      <c r="C81" s="81" t="s">
        <v>203</v>
      </c>
      <c r="D81" s="81" t="s">
        <v>891</v>
      </c>
      <c r="E81" s="81" t="s">
        <v>200</v>
      </c>
      <c r="F81" s="81">
        <v>4</v>
      </c>
      <c r="G81" s="81">
        <v>0.5</v>
      </c>
      <c r="H81" s="81" t="s">
        <v>1008</v>
      </c>
      <c r="I81" s="81" t="s">
        <v>1057</v>
      </c>
      <c r="J81" s="81" t="s">
        <v>1007</v>
      </c>
      <c r="K81" s="79"/>
      <c r="L81" s="79"/>
      <c r="M81" s="79"/>
      <c r="N81" s="79"/>
    </row>
    <row r="82" ht="26" spans="1:14">
      <c r="A82" s="81" t="s">
        <v>371</v>
      </c>
      <c r="B82" s="81" t="s">
        <v>77</v>
      </c>
      <c r="C82" s="81" t="s">
        <v>203</v>
      </c>
      <c r="D82" s="81" t="s">
        <v>891</v>
      </c>
      <c r="E82" s="81" t="s">
        <v>200</v>
      </c>
      <c r="F82" s="81">
        <v>4</v>
      </c>
      <c r="G82" s="81">
        <v>0.5</v>
      </c>
      <c r="H82" s="81" t="s">
        <v>1008</v>
      </c>
      <c r="I82" s="81" t="s">
        <v>1057</v>
      </c>
      <c r="J82" s="81" t="s">
        <v>1007</v>
      </c>
      <c r="K82" s="79"/>
      <c r="L82" s="79"/>
      <c r="M82" s="79"/>
      <c r="N82" s="79"/>
    </row>
    <row r="83" ht="26" spans="1:14">
      <c r="A83" s="81" t="s">
        <v>372</v>
      </c>
      <c r="B83" s="81" t="s">
        <v>77</v>
      </c>
      <c r="C83" s="81" t="s">
        <v>203</v>
      </c>
      <c r="D83" s="81" t="s">
        <v>891</v>
      </c>
      <c r="E83" s="81" t="s">
        <v>200</v>
      </c>
      <c r="F83" s="81">
        <v>4</v>
      </c>
      <c r="G83" s="81">
        <v>0.5</v>
      </c>
      <c r="H83" s="81" t="s">
        <v>1008</v>
      </c>
      <c r="I83" s="81" t="s">
        <v>1057</v>
      </c>
      <c r="J83" s="81" t="s">
        <v>1007</v>
      </c>
      <c r="K83" s="79"/>
      <c r="L83" s="79"/>
      <c r="M83" s="79"/>
      <c r="N83" s="79"/>
    </row>
    <row r="84" ht="26" spans="1:14">
      <c r="A84" s="81" t="s">
        <v>373</v>
      </c>
      <c r="B84" s="81" t="s">
        <v>77</v>
      </c>
      <c r="C84" s="81" t="s">
        <v>85</v>
      </c>
      <c r="D84" s="81" t="s">
        <v>886</v>
      </c>
      <c r="E84" s="81" t="s">
        <v>200</v>
      </c>
      <c r="F84" s="81">
        <v>4</v>
      </c>
      <c r="G84" s="81">
        <v>0.5</v>
      </c>
      <c r="H84" s="81" t="s">
        <v>1001</v>
      </c>
      <c r="I84" s="81" t="s">
        <v>1057</v>
      </c>
      <c r="J84" s="81" t="s">
        <v>1004</v>
      </c>
      <c r="K84" s="79"/>
      <c r="L84" s="79"/>
      <c r="M84" s="79"/>
      <c r="N84" s="79"/>
    </row>
    <row r="85" ht="26" spans="1:14">
      <c r="A85" s="81" t="s">
        <v>374</v>
      </c>
      <c r="B85" s="81" t="s">
        <v>77</v>
      </c>
      <c r="C85" s="81" t="s">
        <v>85</v>
      </c>
      <c r="D85" s="81" t="s">
        <v>890</v>
      </c>
      <c r="E85" s="81" t="s">
        <v>202</v>
      </c>
      <c r="F85" s="81">
        <v>4</v>
      </c>
      <c r="G85" s="81">
        <v>1</v>
      </c>
      <c r="H85" s="81" t="s">
        <v>1006</v>
      </c>
      <c r="I85" s="81" t="s">
        <v>1057</v>
      </c>
      <c r="J85" s="81" t="s">
        <v>1005</v>
      </c>
      <c r="K85" s="79"/>
      <c r="L85" s="79"/>
      <c r="M85" s="79"/>
      <c r="N85" s="79"/>
    </row>
    <row r="86" ht="26" spans="1:14">
      <c r="A86" s="81" t="s">
        <v>376</v>
      </c>
      <c r="B86" s="81" t="s">
        <v>77</v>
      </c>
      <c r="C86" s="81" t="s">
        <v>85</v>
      </c>
      <c r="D86" s="81" t="s">
        <v>890</v>
      </c>
      <c r="E86" s="81" t="s">
        <v>202</v>
      </c>
      <c r="F86" s="81">
        <v>4</v>
      </c>
      <c r="G86" s="81">
        <v>1</v>
      </c>
      <c r="H86" s="81" t="s">
        <v>1006</v>
      </c>
      <c r="I86" s="81" t="s">
        <v>1057</v>
      </c>
      <c r="J86" s="81" t="s">
        <v>1005</v>
      </c>
      <c r="K86" s="79"/>
      <c r="L86" s="79"/>
      <c r="M86" s="79"/>
      <c r="N86" s="79"/>
    </row>
    <row r="87" ht="26" spans="1:14">
      <c r="A87" s="81" t="s">
        <v>377</v>
      </c>
      <c r="B87" s="81" t="s">
        <v>77</v>
      </c>
      <c r="C87" s="81" t="s">
        <v>85</v>
      </c>
      <c r="D87" s="81" t="s">
        <v>890</v>
      </c>
      <c r="E87" s="81" t="s">
        <v>202</v>
      </c>
      <c r="F87" s="81">
        <v>4</v>
      </c>
      <c r="G87" s="81">
        <v>1</v>
      </c>
      <c r="H87" s="81" t="s">
        <v>1006</v>
      </c>
      <c r="I87" s="81" t="s">
        <v>1057</v>
      </c>
      <c r="J87" s="81" t="s">
        <v>1005</v>
      </c>
      <c r="K87" s="79"/>
      <c r="L87" s="79"/>
      <c r="M87" s="79"/>
      <c r="N87" s="79"/>
    </row>
    <row r="88" ht="26" spans="1:14">
      <c r="A88" s="81" t="s">
        <v>378</v>
      </c>
      <c r="B88" s="81" t="s">
        <v>77</v>
      </c>
      <c r="C88" s="81" t="s">
        <v>85</v>
      </c>
      <c r="D88" s="81" t="s">
        <v>890</v>
      </c>
      <c r="E88" s="81" t="s">
        <v>202</v>
      </c>
      <c r="F88" s="81">
        <v>4</v>
      </c>
      <c r="G88" s="81">
        <v>1</v>
      </c>
      <c r="H88" s="81" t="s">
        <v>1006</v>
      </c>
      <c r="I88" s="81" t="s">
        <v>1057</v>
      </c>
      <c r="J88" s="81" t="s">
        <v>1005</v>
      </c>
      <c r="K88" s="79"/>
      <c r="L88" s="79"/>
      <c r="M88" s="79"/>
      <c r="N88" s="79"/>
    </row>
    <row r="89" ht="26" spans="1:14">
      <c r="A89" s="81" t="s">
        <v>379</v>
      </c>
      <c r="B89" s="81" t="s">
        <v>77</v>
      </c>
      <c r="C89" s="81" t="s">
        <v>85</v>
      </c>
      <c r="D89" s="81" t="s">
        <v>890</v>
      </c>
      <c r="E89" s="81" t="s">
        <v>202</v>
      </c>
      <c r="F89" s="81">
        <v>4</v>
      </c>
      <c r="G89" s="81">
        <v>1</v>
      </c>
      <c r="H89" s="81" t="s">
        <v>1006</v>
      </c>
      <c r="I89" s="81" t="s">
        <v>1057</v>
      </c>
      <c r="J89" s="81" t="s">
        <v>1005</v>
      </c>
      <c r="K89" s="79"/>
      <c r="L89" s="79"/>
      <c r="M89" s="79"/>
      <c r="N89" s="79"/>
    </row>
    <row r="90" ht="26" spans="1:14">
      <c r="A90" s="81" t="s">
        <v>380</v>
      </c>
      <c r="B90" s="81" t="s">
        <v>77</v>
      </c>
      <c r="C90" s="81" t="s">
        <v>85</v>
      </c>
      <c r="D90" s="81" t="s">
        <v>890</v>
      </c>
      <c r="E90" s="81" t="s">
        <v>202</v>
      </c>
      <c r="F90" s="81">
        <v>4</v>
      </c>
      <c r="G90" s="81">
        <v>1</v>
      </c>
      <c r="H90" s="81" t="s">
        <v>1006</v>
      </c>
      <c r="I90" s="81" t="s">
        <v>1057</v>
      </c>
      <c r="J90" s="81" t="s">
        <v>1005</v>
      </c>
      <c r="K90" s="79"/>
      <c r="L90" s="79"/>
      <c r="M90" s="79"/>
      <c r="N90" s="79"/>
    </row>
    <row r="91" ht="26" spans="1:14">
      <c r="A91" s="81" t="s">
        <v>381</v>
      </c>
      <c r="B91" s="81" t="s">
        <v>77</v>
      </c>
      <c r="C91" s="81" t="s">
        <v>85</v>
      </c>
      <c r="D91" s="81" t="s">
        <v>890</v>
      </c>
      <c r="E91" s="81" t="s">
        <v>202</v>
      </c>
      <c r="F91" s="81">
        <v>4</v>
      </c>
      <c r="G91" s="81">
        <v>1</v>
      </c>
      <c r="H91" s="81" t="s">
        <v>1006</v>
      </c>
      <c r="I91" s="81" t="s">
        <v>1057</v>
      </c>
      <c r="J91" s="81" t="s">
        <v>1005</v>
      </c>
      <c r="K91" s="79"/>
      <c r="L91" s="79"/>
      <c r="M91" s="79"/>
      <c r="N91" s="79"/>
    </row>
    <row r="92" ht="26" spans="1:14">
      <c r="A92" s="81" t="s">
        <v>382</v>
      </c>
      <c r="B92" s="81" t="s">
        <v>77</v>
      </c>
      <c r="C92" s="81" t="s">
        <v>85</v>
      </c>
      <c r="D92" s="81" t="s">
        <v>890</v>
      </c>
      <c r="E92" s="81" t="s">
        <v>202</v>
      </c>
      <c r="F92" s="81">
        <v>4</v>
      </c>
      <c r="G92" s="81">
        <v>1</v>
      </c>
      <c r="H92" s="81" t="s">
        <v>1006</v>
      </c>
      <c r="I92" s="81" t="s">
        <v>1057</v>
      </c>
      <c r="J92" s="81" t="s">
        <v>1005</v>
      </c>
      <c r="K92" s="79"/>
      <c r="L92" s="79"/>
      <c r="M92" s="79"/>
      <c r="N92" s="79"/>
    </row>
    <row r="93" ht="26" spans="1:14">
      <c r="A93" s="81" t="s">
        <v>383</v>
      </c>
      <c r="B93" s="81" t="s">
        <v>77</v>
      </c>
      <c r="C93" s="81" t="s">
        <v>85</v>
      </c>
      <c r="D93" s="81" t="s">
        <v>890</v>
      </c>
      <c r="E93" s="81" t="s">
        <v>202</v>
      </c>
      <c r="F93" s="81">
        <v>4</v>
      </c>
      <c r="G93" s="81">
        <v>1</v>
      </c>
      <c r="H93" s="81" t="s">
        <v>1006</v>
      </c>
      <c r="I93" s="81" t="s">
        <v>1057</v>
      </c>
      <c r="J93" s="81" t="s">
        <v>1005</v>
      </c>
      <c r="K93" s="79"/>
      <c r="L93" s="79"/>
      <c r="M93" s="79"/>
      <c r="N93" s="79"/>
    </row>
    <row r="94" ht="26" spans="1:14">
      <c r="A94" s="81" t="s">
        <v>384</v>
      </c>
      <c r="B94" s="81" t="s">
        <v>77</v>
      </c>
      <c r="C94" s="81" t="s">
        <v>85</v>
      </c>
      <c r="D94" s="81" t="s">
        <v>893</v>
      </c>
      <c r="E94" s="81" t="s">
        <v>200</v>
      </c>
      <c r="F94" s="81">
        <v>4</v>
      </c>
      <c r="G94" s="81">
        <v>0.5</v>
      </c>
      <c r="H94" s="81" t="s">
        <v>1001</v>
      </c>
      <c r="I94" s="81" t="s">
        <v>1057</v>
      </c>
      <c r="J94" s="81" t="s">
        <v>1004</v>
      </c>
      <c r="K94" s="79"/>
      <c r="L94" s="79"/>
      <c r="M94" s="79"/>
      <c r="N94" s="79"/>
    </row>
    <row r="95" ht="26" spans="1:14">
      <c r="A95" s="81" t="s">
        <v>385</v>
      </c>
      <c r="B95" s="81" t="s">
        <v>77</v>
      </c>
      <c r="C95" s="81" t="s">
        <v>85</v>
      </c>
      <c r="D95" s="81" t="s">
        <v>893</v>
      </c>
      <c r="E95" s="81" t="s">
        <v>200</v>
      </c>
      <c r="F95" s="81">
        <v>4</v>
      </c>
      <c r="G95" s="81">
        <v>0.5</v>
      </c>
      <c r="H95" s="81" t="s">
        <v>1001</v>
      </c>
      <c r="I95" s="81" t="s">
        <v>1057</v>
      </c>
      <c r="J95" s="81" t="s">
        <v>1004</v>
      </c>
      <c r="K95" s="79"/>
      <c r="L95" s="79"/>
      <c r="M95" s="79"/>
      <c r="N95" s="79"/>
    </row>
    <row r="96" ht="26" spans="1:14">
      <c r="A96" s="81" t="s">
        <v>386</v>
      </c>
      <c r="B96" s="81" t="s">
        <v>77</v>
      </c>
      <c r="C96" s="81" t="s">
        <v>85</v>
      </c>
      <c r="D96" s="81" t="s">
        <v>893</v>
      </c>
      <c r="E96" s="81" t="s">
        <v>200</v>
      </c>
      <c r="F96" s="81">
        <v>4</v>
      </c>
      <c r="G96" s="81">
        <v>0.5</v>
      </c>
      <c r="H96" s="81" t="s">
        <v>1001</v>
      </c>
      <c r="I96" s="81" t="s">
        <v>1057</v>
      </c>
      <c r="J96" s="81" t="s">
        <v>1004</v>
      </c>
      <c r="K96" s="79"/>
      <c r="L96" s="79"/>
      <c r="M96" s="79"/>
      <c r="N96" s="79"/>
    </row>
    <row r="97" ht="26" spans="1:14">
      <c r="A97" s="81" t="s">
        <v>387</v>
      </c>
      <c r="B97" s="81" t="s">
        <v>77</v>
      </c>
      <c r="C97" s="81" t="s">
        <v>85</v>
      </c>
      <c r="D97" s="81" t="s">
        <v>893</v>
      </c>
      <c r="E97" s="81" t="s">
        <v>200</v>
      </c>
      <c r="F97" s="81">
        <v>4</v>
      </c>
      <c r="G97" s="81">
        <v>0.5</v>
      </c>
      <c r="H97" s="81" t="s">
        <v>1001</v>
      </c>
      <c r="I97" s="81" t="s">
        <v>1057</v>
      </c>
      <c r="J97" s="81" t="s">
        <v>1004</v>
      </c>
      <c r="K97" s="79"/>
      <c r="L97" s="79"/>
      <c r="M97" s="79"/>
      <c r="N97" s="79"/>
    </row>
    <row r="98" ht="26" spans="1:14">
      <c r="A98" s="81" t="s">
        <v>389</v>
      </c>
      <c r="B98" s="81" t="s">
        <v>77</v>
      </c>
      <c r="C98" s="81" t="s">
        <v>85</v>
      </c>
      <c r="D98" s="81" t="s">
        <v>885</v>
      </c>
      <c r="E98" s="81" t="s">
        <v>200</v>
      </c>
      <c r="F98" s="81">
        <v>4</v>
      </c>
      <c r="G98" s="81">
        <v>0.5</v>
      </c>
      <c r="H98" s="81" t="s">
        <v>1006</v>
      </c>
      <c r="I98" s="81" t="s">
        <v>1057</v>
      </c>
      <c r="J98" s="81" t="s">
        <v>1005</v>
      </c>
      <c r="K98" s="79"/>
      <c r="L98" s="79"/>
      <c r="M98" s="79"/>
      <c r="N98" s="79"/>
    </row>
    <row r="99" ht="26" spans="1:14">
      <c r="A99" s="81" t="s">
        <v>391</v>
      </c>
      <c r="B99" s="81" t="s">
        <v>77</v>
      </c>
      <c r="C99" s="81" t="s">
        <v>203</v>
      </c>
      <c r="D99" s="81" t="s">
        <v>894</v>
      </c>
      <c r="E99" s="81" t="s">
        <v>200</v>
      </c>
      <c r="F99" s="81">
        <v>4</v>
      </c>
      <c r="G99" s="81">
        <v>0.5</v>
      </c>
      <c r="H99" s="81" t="s">
        <v>1001</v>
      </c>
      <c r="I99" s="81" t="s">
        <v>1057</v>
      </c>
      <c r="J99" s="81" t="s">
        <v>1004</v>
      </c>
      <c r="K99" s="79"/>
      <c r="L99" s="79"/>
      <c r="M99" s="79"/>
      <c r="N99" s="79"/>
    </row>
    <row r="100" ht="26" spans="1:14">
      <c r="A100" s="81" t="s">
        <v>396</v>
      </c>
      <c r="B100" s="81" t="s">
        <v>77</v>
      </c>
      <c r="C100" s="81" t="s">
        <v>203</v>
      </c>
      <c r="D100" s="81" t="s">
        <v>894</v>
      </c>
      <c r="E100" s="81" t="s">
        <v>200</v>
      </c>
      <c r="F100" s="81">
        <v>4</v>
      </c>
      <c r="G100" s="81">
        <v>0.5</v>
      </c>
      <c r="H100" s="81" t="s">
        <v>1001</v>
      </c>
      <c r="I100" s="81" t="s">
        <v>1057</v>
      </c>
      <c r="J100" s="81" t="s">
        <v>1004</v>
      </c>
      <c r="K100" s="79"/>
      <c r="L100" s="79"/>
      <c r="M100" s="79"/>
      <c r="N100" s="79"/>
    </row>
    <row r="101" ht="26" spans="1:14">
      <c r="A101" s="81" t="s">
        <v>397</v>
      </c>
      <c r="B101" s="81" t="s">
        <v>77</v>
      </c>
      <c r="C101" s="81" t="s">
        <v>203</v>
      </c>
      <c r="D101" s="81" t="s">
        <v>894</v>
      </c>
      <c r="E101" s="81" t="s">
        <v>200</v>
      </c>
      <c r="F101" s="81">
        <v>4</v>
      </c>
      <c r="G101" s="81">
        <v>0.5</v>
      </c>
      <c r="H101" s="81" t="s">
        <v>1001</v>
      </c>
      <c r="I101" s="81" t="s">
        <v>1057</v>
      </c>
      <c r="J101" s="81" t="s">
        <v>1004</v>
      </c>
      <c r="K101" s="79"/>
      <c r="L101" s="79"/>
      <c r="M101" s="79"/>
      <c r="N101" s="79"/>
    </row>
    <row r="102" ht="26" spans="1:14">
      <c r="A102" s="81" t="s">
        <v>398</v>
      </c>
      <c r="B102" s="81" t="s">
        <v>77</v>
      </c>
      <c r="C102" s="81" t="s">
        <v>201</v>
      </c>
      <c r="D102" s="81" t="s">
        <v>895</v>
      </c>
      <c r="E102" s="81" t="s">
        <v>200</v>
      </c>
      <c r="F102" s="81">
        <v>4</v>
      </c>
      <c r="G102" s="81">
        <v>0.5</v>
      </c>
      <c r="H102" s="81" t="s">
        <v>1006</v>
      </c>
      <c r="I102" s="81" t="s">
        <v>1057</v>
      </c>
      <c r="J102" s="81" t="s">
        <v>1005</v>
      </c>
      <c r="K102" s="79"/>
      <c r="L102" s="79"/>
      <c r="M102" s="79"/>
      <c r="N102" s="79"/>
    </row>
    <row r="103" ht="26" spans="1:14">
      <c r="A103" s="81" t="s">
        <v>404</v>
      </c>
      <c r="B103" s="81" t="s">
        <v>77</v>
      </c>
      <c r="C103" s="81" t="s">
        <v>85</v>
      </c>
      <c r="D103" s="81" t="s">
        <v>888</v>
      </c>
      <c r="E103" s="81" t="s">
        <v>200</v>
      </c>
      <c r="F103" s="81">
        <v>4</v>
      </c>
      <c r="G103" s="81">
        <v>0.5</v>
      </c>
      <c r="H103" s="81" t="s">
        <v>1006</v>
      </c>
      <c r="I103" s="81" t="s">
        <v>1057</v>
      </c>
      <c r="J103" s="81" t="s">
        <v>1005</v>
      </c>
      <c r="K103" s="79"/>
      <c r="L103" s="79"/>
      <c r="M103" s="79"/>
      <c r="N103" s="79"/>
    </row>
    <row r="104" ht="26" spans="1:14">
      <c r="A104" s="81" t="s">
        <v>407</v>
      </c>
      <c r="B104" s="81" t="s">
        <v>77</v>
      </c>
      <c r="C104" s="81" t="s">
        <v>85</v>
      </c>
      <c r="D104" s="81" t="s">
        <v>896</v>
      </c>
      <c r="E104" s="81" t="s">
        <v>200</v>
      </c>
      <c r="F104" s="81">
        <v>4</v>
      </c>
      <c r="G104" s="81">
        <v>0.5</v>
      </c>
      <c r="H104" s="81" t="s">
        <v>1006</v>
      </c>
      <c r="I104" s="81" t="s">
        <v>1057</v>
      </c>
      <c r="J104" s="81" t="s">
        <v>1005</v>
      </c>
      <c r="K104" s="79"/>
      <c r="L104" s="79"/>
      <c r="M104" s="79"/>
      <c r="N104" s="79"/>
    </row>
    <row r="105" ht="26" spans="1:14">
      <c r="A105" s="81" t="s">
        <v>408</v>
      </c>
      <c r="B105" s="81" t="s">
        <v>77</v>
      </c>
      <c r="C105" s="81" t="s">
        <v>85</v>
      </c>
      <c r="D105" s="81" t="s">
        <v>885</v>
      </c>
      <c r="E105" s="81" t="s">
        <v>200</v>
      </c>
      <c r="F105" s="81">
        <v>4</v>
      </c>
      <c r="G105" s="81">
        <v>0.5</v>
      </c>
      <c r="H105" s="81" t="s">
        <v>1006</v>
      </c>
      <c r="I105" s="81" t="s">
        <v>1057</v>
      </c>
      <c r="J105" s="81" t="s">
        <v>1005</v>
      </c>
      <c r="K105" s="79"/>
      <c r="L105" s="79"/>
      <c r="M105" s="79"/>
      <c r="N105" s="79"/>
    </row>
    <row r="106" ht="26" spans="1:14">
      <c r="A106" s="81" t="s">
        <v>410</v>
      </c>
      <c r="B106" s="81" t="s">
        <v>77</v>
      </c>
      <c r="C106" s="81" t="s">
        <v>85</v>
      </c>
      <c r="D106" s="81" t="s">
        <v>897</v>
      </c>
      <c r="E106" s="81" t="s">
        <v>202</v>
      </c>
      <c r="F106" s="81">
        <v>4</v>
      </c>
      <c r="G106" s="81">
        <v>1</v>
      </c>
      <c r="H106" s="81" t="s">
        <v>1008</v>
      </c>
      <c r="I106" s="81" t="s">
        <v>1057</v>
      </c>
      <c r="J106" s="81" t="s">
        <v>1004</v>
      </c>
      <c r="K106" s="79"/>
      <c r="L106" s="79"/>
      <c r="M106" s="79"/>
      <c r="N106" s="79"/>
    </row>
    <row r="107" ht="26" spans="1:14">
      <c r="A107" s="81" t="s">
        <v>416</v>
      </c>
      <c r="B107" s="81" t="s">
        <v>77</v>
      </c>
      <c r="C107" s="81" t="s">
        <v>85</v>
      </c>
      <c r="D107" s="81" t="s">
        <v>897</v>
      </c>
      <c r="E107" s="81" t="s">
        <v>202</v>
      </c>
      <c r="F107" s="81">
        <v>4</v>
      </c>
      <c r="G107" s="81">
        <v>1</v>
      </c>
      <c r="H107" s="81" t="s">
        <v>1008</v>
      </c>
      <c r="I107" s="81" t="s">
        <v>1057</v>
      </c>
      <c r="J107" s="81" t="s">
        <v>1004</v>
      </c>
      <c r="K107" s="79"/>
      <c r="L107" s="79"/>
      <c r="M107" s="79"/>
      <c r="N107" s="79"/>
    </row>
    <row r="108" ht="26" spans="1:14">
      <c r="A108" s="81" t="s">
        <v>418</v>
      </c>
      <c r="B108" s="81" t="s">
        <v>77</v>
      </c>
      <c r="C108" s="81" t="s">
        <v>85</v>
      </c>
      <c r="D108" s="81" t="s">
        <v>897</v>
      </c>
      <c r="E108" s="81" t="s">
        <v>202</v>
      </c>
      <c r="F108" s="81">
        <v>4</v>
      </c>
      <c r="G108" s="81">
        <v>1</v>
      </c>
      <c r="H108" s="81" t="s">
        <v>1008</v>
      </c>
      <c r="I108" s="81" t="s">
        <v>1057</v>
      </c>
      <c r="J108" s="81" t="s">
        <v>1004</v>
      </c>
      <c r="K108" s="79"/>
      <c r="L108" s="79"/>
      <c r="M108" s="79"/>
      <c r="N108" s="79"/>
    </row>
    <row r="109" ht="26" spans="1:14">
      <c r="A109" s="81" t="s">
        <v>420</v>
      </c>
      <c r="B109" s="81" t="s">
        <v>77</v>
      </c>
      <c r="C109" s="81" t="s">
        <v>201</v>
      </c>
      <c r="D109" s="81" t="s">
        <v>898</v>
      </c>
      <c r="E109" s="81" t="s">
        <v>200</v>
      </c>
      <c r="F109" s="81">
        <v>4</v>
      </c>
      <c r="G109" s="81">
        <v>0.5</v>
      </c>
      <c r="H109" s="81" t="s">
        <v>1006</v>
      </c>
      <c r="I109" s="81" t="s">
        <v>1057</v>
      </c>
      <c r="J109" s="81" t="s">
        <v>1005</v>
      </c>
      <c r="K109" s="79"/>
      <c r="L109" s="79"/>
      <c r="M109" s="79"/>
      <c r="N109" s="79"/>
    </row>
    <row r="110" ht="26" spans="1:14">
      <c r="A110" s="81" t="s">
        <v>424</v>
      </c>
      <c r="B110" s="81" t="s">
        <v>77</v>
      </c>
      <c r="C110" s="81" t="s">
        <v>203</v>
      </c>
      <c r="D110" s="81" t="s">
        <v>899</v>
      </c>
      <c r="E110" s="81" t="s">
        <v>200</v>
      </c>
      <c r="F110" s="81">
        <v>4</v>
      </c>
      <c r="G110" s="81">
        <v>0.5</v>
      </c>
      <c r="H110" s="81" t="s">
        <v>1008</v>
      </c>
      <c r="I110" s="81" t="s">
        <v>1057</v>
      </c>
      <c r="J110" s="81" t="s">
        <v>1012</v>
      </c>
      <c r="K110" s="79"/>
      <c r="L110" s="79"/>
      <c r="M110" s="79"/>
      <c r="N110" s="79"/>
    </row>
    <row r="111" ht="26" spans="1:14">
      <c r="A111" s="81" t="s">
        <v>426</v>
      </c>
      <c r="B111" s="81" t="s">
        <v>77</v>
      </c>
      <c r="C111" s="81" t="s">
        <v>201</v>
      </c>
      <c r="D111" s="81" t="s">
        <v>900</v>
      </c>
      <c r="E111" s="81" t="s">
        <v>200</v>
      </c>
      <c r="F111" s="81">
        <v>4</v>
      </c>
      <c r="G111" s="81">
        <v>0.5</v>
      </c>
      <c r="H111" s="81" t="s">
        <v>1006</v>
      </c>
      <c r="I111" s="81" t="s">
        <v>1057</v>
      </c>
      <c r="J111" s="81" t="s">
        <v>1002</v>
      </c>
      <c r="K111" s="79"/>
      <c r="L111" s="79"/>
      <c r="M111" s="79"/>
      <c r="N111" s="79"/>
    </row>
    <row r="112" ht="26" spans="1:14">
      <c r="A112" s="81" t="s">
        <v>427</v>
      </c>
      <c r="B112" s="81" t="s">
        <v>77</v>
      </c>
      <c r="C112" s="81" t="s">
        <v>201</v>
      </c>
      <c r="D112" s="81" t="s">
        <v>901</v>
      </c>
      <c r="E112" s="81" t="s">
        <v>199</v>
      </c>
      <c r="F112" s="81">
        <v>4</v>
      </c>
      <c r="G112" s="81">
        <v>0.5</v>
      </c>
      <c r="H112" s="81" t="s">
        <v>1001</v>
      </c>
      <c r="I112" s="81" t="s">
        <v>1057</v>
      </c>
      <c r="J112" s="81" t="s">
        <v>1004</v>
      </c>
      <c r="K112" s="79"/>
      <c r="L112" s="79"/>
      <c r="M112" s="79"/>
      <c r="N112" s="79"/>
    </row>
    <row r="113" ht="26" spans="1:14">
      <c r="A113" s="81" t="s">
        <v>429</v>
      </c>
      <c r="B113" s="81" t="s">
        <v>77</v>
      </c>
      <c r="C113" s="81" t="s">
        <v>201</v>
      </c>
      <c r="D113" s="81" t="s">
        <v>902</v>
      </c>
      <c r="E113" s="81" t="s">
        <v>200</v>
      </c>
      <c r="F113" s="81">
        <v>4</v>
      </c>
      <c r="G113" s="81">
        <v>0.5</v>
      </c>
      <c r="H113" s="81" t="s">
        <v>1006</v>
      </c>
      <c r="I113" s="81" t="s">
        <v>1057</v>
      </c>
      <c r="J113" s="81" t="s">
        <v>1005</v>
      </c>
      <c r="K113" s="79"/>
      <c r="L113" s="79"/>
      <c r="M113" s="79"/>
      <c r="N113" s="79"/>
    </row>
    <row r="114" ht="26" spans="1:14">
      <c r="A114" s="81" t="s">
        <v>432</v>
      </c>
      <c r="B114" s="81" t="s">
        <v>77</v>
      </c>
      <c r="C114" s="81" t="s">
        <v>201</v>
      </c>
      <c r="D114" s="81" t="s">
        <v>902</v>
      </c>
      <c r="E114" s="81" t="s">
        <v>200</v>
      </c>
      <c r="F114" s="81">
        <v>4</v>
      </c>
      <c r="G114" s="81">
        <v>0.5</v>
      </c>
      <c r="H114" s="81" t="s">
        <v>1006</v>
      </c>
      <c r="I114" s="81" t="s">
        <v>1057</v>
      </c>
      <c r="J114" s="81" t="s">
        <v>1005</v>
      </c>
      <c r="K114" s="79"/>
      <c r="L114" s="79"/>
      <c r="M114" s="79"/>
      <c r="N114" s="79"/>
    </row>
    <row r="115" ht="26" spans="1:14">
      <c r="A115" s="81" t="s">
        <v>433</v>
      </c>
      <c r="B115" s="81" t="s">
        <v>77</v>
      </c>
      <c r="C115" s="81" t="s">
        <v>201</v>
      </c>
      <c r="D115" s="81" t="s">
        <v>902</v>
      </c>
      <c r="E115" s="81" t="s">
        <v>200</v>
      </c>
      <c r="F115" s="81">
        <v>4</v>
      </c>
      <c r="G115" s="81">
        <v>0.5</v>
      </c>
      <c r="H115" s="81" t="s">
        <v>1006</v>
      </c>
      <c r="I115" s="81" t="s">
        <v>1057</v>
      </c>
      <c r="J115" s="81" t="s">
        <v>1005</v>
      </c>
      <c r="K115" s="79"/>
      <c r="L115" s="79"/>
      <c r="M115" s="79"/>
      <c r="N115" s="79"/>
    </row>
    <row r="116" ht="26" spans="1:14">
      <c r="A116" s="81" t="s">
        <v>434</v>
      </c>
      <c r="B116" s="81" t="s">
        <v>77</v>
      </c>
      <c r="C116" s="81" t="s">
        <v>201</v>
      </c>
      <c r="D116" s="81" t="s">
        <v>903</v>
      </c>
      <c r="E116" s="81" t="s">
        <v>200</v>
      </c>
      <c r="F116" s="81">
        <v>4</v>
      </c>
      <c r="G116" s="81">
        <v>0.5</v>
      </c>
      <c r="H116" s="81" t="s">
        <v>1006</v>
      </c>
      <c r="I116" s="81" t="s">
        <v>1057</v>
      </c>
      <c r="J116" s="81" t="s">
        <v>1009</v>
      </c>
      <c r="K116" s="79"/>
      <c r="L116" s="79"/>
      <c r="M116" s="79"/>
      <c r="N116" s="79"/>
    </row>
    <row r="117" ht="26" spans="1:14">
      <c r="A117" s="81" t="s">
        <v>439</v>
      </c>
      <c r="B117" s="81" t="s">
        <v>77</v>
      </c>
      <c r="C117" s="81" t="s">
        <v>201</v>
      </c>
      <c r="D117" s="81" t="s">
        <v>903</v>
      </c>
      <c r="E117" s="81" t="s">
        <v>200</v>
      </c>
      <c r="F117" s="81">
        <v>4</v>
      </c>
      <c r="G117" s="81">
        <v>0.5</v>
      </c>
      <c r="H117" s="81" t="s">
        <v>1006</v>
      </c>
      <c r="I117" s="81" t="s">
        <v>1057</v>
      </c>
      <c r="J117" s="81" t="s">
        <v>1009</v>
      </c>
      <c r="K117" s="79"/>
      <c r="L117" s="79"/>
      <c r="M117" s="79"/>
      <c r="N117" s="79"/>
    </row>
    <row r="118" ht="26" spans="1:14">
      <c r="A118" s="81" t="s">
        <v>441</v>
      </c>
      <c r="B118" s="81" t="s">
        <v>77</v>
      </c>
      <c r="C118" s="81" t="s">
        <v>201</v>
      </c>
      <c r="D118" s="81" t="s">
        <v>903</v>
      </c>
      <c r="E118" s="81" t="s">
        <v>200</v>
      </c>
      <c r="F118" s="81">
        <v>4</v>
      </c>
      <c r="G118" s="81">
        <v>0.5</v>
      </c>
      <c r="H118" s="81" t="s">
        <v>1006</v>
      </c>
      <c r="I118" s="81" t="s">
        <v>1057</v>
      </c>
      <c r="J118" s="81" t="s">
        <v>1009</v>
      </c>
      <c r="K118" s="79"/>
      <c r="L118" s="79"/>
      <c r="M118" s="79"/>
      <c r="N118" s="79"/>
    </row>
    <row r="119" ht="26" spans="1:14">
      <c r="A119" s="81" t="s">
        <v>443</v>
      </c>
      <c r="B119" s="81" t="s">
        <v>77</v>
      </c>
      <c r="C119" s="81" t="s">
        <v>201</v>
      </c>
      <c r="D119" s="81" t="s">
        <v>903</v>
      </c>
      <c r="E119" s="81" t="s">
        <v>200</v>
      </c>
      <c r="F119" s="81">
        <v>4</v>
      </c>
      <c r="G119" s="81">
        <v>0.5</v>
      </c>
      <c r="H119" s="81" t="s">
        <v>1006</v>
      </c>
      <c r="I119" s="81" t="s">
        <v>1057</v>
      </c>
      <c r="J119" s="81" t="s">
        <v>1009</v>
      </c>
      <c r="K119" s="79"/>
      <c r="L119" s="79"/>
      <c r="M119" s="79"/>
      <c r="N119" s="79"/>
    </row>
    <row r="120" ht="26" spans="1:14">
      <c r="A120" s="81" t="s">
        <v>444</v>
      </c>
      <c r="B120" s="81" t="s">
        <v>77</v>
      </c>
      <c r="C120" s="81" t="s">
        <v>201</v>
      </c>
      <c r="D120" s="81" t="s">
        <v>903</v>
      </c>
      <c r="E120" s="81" t="s">
        <v>200</v>
      </c>
      <c r="F120" s="81">
        <v>4</v>
      </c>
      <c r="G120" s="81">
        <v>0.5</v>
      </c>
      <c r="H120" s="81" t="s">
        <v>1006</v>
      </c>
      <c r="I120" s="81" t="s">
        <v>1057</v>
      </c>
      <c r="J120" s="81" t="s">
        <v>1009</v>
      </c>
      <c r="K120" s="79"/>
      <c r="L120" s="79"/>
      <c r="M120" s="79"/>
      <c r="N120" s="79"/>
    </row>
    <row r="121" ht="26" spans="1:14">
      <c r="A121" s="81" t="s">
        <v>445</v>
      </c>
      <c r="B121" s="81" t="s">
        <v>77</v>
      </c>
      <c r="C121" s="81" t="s">
        <v>201</v>
      </c>
      <c r="D121" s="81" t="s">
        <v>903</v>
      </c>
      <c r="E121" s="81" t="s">
        <v>200</v>
      </c>
      <c r="F121" s="81">
        <v>4</v>
      </c>
      <c r="G121" s="81">
        <v>0.5</v>
      </c>
      <c r="H121" s="81" t="s">
        <v>1006</v>
      </c>
      <c r="I121" s="81" t="s">
        <v>1057</v>
      </c>
      <c r="J121" s="81" t="s">
        <v>1009</v>
      </c>
      <c r="K121" s="79"/>
      <c r="L121" s="79"/>
      <c r="M121" s="79"/>
      <c r="N121" s="79"/>
    </row>
    <row r="122" ht="26" spans="1:14">
      <c r="A122" s="81" t="s">
        <v>446</v>
      </c>
      <c r="B122" s="81" t="s">
        <v>77</v>
      </c>
      <c r="C122" s="81" t="s">
        <v>201</v>
      </c>
      <c r="D122" s="81" t="s">
        <v>904</v>
      </c>
      <c r="E122" s="81" t="s">
        <v>200</v>
      </c>
      <c r="F122" s="81">
        <v>4</v>
      </c>
      <c r="G122" s="81">
        <v>0.5</v>
      </c>
      <c r="H122" s="81" t="s">
        <v>1006</v>
      </c>
      <c r="I122" s="81" t="s">
        <v>1057</v>
      </c>
      <c r="J122" s="81" t="s">
        <v>1009</v>
      </c>
      <c r="K122" s="79"/>
      <c r="L122" s="79"/>
      <c r="M122" s="79"/>
      <c r="N122" s="79"/>
    </row>
    <row r="123" ht="26" spans="1:14">
      <c r="A123" s="81" t="s">
        <v>447</v>
      </c>
      <c r="B123" s="81" t="s">
        <v>77</v>
      </c>
      <c r="C123" s="81" t="s">
        <v>201</v>
      </c>
      <c r="D123" s="81" t="s">
        <v>903</v>
      </c>
      <c r="E123" s="81" t="s">
        <v>200</v>
      </c>
      <c r="F123" s="81">
        <v>4</v>
      </c>
      <c r="G123" s="81">
        <v>0.5</v>
      </c>
      <c r="H123" s="81" t="s">
        <v>1006</v>
      </c>
      <c r="I123" s="81" t="s">
        <v>1057</v>
      </c>
      <c r="J123" s="81" t="s">
        <v>1009</v>
      </c>
      <c r="K123" s="79"/>
      <c r="L123" s="79"/>
      <c r="M123" s="79"/>
      <c r="N123" s="79"/>
    </row>
    <row r="124" ht="26" spans="1:14">
      <c r="A124" s="81" t="s">
        <v>448</v>
      </c>
      <c r="B124" s="81" t="s">
        <v>77</v>
      </c>
      <c r="C124" s="81" t="s">
        <v>203</v>
      </c>
      <c r="D124" s="81" t="s">
        <v>905</v>
      </c>
      <c r="E124" s="81" t="s">
        <v>200</v>
      </c>
      <c r="F124" s="81">
        <v>4</v>
      </c>
      <c r="G124" s="81">
        <v>0.5</v>
      </c>
      <c r="H124" s="81" t="s">
        <v>1008</v>
      </c>
      <c r="I124" s="81" t="s">
        <v>1057</v>
      </c>
      <c r="J124" s="81" t="s">
        <v>1007</v>
      </c>
      <c r="K124" s="79"/>
      <c r="L124" s="79"/>
      <c r="M124" s="79"/>
      <c r="N124" s="79"/>
    </row>
    <row r="125" ht="26" spans="1:14">
      <c r="A125" s="81" t="s">
        <v>451</v>
      </c>
      <c r="B125" s="81" t="s">
        <v>77</v>
      </c>
      <c r="C125" s="81" t="s">
        <v>201</v>
      </c>
      <c r="D125" s="81" t="s">
        <v>906</v>
      </c>
      <c r="E125" s="81" t="s">
        <v>200</v>
      </c>
      <c r="F125" s="81">
        <v>4</v>
      </c>
      <c r="G125" s="81">
        <v>0.5</v>
      </c>
      <c r="H125" s="81" t="s">
        <v>1008</v>
      </c>
      <c r="I125" s="81" t="s">
        <v>1057</v>
      </c>
      <c r="J125" s="81" t="s">
        <v>1007</v>
      </c>
      <c r="K125" s="79"/>
      <c r="L125" s="79"/>
      <c r="M125" s="79"/>
      <c r="N125" s="79"/>
    </row>
    <row r="126" ht="26" spans="1:14">
      <c r="A126" s="81" t="s">
        <v>452</v>
      </c>
      <c r="B126" s="81" t="s">
        <v>77</v>
      </c>
      <c r="C126" s="81" t="s">
        <v>203</v>
      </c>
      <c r="D126" s="81" t="s">
        <v>905</v>
      </c>
      <c r="E126" s="81" t="s">
        <v>200</v>
      </c>
      <c r="F126" s="81">
        <v>4</v>
      </c>
      <c r="G126" s="81">
        <v>0.5</v>
      </c>
      <c r="H126" s="81" t="s">
        <v>1008</v>
      </c>
      <c r="I126" s="81" t="s">
        <v>1057</v>
      </c>
      <c r="J126" s="81" t="s">
        <v>1007</v>
      </c>
      <c r="K126" s="79"/>
      <c r="L126" s="79"/>
      <c r="M126" s="79"/>
      <c r="N126" s="79"/>
    </row>
    <row r="127" ht="26" spans="1:14">
      <c r="A127" s="81" t="s">
        <v>454</v>
      </c>
      <c r="B127" s="81" t="s">
        <v>77</v>
      </c>
      <c r="C127" s="81" t="s">
        <v>203</v>
      </c>
      <c r="D127" s="81" t="s">
        <v>905</v>
      </c>
      <c r="E127" s="81" t="s">
        <v>200</v>
      </c>
      <c r="F127" s="81">
        <v>4</v>
      </c>
      <c r="G127" s="81">
        <v>0.5</v>
      </c>
      <c r="H127" s="81" t="s">
        <v>1008</v>
      </c>
      <c r="I127" s="81" t="s">
        <v>1057</v>
      </c>
      <c r="J127" s="81" t="s">
        <v>1007</v>
      </c>
      <c r="K127" s="79"/>
      <c r="L127" s="79"/>
      <c r="M127" s="79"/>
      <c r="N127" s="79"/>
    </row>
    <row r="128" ht="26" spans="1:14">
      <c r="A128" s="81" t="s">
        <v>455</v>
      </c>
      <c r="B128" s="81" t="s">
        <v>77</v>
      </c>
      <c r="C128" s="81" t="s">
        <v>201</v>
      </c>
      <c r="D128" s="81" t="s">
        <v>907</v>
      </c>
      <c r="E128" s="81" t="s">
        <v>202</v>
      </c>
      <c r="F128" s="81">
        <v>4</v>
      </c>
      <c r="G128" s="81">
        <v>1</v>
      </c>
      <c r="H128" s="81" t="s">
        <v>1006</v>
      </c>
      <c r="I128" s="81" t="s">
        <v>1057</v>
      </c>
      <c r="J128" s="81" t="s">
        <v>1014</v>
      </c>
      <c r="K128" s="79"/>
      <c r="L128" s="79"/>
      <c r="M128" s="79"/>
      <c r="N128" s="79"/>
    </row>
    <row r="129" ht="26" spans="1:14">
      <c r="A129" s="81" t="s">
        <v>457</v>
      </c>
      <c r="B129" s="81" t="s">
        <v>77</v>
      </c>
      <c r="C129" s="81" t="s">
        <v>201</v>
      </c>
      <c r="D129" s="81" t="s">
        <v>903</v>
      </c>
      <c r="E129" s="81" t="s">
        <v>200</v>
      </c>
      <c r="F129" s="81">
        <v>4</v>
      </c>
      <c r="G129" s="81">
        <v>0.5</v>
      </c>
      <c r="H129" s="81" t="s">
        <v>1006</v>
      </c>
      <c r="I129" s="81" t="s">
        <v>1057</v>
      </c>
      <c r="J129" s="81" t="s">
        <v>1009</v>
      </c>
      <c r="K129" s="79"/>
      <c r="L129" s="79"/>
      <c r="M129" s="79"/>
      <c r="N129" s="79"/>
    </row>
    <row r="130" ht="26" spans="1:14">
      <c r="A130" s="81" t="s">
        <v>458</v>
      </c>
      <c r="B130" s="81" t="s">
        <v>77</v>
      </c>
      <c r="C130" s="81" t="s">
        <v>201</v>
      </c>
      <c r="D130" s="81" t="s">
        <v>908</v>
      </c>
      <c r="E130" s="81" t="s">
        <v>200</v>
      </c>
      <c r="F130" s="81">
        <v>4</v>
      </c>
      <c r="G130" s="81">
        <v>0.5</v>
      </c>
      <c r="H130" s="81" t="s">
        <v>1006</v>
      </c>
      <c r="I130" s="81" t="s">
        <v>1057</v>
      </c>
      <c r="J130" s="81" t="s">
        <v>1005</v>
      </c>
      <c r="K130" s="79"/>
      <c r="L130" s="79"/>
      <c r="M130" s="79"/>
      <c r="N130" s="79"/>
    </row>
    <row r="131" ht="26" spans="1:14">
      <c r="A131" s="81" t="s">
        <v>459</v>
      </c>
      <c r="B131" s="81" t="s">
        <v>77</v>
      </c>
      <c r="C131" s="81" t="s">
        <v>201</v>
      </c>
      <c r="D131" s="81" t="s">
        <v>903</v>
      </c>
      <c r="E131" s="81" t="s">
        <v>200</v>
      </c>
      <c r="F131" s="81">
        <v>4</v>
      </c>
      <c r="G131" s="81">
        <v>0.5</v>
      </c>
      <c r="H131" s="81" t="s">
        <v>1006</v>
      </c>
      <c r="I131" s="81" t="s">
        <v>1057</v>
      </c>
      <c r="J131" s="81" t="s">
        <v>1009</v>
      </c>
      <c r="K131" s="79"/>
      <c r="L131" s="79"/>
      <c r="M131" s="79"/>
      <c r="N131" s="79"/>
    </row>
    <row r="132" ht="26" spans="1:14">
      <c r="A132" s="81" t="s">
        <v>461</v>
      </c>
      <c r="B132" s="81" t="s">
        <v>77</v>
      </c>
      <c r="C132" s="81" t="s">
        <v>201</v>
      </c>
      <c r="D132" s="81" t="s">
        <v>909</v>
      </c>
      <c r="E132" s="81" t="s">
        <v>200</v>
      </c>
      <c r="F132" s="81">
        <v>4</v>
      </c>
      <c r="G132" s="81">
        <v>0.5</v>
      </c>
      <c r="H132" s="81" t="s">
        <v>1008</v>
      </c>
      <c r="I132" s="81" t="s">
        <v>1057</v>
      </c>
      <c r="J132" s="81" t="s">
        <v>1007</v>
      </c>
      <c r="K132" s="79"/>
      <c r="L132" s="79"/>
      <c r="M132" s="79"/>
      <c r="N132" s="79"/>
    </row>
    <row r="133" ht="26" spans="1:14">
      <c r="A133" s="81" t="s">
        <v>463</v>
      </c>
      <c r="B133" s="81" t="s">
        <v>77</v>
      </c>
      <c r="C133" s="81" t="s">
        <v>201</v>
      </c>
      <c r="D133" s="81" t="s">
        <v>909</v>
      </c>
      <c r="E133" s="81" t="s">
        <v>200</v>
      </c>
      <c r="F133" s="81">
        <v>4</v>
      </c>
      <c r="G133" s="81">
        <v>0.5</v>
      </c>
      <c r="H133" s="81" t="s">
        <v>1008</v>
      </c>
      <c r="I133" s="81" t="s">
        <v>1057</v>
      </c>
      <c r="J133" s="81" t="s">
        <v>1007</v>
      </c>
      <c r="K133" s="79"/>
      <c r="L133" s="79"/>
      <c r="M133" s="79"/>
      <c r="N133" s="79"/>
    </row>
    <row r="134" ht="26" spans="1:14">
      <c r="A134" s="81" t="s">
        <v>464</v>
      </c>
      <c r="B134" s="81" t="s">
        <v>77</v>
      </c>
      <c r="C134" s="81" t="s">
        <v>201</v>
      </c>
      <c r="D134" s="81" t="s">
        <v>909</v>
      </c>
      <c r="E134" s="81" t="s">
        <v>200</v>
      </c>
      <c r="F134" s="81">
        <v>4</v>
      </c>
      <c r="G134" s="81">
        <v>0.5</v>
      </c>
      <c r="H134" s="81" t="s">
        <v>1008</v>
      </c>
      <c r="I134" s="81" t="s">
        <v>1057</v>
      </c>
      <c r="J134" s="81" t="s">
        <v>1007</v>
      </c>
      <c r="K134" s="79"/>
      <c r="L134" s="79"/>
      <c r="M134" s="79"/>
      <c r="N134" s="79"/>
    </row>
    <row r="135" ht="26" spans="1:14">
      <c r="A135" s="81" t="s">
        <v>465</v>
      </c>
      <c r="B135" s="81" t="s">
        <v>77</v>
      </c>
      <c r="C135" s="81" t="s">
        <v>201</v>
      </c>
      <c r="D135" s="81" t="s">
        <v>903</v>
      </c>
      <c r="E135" s="81" t="s">
        <v>200</v>
      </c>
      <c r="F135" s="81">
        <v>4</v>
      </c>
      <c r="G135" s="81">
        <v>0.5</v>
      </c>
      <c r="H135" s="81" t="s">
        <v>1006</v>
      </c>
      <c r="I135" s="81" t="s">
        <v>1057</v>
      </c>
      <c r="J135" s="81" t="s">
        <v>1009</v>
      </c>
      <c r="K135" s="79"/>
      <c r="L135" s="79"/>
      <c r="M135" s="79"/>
      <c r="N135" s="79"/>
    </row>
    <row r="136" ht="26" spans="1:14">
      <c r="A136" s="81" t="s">
        <v>466</v>
      </c>
      <c r="B136" s="81" t="s">
        <v>77</v>
      </c>
      <c r="C136" s="81" t="s">
        <v>201</v>
      </c>
      <c r="D136" s="81" t="s">
        <v>909</v>
      </c>
      <c r="E136" s="81" t="s">
        <v>200</v>
      </c>
      <c r="F136" s="81">
        <v>4</v>
      </c>
      <c r="G136" s="81">
        <v>0.5</v>
      </c>
      <c r="H136" s="81" t="s">
        <v>1008</v>
      </c>
      <c r="I136" s="81" t="s">
        <v>1057</v>
      </c>
      <c r="J136" s="81" t="s">
        <v>1007</v>
      </c>
      <c r="K136" s="79"/>
      <c r="L136" s="79"/>
      <c r="M136" s="79"/>
      <c r="N136" s="79"/>
    </row>
    <row r="137" ht="26" spans="1:14">
      <c r="A137" s="81" t="s">
        <v>467</v>
      </c>
      <c r="B137" s="81" t="s">
        <v>77</v>
      </c>
      <c r="C137" s="81" t="s">
        <v>203</v>
      </c>
      <c r="D137" s="81" t="s">
        <v>905</v>
      </c>
      <c r="E137" s="81" t="s">
        <v>200</v>
      </c>
      <c r="F137" s="81">
        <v>4</v>
      </c>
      <c r="G137" s="81">
        <v>0.5</v>
      </c>
      <c r="H137" s="81" t="s">
        <v>1008</v>
      </c>
      <c r="I137" s="81" t="s">
        <v>1057</v>
      </c>
      <c r="J137" s="81" t="s">
        <v>1007</v>
      </c>
      <c r="K137" s="79"/>
      <c r="L137" s="79"/>
      <c r="M137" s="79"/>
      <c r="N137" s="79"/>
    </row>
    <row r="138" ht="26" spans="1:14">
      <c r="A138" s="81" t="s">
        <v>468</v>
      </c>
      <c r="B138" s="81" t="s">
        <v>77</v>
      </c>
      <c r="C138" s="81" t="s">
        <v>203</v>
      </c>
      <c r="D138" s="81" t="s">
        <v>905</v>
      </c>
      <c r="E138" s="81" t="s">
        <v>200</v>
      </c>
      <c r="F138" s="81">
        <v>4</v>
      </c>
      <c r="G138" s="81">
        <v>0.5</v>
      </c>
      <c r="H138" s="81" t="s">
        <v>1008</v>
      </c>
      <c r="I138" s="81" t="s">
        <v>1057</v>
      </c>
      <c r="J138" s="81" t="s">
        <v>1007</v>
      </c>
      <c r="K138" s="79"/>
      <c r="L138" s="79"/>
      <c r="M138" s="79"/>
      <c r="N138" s="79"/>
    </row>
    <row r="139" ht="26" spans="1:14">
      <c r="A139" s="81" t="s">
        <v>469</v>
      </c>
      <c r="B139" s="81" t="s">
        <v>77</v>
      </c>
      <c r="C139" s="81" t="s">
        <v>201</v>
      </c>
      <c r="D139" s="81" t="s">
        <v>903</v>
      </c>
      <c r="E139" s="81" t="s">
        <v>200</v>
      </c>
      <c r="F139" s="81">
        <v>4</v>
      </c>
      <c r="G139" s="81">
        <v>0.5</v>
      </c>
      <c r="H139" s="81" t="s">
        <v>1006</v>
      </c>
      <c r="I139" s="81" t="s">
        <v>1057</v>
      </c>
      <c r="J139" s="81" t="s">
        <v>1009</v>
      </c>
      <c r="K139" s="79"/>
      <c r="L139" s="79"/>
      <c r="M139" s="79"/>
      <c r="N139" s="79"/>
    </row>
    <row r="140" ht="26" spans="1:14">
      <c r="A140" s="81" t="s">
        <v>470</v>
      </c>
      <c r="B140" s="81" t="s">
        <v>77</v>
      </c>
      <c r="C140" s="81" t="s">
        <v>201</v>
      </c>
      <c r="D140" s="81" t="s">
        <v>903</v>
      </c>
      <c r="E140" s="81" t="s">
        <v>200</v>
      </c>
      <c r="F140" s="81">
        <v>4</v>
      </c>
      <c r="G140" s="81">
        <v>0.5</v>
      </c>
      <c r="H140" s="81" t="s">
        <v>1006</v>
      </c>
      <c r="I140" s="81" t="s">
        <v>1057</v>
      </c>
      <c r="J140" s="81" t="s">
        <v>1009</v>
      </c>
      <c r="K140" s="79"/>
      <c r="L140" s="79"/>
      <c r="M140" s="79"/>
      <c r="N140" s="79"/>
    </row>
    <row r="141" ht="26" spans="1:14">
      <c r="A141" s="81" t="s">
        <v>471</v>
      </c>
      <c r="B141" s="81" t="s">
        <v>77</v>
      </c>
      <c r="C141" s="81" t="s">
        <v>201</v>
      </c>
      <c r="D141" s="81" t="s">
        <v>907</v>
      </c>
      <c r="E141" s="81" t="s">
        <v>202</v>
      </c>
      <c r="F141" s="81">
        <v>4</v>
      </c>
      <c r="G141" s="81">
        <v>1</v>
      </c>
      <c r="H141" s="81" t="s">
        <v>1006</v>
      </c>
      <c r="I141" s="81" t="s">
        <v>1057</v>
      </c>
      <c r="J141" s="81" t="s">
        <v>1014</v>
      </c>
      <c r="K141" s="79"/>
      <c r="L141" s="79"/>
      <c r="M141" s="79"/>
      <c r="N141" s="79"/>
    </row>
    <row r="142" ht="26" spans="1:14">
      <c r="A142" s="81" t="s">
        <v>472</v>
      </c>
      <c r="B142" s="81" t="s">
        <v>77</v>
      </c>
      <c r="C142" s="81" t="s">
        <v>201</v>
      </c>
      <c r="D142" s="81" t="s">
        <v>903</v>
      </c>
      <c r="E142" s="81" t="s">
        <v>200</v>
      </c>
      <c r="F142" s="81">
        <v>4</v>
      </c>
      <c r="G142" s="81">
        <v>0.5</v>
      </c>
      <c r="H142" s="81" t="s">
        <v>1006</v>
      </c>
      <c r="I142" s="81" t="s">
        <v>1057</v>
      </c>
      <c r="J142" s="81" t="s">
        <v>1009</v>
      </c>
      <c r="K142" s="79"/>
      <c r="L142" s="79"/>
      <c r="M142" s="79"/>
      <c r="N142" s="79"/>
    </row>
    <row r="143" ht="26" spans="1:14">
      <c r="A143" s="81" t="s">
        <v>473</v>
      </c>
      <c r="B143" s="81" t="s">
        <v>77</v>
      </c>
      <c r="C143" s="81" t="s">
        <v>201</v>
      </c>
      <c r="D143" s="81" t="s">
        <v>903</v>
      </c>
      <c r="E143" s="81" t="s">
        <v>200</v>
      </c>
      <c r="F143" s="81">
        <v>4</v>
      </c>
      <c r="G143" s="81">
        <v>0.5</v>
      </c>
      <c r="H143" s="81" t="s">
        <v>1006</v>
      </c>
      <c r="I143" s="81" t="s">
        <v>1057</v>
      </c>
      <c r="J143" s="81" t="s">
        <v>1009</v>
      </c>
      <c r="K143" s="79"/>
      <c r="L143" s="79"/>
      <c r="M143" s="79"/>
      <c r="N143" s="79"/>
    </row>
    <row r="144" ht="26" spans="1:14">
      <c r="A144" s="81" t="s">
        <v>474</v>
      </c>
      <c r="B144" s="81" t="s">
        <v>77</v>
      </c>
      <c r="C144" s="81" t="s">
        <v>201</v>
      </c>
      <c r="D144" s="81" t="s">
        <v>909</v>
      </c>
      <c r="E144" s="81" t="s">
        <v>200</v>
      </c>
      <c r="F144" s="81">
        <v>4</v>
      </c>
      <c r="G144" s="81">
        <v>0.5</v>
      </c>
      <c r="H144" s="81" t="s">
        <v>1008</v>
      </c>
      <c r="I144" s="81" t="s">
        <v>1057</v>
      </c>
      <c r="J144" s="81" t="s">
        <v>1007</v>
      </c>
      <c r="K144" s="79"/>
      <c r="L144" s="79"/>
      <c r="M144" s="79"/>
      <c r="N144" s="79"/>
    </row>
    <row r="145" ht="26" spans="1:14">
      <c r="A145" s="81" t="s">
        <v>476</v>
      </c>
      <c r="B145" s="81" t="s">
        <v>77</v>
      </c>
      <c r="C145" s="81" t="s">
        <v>201</v>
      </c>
      <c r="D145" s="81" t="s">
        <v>909</v>
      </c>
      <c r="E145" s="81" t="s">
        <v>200</v>
      </c>
      <c r="F145" s="81">
        <v>4</v>
      </c>
      <c r="G145" s="81">
        <v>0.5</v>
      </c>
      <c r="H145" s="81" t="s">
        <v>1008</v>
      </c>
      <c r="I145" s="81" t="s">
        <v>1057</v>
      </c>
      <c r="J145" s="81" t="s">
        <v>1007</v>
      </c>
      <c r="K145" s="79"/>
      <c r="L145" s="79"/>
      <c r="M145" s="79"/>
      <c r="N145" s="79"/>
    </row>
    <row r="146" ht="26" spans="1:14">
      <c r="A146" s="81" t="s">
        <v>477</v>
      </c>
      <c r="B146" s="81" t="s">
        <v>77</v>
      </c>
      <c r="C146" s="81" t="s">
        <v>201</v>
      </c>
      <c r="D146" s="81" t="s">
        <v>909</v>
      </c>
      <c r="E146" s="81" t="s">
        <v>200</v>
      </c>
      <c r="F146" s="81">
        <v>4</v>
      </c>
      <c r="G146" s="81">
        <v>0.5</v>
      </c>
      <c r="H146" s="81" t="s">
        <v>1008</v>
      </c>
      <c r="I146" s="81" t="s">
        <v>1057</v>
      </c>
      <c r="J146" s="81" t="s">
        <v>1007</v>
      </c>
      <c r="K146" s="79"/>
      <c r="L146" s="79"/>
      <c r="M146" s="79"/>
      <c r="N146" s="79"/>
    </row>
    <row r="147" ht="26" spans="1:14">
      <c r="A147" s="81" t="s">
        <v>478</v>
      </c>
      <c r="B147" s="81" t="s">
        <v>77</v>
      </c>
      <c r="C147" s="81" t="s">
        <v>201</v>
      </c>
      <c r="D147" s="81" t="s">
        <v>909</v>
      </c>
      <c r="E147" s="81" t="s">
        <v>200</v>
      </c>
      <c r="F147" s="81">
        <v>4</v>
      </c>
      <c r="G147" s="81">
        <v>0.5</v>
      </c>
      <c r="H147" s="81" t="s">
        <v>1008</v>
      </c>
      <c r="I147" s="81" t="s">
        <v>1057</v>
      </c>
      <c r="J147" s="81" t="s">
        <v>1007</v>
      </c>
      <c r="K147" s="79"/>
      <c r="L147" s="79"/>
      <c r="M147" s="79"/>
      <c r="N147" s="79"/>
    </row>
    <row r="148" ht="26" spans="1:14">
      <c r="A148" s="81" t="s">
        <v>479</v>
      </c>
      <c r="B148" s="81" t="s">
        <v>77</v>
      </c>
      <c r="C148" s="81" t="s">
        <v>201</v>
      </c>
      <c r="D148" s="81" t="s">
        <v>903</v>
      </c>
      <c r="E148" s="81" t="s">
        <v>200</v>
      </c>
      <c r="F148" s="81">
        <v>4</v>
      </c>
      <c r="G148" s="81">
        <v>0.5</v>
      </c>
      <c r="H148" s="81" t="s">
        <v>1006</v>
      </c>
      <c r="I148" s="81" t="s">
        <v>1057</v>
      </c>
      <c r="J148" s="81" t="s">
        <v>1009</v>
      </c>
      <c r="K148" s="79"/>
      <c r="L148" s="79"/>
      <c r="M148" s="79"/>
      <c r="N148" s="79"/>
    </row>
    <row r="149" ht="26" spans="1:14">
      <c r="A149" s="81" t="s">
        <v>481</v>
      </c>
      <c r="B149" s="81" t="s">
        <v>77</v>
      </c>
      <c r="C149" s="81" t="s">
        <v>201</v>
      </c>
      <c r="D149" s="81" t="s">
        <v>903</v>
      </c>
      <c r="E149" s="81" t="s">
        <v>200</v>
      </c>
      <c r="F149" s="81">
        <v>4</v>
      </c>
      <c r="G149" s="81">
        <v>0.5</v>
      </c>
      <c r="H149" s="81" t="s">
        <v>1006</v>
      </c>
      <c r="I149" s="81" t="s">
        <v>1057</v>
      </c>
      <c r="J149" s="81" t="s">
        <v>1009</v>
      </c>
      <c r="K149" s="79"/>
      <c r="L149" s="79"/>
      <c r="M149" s="79"/>
      <c r="N149" s="79"/>
    </row>
    <row r="150" ht="26" spans="1:14">
      <c r="A150" s="81" t="s">
        <v>482</v>
      </c>
      <c r="B150" s="81" t="s">
        <v>77</v>
      </c>
      <c r="C150" s="81" t="s">
        <v>203</v>
      </c>
      <c r="D150" s="81" t="s">
        <v>910</v>
      </c>
      <c r="E150" s="81" t="s">
        <v>200</v>
      </c>
      <c r="F150" s="81">
        <v>4</v>
      </c>
      <c r="G150" s="81">
        <v>0.5</v>
      </c>
      <c r="H150" s="81" t="s">
        <v>1008</v>
      </c>
      <c r="I150" s="81" t="s">
        <v>1057</v>
      </c>
      <c r="J150" s="81" t="s">
        <v>1007</v>
      </c>
      <c r="K150" s="79"/>
      <c r="L150" s="79"/>
      <c r="M150" s="79"/>
      <c r="N150" s="79"/>
    </row>
    <row r="151" ht="26" spans="1:14">
      <c r="A151" s="81" t="s">
        <v>486</v>
      </c>
      <c r="B151" s="81" t="s">
        <v>77</v>
      </c>
      <c r="C151" s="81" t="s">
        <v>203</v>
      </c>
      <c r="D151" s="81" t="s">
        <v>910</v>
      </c>
      <c r="E151" s="81" t="s">
        <v>200</v>
      </c>
      <c r="F151" s="81">
        <v>4</v>
      </c>
      <c r="G151" s="81">
        <v>0.5</v>
      </c>
      <c r="H151" s="81" t="s">
        <v>1008</v>
      </c>
      <c r="I151" s="81" t="s">
        <v>1057</v>
      </c>
      <c r="J151" s="81" t="s">
        <v>1007</v>
      </c>
      <c r="K151" s="79"/>
      <c r="L151" s="79"/>
      <c r="M151" s="79"/>
      <c r="N151" s="79"/>
    </row>
    <row r="152" ht="26" spans="1:14">
      <c r="A152" s="81" t="s">
        <v>487</v>
      </c>
      <c r="B152" s="81" t="s">
        <v>77</v>
      </c>
      <c r="C152" s="81" t="s">
        <v>201</v>
      </c>
      <c r="D152" s="81" t="s">
        <v>911</v>
      </c>
      <c r="E152" s="81" t="s">
        <v>202</v>
      </c>
      <c r="F152" s="81">
        <v>4</v>
      </c>
      <c r="G152" s="81">
        <v>1</v>
      </c>
      <c r="H152" s="81" t="s">
        <v>1006</v>
      </c>
      <c r="I152" s="81" t="s">
        <v>1057</v>
      </c>
      <c r="J152" s="81" t="s">
        <v>1014</v>
      </c>
      <c r="K152" s="79"/>
      <c r="L152" s="79"/>
      <c r="M152" s="79"/>
      <c r="N152" s="79"/>
    </row>
    <row r="153" ht="26" spans="1:14">
      <c r="A153" s="81" t="s">
        <v>490</v>
      </c>
      <c r="B153" s="81" t="s">
        <v>77</v>
      </c>
      <c r="C153" s="81" t="s">
        <v>201</v>
      </c>
      <c r="D153" s="81" t="s">
        <v>912</v>
      </c>
      <c r="E153" s="81" t="s">
        <v>200</v>
      </c>
      <c r="F153" s="81">
        <v>4</v>
      </c>
      <c r="G153" s="81">
        <v>0.5</v>
      </c>
      <c r="H153" s="81" t="s">
        <v>1008</v>
      </c>
      <c r="I153" s="81" t="s">
        <v>1057</v>
      </c>
      <c r="J153" s="81" t="s">
        <v>1007</v>
      </c>
      <c r="K153" s="79"/>
      <c r="L153" s="79"/>
      <c r="M153" s="79"/>
      <c r="N153" s="79"/>
    </row>
    <row r="154" ht="26" spans="1:14">
      <c r="A154" s="81" t="s">
        <v>491</v>
      </c>
      <c r="B154" s="81" t="s">
        <v>77</v>
      </c>
      <c r="C154" s="81" t="s">
        <v>203</v>
      </c>
      <c r="D154" s="81" t="s">
        <v>891</v>
      </c>
      <c r="E154" s="81" t="s">
        <v>200</v>
      </c>
      <c r="F154" s="81">
        <v>4</v>
      </c>
      <c r="G154" s="81">
        <v>0.5</v>
      </c>
      <c r="H154" s="81" t="s">
        <v>1008</v>
      </c>
      <c r="I154" s="81" t="s">
        <v>1057</v>
      </c>
      <c r="J154" s="81" t="s">
        <v>1007</v>
      </c>
      <c r="K154" s="79"/>
      <c r="L154" s="79"/>
      <c r="M154" s="79"/>
      <c r="N154" s="79"/>
    </row>
    <row r="155" ht="26" spans="1:14">
      <c r="A155" s="81" t="s">
        <v>494</v>
      </c>
      <c r="B155" s="81" t="s">
        <v>77</v>
      </c>
      <c r="C155" s="81" t="s">
        <v>203</v>
      </c>
      <c r="D155" s="81" t="s">
        <v>891</v>
      </c>
      <c r="E155" s="81" t="s">
        <v>200</v>
      </c>
      <c r="F155" s="81">
        <v>4</v>
      </c>
      <c r="G155" s="81">
        <v>0.5</v>
      </c>
      <c r="H155" s="81" t="s">
        <v>1008</v>
      </c>
      <c r="I155" s="81" t="s">
        <v>1057</v>
      </c>
      <c r="J155" s="81" t="s">
        <v>1007</v>
      </c>
      <c r="K155" s="79"/>
      <c r="L155" s="79"/>
      <c r="M155" s="79"/>
      <c r="N155" s="79"/>
    </row>
    <row r="156" ht="26" spans="1:14">
      <c r="A156" s="81" t="s">
        <v>495</v>
      </c>
      <c r="B156" s="81" t="s">
        <v>77</v>
      </c>
      <c r="C156" s="81" t="s">
        <v>85</v>
      </c>
      <c r="D156" s="81" t="s">
        <v>913</v>
      </c>
      <c r="E156" s="81" t="s">
        <v>199</v>
      </c>
      <c r="F156" s="81">
        <v>4</v>
      </c>
      <c r="G156" s="81">
        <v>0.5</v>
      </c>
      <c r="H156" s="81" t="s">
        <v>1001</v>
      </c>
      <c r="I156" s="81" t="s">
        <v>1057</v>
      </c>
      <c r="J156" s="81" t="s">
        <v>1004</v>
      </c>
      <c r="K156" s="79"/>
      <c r="L156" s="79"/>
      <c r="M156" s="79"/>
      <c r="N156" s="79"/>
    </row>
    <row r="157" ht="26" spans="1:14">
      <c r="A157" s="81" t="s">
        <v>496</v>
      </c>
      <c r="B157" s="81" t="s">
        <v>77</v>
      </c>
      <c r="C157" s="81" t="s">
        <v>85</v>
      </c>
      <c r="D157" s="81" t="s">
        <v>913</v>
      </c>
      <c r="E157" s="81" t="s">
        <v>199</v>
      </c>
      <c r="F157" s="81">
        <v>4</v>
      </c>
      <c r="G157" s="81">
        <v>0.5</v>
      </c>
      <c r="H157" s="81" t="s">
        <v>1001</v>
      </c>
      <c r="I157" s="81" t="s">
        <v>1057</v>
      </c>
      <c r="J157" s="81" t="s">
        <v>1004</v>
      </c>
      <c r="K157" s="79"/>
      <c r="L157" s="79"/>
      <c r="M157" s="79"/>
      <c r="N157" s="79"/>
    </row>
    <row r="158" ht="26" spans="1:14">
      <c r="A158" s="81" t="s">
        <v>498</v>
      </c>
      <c r="B158" s="81" t="s">
        <v>77</v>
      </c>
      <c r="C158" s="81" t="s">
        <v>203</v>
      </c>
      <c r="D158" s="81" t="s">
        <v>891</v>
      </c>
      <c r="E158" s="81" t="s">
        <v>200</v>
      </c>
      <c r="F158" s="81">
        <v>4</v>
      </c>
      <c r="G158" s="81">
        <v>0.5</v>
      </c>
      <c r="H158" s="81" t="s">
        <v>1008</v>
      </c>
      <c r="I158" s="81" t="s">
        <v>1057</v>
      </c>
      <c r="J158" s="81" t="s">
        <v>1007</v>
      </c>
      <c r="K158" s="79"/>
      <c r="L158" s="79"/>
      <c r="M158" s="79"/>
      <c r="N158" s="79"/>
    </row>
    <row r="159" ht="26" spans="1:14">
      <c r="A159" s="81" t="s">
        <v>502</v>
      </c>
      <c r="B159" s="81" t="s">
        <v>77</v>
      </c>
      <c r="C159" s="81" t="s">
        <v>203</v>
      </c>
      <c r="D159" s="81" t="s">
        <v>891</v>
      </c>
      <c r="E159" s="81" t="s">
        <v>200</v>
      </c>
      <c r="F159" s="81">
        <v>4</v>
      </c>
      <c r="G159" s="81">
        <v>0.5</v>
      </c>
      <c r="H159" s="81" t="s">
        <v>1008</v>
      </c>
      <c r="I159" s="81" t="s">
        <v>1057</v>
      </c>
      <c r="J159" s="81" t="s">
        <v>1007</v>
      </c>
      <c r="K159" s="79"/>
      <c r="L159" s="79"/>
      <c r="M159" s="79"/>
      <c r="N159" s="79"/>
    </row>
    <row r="160" ht="26" spans="1:14">
      <c r="A160" s="81" t="s">
        <v>503</v>
      </c>
      <c r="B160" s="81" t="s">
        <v>77</v>
      </c>
      <c r="C160" s="81" t="s">
        <v>203</v>
      </c>
      <c r="D160" s="81" t="s">
        <v>891</v>
      </c>
      <c r="E160" s="81" t="s">
        <v>200</v>
      </c>
      <c r="F160" s="81">
        <v>4</v>
      </c>
      <c r="G160" s="81">
        <v>0.5</v>
      </c>
      <c r="H160" s="81" t="s">
        <v>1008</v>
      </c>
      <c r="I160" s="81" t="s">
        <v>1057</v>
      </c>
      <c r="J160" s="81" t="s">
        <v>1007</v>
      </c>
      <c r="K160" s="79"/>
      <c r="L160" s="79"/>
      <c r="M160" s="79"/>
      <c r="N160" s="79"/>
    </row>
    <row r="161" ht="26" spans="1:14">
      <c r="A161" s="81" t="s">
        <v>504</v>
      </c>
      <c r="B161" s="81" t="s">
        <v>77</v>
      </c>
      <c r="C161" s="81" t="s">
        <v>203</v>
      </c>
      <c r="D161" s="81" t="s">
        <v>891</v>
      </c>
      <c r="E161" s="81" t="s">
        <v>200</v>
      </c>
      <c r="F161" s="81">
        <v>4</v>
      </c>
      <c r="G161" s="81">
        <v>0.5</v>
      </c>
      <c r="H161" s="81" t="s">
        <v>1008</v>
      </c>
      <c r="I161" s="81" t="s">
        <v>1057</v>
      </c>
      <c r="J161" s="81" t="s">
        <v>1007</v>
      </c>
      <c r="K161" s="79"/>
      <c r="L161" s="79"/>
      <c r="M161" s="79"/>
      <c r="N161" s="79"/>
    </row>
    <row r="162" ht="26" spans="1:14">
      <c r="A162" s="81" t="s">
        <v>505</v>
      </c>
      <c r="B162" s="81" t="s">
        <v>77</v>
      </c>
      <c r="C162" s="81" t="s">
        <v>203</v>
      </c>
      <c r="D162" s="81" t="s">
        <v>891</v>
      </c>
      <c r="E162" s="81" t="s">
        <v>200</v>
      </c>
      <c r="F162" s="81">
        <v>4</v>
      </c>
      <c r="G162" s="81">
        <v>0.5</v>
      </c>
      <c r="H162" s="81" t="s">
        <v>1008</v>
      </c>
      <c r="I162" s="81" t="s">
        <v>1057</v>
      </c>
      <c r="J162" s="81" t="s">
        <v>1007</v>
      </c>
      <c r="K162" s="79"/>
      <c r="L162" s="79"/>
      <c r="M162" s="79"/>
      <c r="N162" s="79"/>
    </row>
    <row r="163" ht="26" spans="1:14">
      <c r="A163" s="81" t="s">
        <v>507</v>
      </c>
      <c r="B163" s="81" t="s">
        <v>77</v>
      </c>
      <c r="C163" s="81" t="s">
        <v>203</v>
      </c>
      <c r="D163" s="81" t="s">
        <v>891</v>
      </c>
      <c r="E163" s="81" t="s">
        <v>200</v>
      </c>
      <c r="F163" s="81">
        <v>4</v>
      </c>
      <c r="G163" s="81">
        <v>0.5</v>
      </c>
      <c r="H163" s="81" t="s">
        <v>1008</v>
      </c>
      <c r="I163" s="81" t="s">
        <v>1057</v>
      </c>
      <c r="J163" s="81" t="s">
        <v>1007</v>
      </c>
      <c r="K163" s="79"/>
      <c r="L163" s="79"/>
      <c r="M163" s="79"/>
      <c r="N163" s="79"/>
    </row>
    <row r="164" ht="26" spans="1:14">
      <c r="A164" s="81" t="s">
        <v>508</v>
      </c>
      <c r="B164" s="81" t="s">
        <v>77</v>
      </c>
      <c r="C164" s="81" t="s">
        <v>203</v>
      </c>
      <c r="D164" s="81" t="s">
        <v>891</v>
      </c>
      <c r="E164" s="81" t="s">
        <v>200</v>
      </c>
      <c r="F164" s="81">
        <v>4</v>
      </c>
      <c r="G164" s="81">
        <v>0.5</v>
      </c>
      <c r="H164" s="81" t="s">
        <v>1008</v>
      </c>
      <c r="I164" s="81" t="s">
        <v>1057</v>
      </c>
      <c r="J164" s="81" t="s">
        <v>1007</v>
      </c>
      <c r="K164" s="79"/>
      <c r="L164" s="79"/>
      <c r="M164" s="79"/>
      <c r="N164" s="79"/>
    </row>
    <row r="165" ht="26" spans="1:14">
      <c r="A165" s="81" t="s">
        <v>509</v>
      </c>
      <c r="B165" s="81" t="s">
        <v>77</v>
      </c>
      <c r="C165" s="81" t="s">
        <v>203</v>
      </c>
      <c r="D165" s="81" t="s">
        <v>891</v>
      </c>
      <c r="E165" s="81" t="s">
        <v>200</v>
      </c>
      <c r="F165" s="81">
        <v>4</v>
      </c>
      <c r="G165" s="81">
        <v>0.5</v>
      </c>
      <c r="H165" s="81" t="s">
        <v>1008</v>
      </c>
      <c r="I165" s="81" t="s">
        <v>1057</v>
      </c>
      <c r="J165" s="81" t="s">
        <v>1007</v>
      </c>
      <c r="K165" s="79"/>
      <c r="L165" s="79"/>
      <c r="M165" s="79"/>
      <c r="N165" s="79"/>
    </row>
    <row r="166" ht="26" spans="1:14">
      <c r="A166" s="81" t="s">
        <v>510</v>
      </c>
      <c r="B166" s="81" t="s">
        <v>77</v>
      </c>
      <c r="C166" s="81" t="s">
        <v>203</v>
      </c>
      <c r="D166" s="81" t="s">
        <v>891</v>
      </c>
      <c r="E166" s="81" t="s">
        <v>200</v>
      </c>
      <c r="F166" s="81">
        <v>4</v>
      </c>
      <c r="G166" s="81">
        <v>0.5</v>
      </c>
      <c r="H166" s="81" t="s">
        <v>1008</v>
      </c>
      <c r="I166" s="81" t="s">
        <v>1057</v>
      </c>
      <c r="J166" s="81" t="s">
        <v>1007</v>
      </c>
      <c r="K166" s="79"/>
      <c r="L166" s="79"/>
      <c r="M166" s="79"/>
      <c r="N166" s="79"/>
    </row>
    <row r="167" ht="26" spans="1:14">
      <c r="A167" s="81" t="s">
        <v>511</v>
      </c>
      <c r="B167" s="81" t="s">
        <v>77</v>
      </c>
      <c r="C167" s="81" t="s">
        <v>203</v>
      </c>
      <c r="D167" s="81" t="s">
        <v>891</v>
      </c>
      <c r="E167" s="81" t="s">
        <v>200</v>
      </c>
      <c r="F167" s="81">
        <v>4</v>
      </c>
      <c r="G167" s="81">
        <v>0.5</v>
      </c>
      <c r="H167" s="81" t="s">
        <v>1008</v>
      </c>
      <c r="I167" s="81" t="s">
        <v>1057</v>
      </c>
      <c r="J167" s="81" t="s">
        <v>1007</v>
      </c>
      <c r="K167" s="79"/>
      <c r="L167" s="79"/>
      <c r="M167" s="79"/>
      <c r="N167" s="79"/>
    </row>
    <row r="168" ht="26" spans="1:14">
      <c r="A168" s="81" t="s">
        <v>512</v>
      </c>
      <c r="B168" s="81" t="s">
        <v>77</v>
      </c>
      <c r="C168" s="81" t="s">
        <v>203</v>
      </c>
      <c r="D168" s="81" t="s">
        <v>914</v>
      </c>
      <c r="E168" s="81" t="s">
        <v>200</v>
      </c>
      <c r="F168" s="81">
        <v>4</v>
      </c>
      <c r="G168" s="81">
        <v>0.5</v>
      </c>
      <c r="H168" s="81" t="s">
        <v>1008</v>
      </c>
      <c r="I168" s="81" t="s">
        <v>1057</v>
      </c>
      <c r="J168" s="81" t="s">
        <v>1004</v>
      </c>
      <c r="K168" s="79"/>
      <c r="L168" s="79"/>
      <c r="M168" s="79"/>
      <c r="N168" s="79"/>
    </row>
    <row r="169" ht="26" spans="1:14">
      <c r="A169" s="81" t="s">
        <v>514</v>
      </c>
      <c r="B169" s="81" t="s">
        <v>77</v>
      </c>
      <c r="C169" s="81" t="s">
        <v>203</v>
      </c>
      <c r="D169" s="81" t="s">
        <v>914</v>
      </c>
      <c r="E169" s="81" t="s">
        <v>200</v>
      </c>
      <c r="F169" s="81">
        <v>4</v>
      </c>
      <c r="G169" s="81">
        <v>0.5</v>
      </c>
      <c r="H169" s="81" t="s">
        <v>1008</v>
      </c>
      <c r="I169" s="81" t="s">
        <v>1057</v>
      </c>
      <c r="J169" s="81" t="s">
        <v>1004</v>
      </c>
      <c r="K169" s="79"/>
      <c r="L169" s="79"/>
      <c r="M169" s="79"/>
      <c r="N169" s="79"/>
    </row>
    <row r="170" ht="26" spans="1:14">
      <c r="A170" s="81" t="s">
        <v>515</v>
      </c>
      <c r="B170" s="81" t="s">
        <v>77</v>
      </c>
      <c r="C170" s="81" t="s">
        <v>203</v>
      </c>
      <c r="D170" s="81" t="s">
        <v>905</v>
      </c>
      <c r="E170" s="81" t="s">
        <v>200</v>
      </c>
      <c r="F170" s="81">
        <v>4</v>
      </c>
      <c r="G170" s="81">
        <v>0.5</v>
      </c>
      <c r="H170" s="81" t="s">
        <v>1008</v>
      </c>
      <c r="I170" s="81" t="s">
        <v>1057</v>
      </c>
      <c r="J170" s="81" t="s">
        <v>1007</v>
      </c>
      <c r="K170" s="79"/>
      <c r="L170" s="79"/>
      <c r="M170" s="79"/>
      <c r="N170" s="79"/>
    </row>
    <row r="171" ht="26" spans="1:14">
      <c r="A171" s="81" t="s">
        <v>517</v>
      </c>
      <c r="B171" s="81" t="s">
        <v>77</v>
      </c>
      <c r="C171" s="81" t="s">
        <v>203</v>
      </c>
      <c r="D171" s="81" t="s">
        <v>891</v>
      </c>
      <c r="E171" s="81" t="s">
        <v>200</v>
      </c>
      <c r="F171" s="81">
        <v>4</v>
      </c>
      <c r="G171" s="81">
        <v>0.5</v>
      </c>
      <c r="H171" s="81" t="s">
        <v>1008</v>
      </c>
      <c r="I171" s="81" t="s">
        <v>1057</v>
      </c>
      <c r="J171" s="81" t="s">
        <v>1007</v>
      </c>
      <c r="K171" s="79"/>
      <c r="L171" s="79"/>
      <c r="M171" s="79"/>
      <c r="N171" s="79"/>
    </row>
    <row r="172" ht="26" spans="1:14">
      <c r="A172" s="81" t="s">
        <v>518</v>
      </c>
      <c r="B172" s="81" t="s">
        <v>77</v>
      </c>
      <c r="C172" s="81" t="s">
        <v>203</v>
      </c>
      <c r="D172" s="81" t="s">
        <v>891</v>
      </c>
      <c r="E172" s="81" t="s">
        <v>200</v>
      </c>
      <c r="F172" s="81">
        <v>4</v>
      </c>
      <c r="G172" s="81">
        <v>0.5</v>
      </c>
      <c r="H172" s="81" t="s">
        <v>1008</v>
      </c>
      <c r="I172" s="81" t="s">
        <v>1057</v>
      </c>
      <c r="J172" s="81" t="s">
        <v>1007</v>
      </c>
      <c r="K172" s="79"/>
      <c r="L172" s="79"/>
      <c r="M172" s="79"/>
      <c r="N172" s="79"/>
    </row>
    <row r="173" ht="26" spans="1:14">
      <c r="A173" s="81" t="s">
        <v>519</v>
      </c>
      <c r="B173" s="81" t="s">
        <v>77</v>
      </c>
      <c r="C173" s="81" t="s">
        <v>203</v>
      </c>
      <c r="D173" s="81" t="s">
        <v>891</v>
      </c>
      <c r="E173" s="81" t="s">
        <v>200</v>
      </c>
      <c r="F173" s="81">
        <v>4</v>
      </c>
      <c r="G173" s="81">
        <v>0.5</v>
      </c>
      <c r="H173" s="81" t="s">
        <v>1008</v>
      </c>
      <c r="I173" s="81" t="s">
        <v>1057</v>
      </c>
      <c r="J173" s="81" t="s">
        <v>1007</v>
      </c>
      <c r="K173" s="79"/>
      <c r="L173" s="79"/>
      <c r="M173" s="79"/>
      <c r="N173" s="79"/>
    </row>
    <row r="174" ht="26" spans="1:14">
      <c r="A174" s="81" t="s">
        <v>520</v>
      </c>
      <c r="B174" s="81" t="s">
        <v>77</v>
      </c>
      <c r="C174" s="81" t="s">
        <v>203</v>
      </c>
      <c r="D174" s="81" t="s">
        <v>891</v>
      </c>
      <c r="E174" s="81" t="s">
        <v>200</v>
      </c>
      <c r="F174" s="81">
        <v>4</v>
      </c>
      <c r="G174" s="81">
        <v>0.5</v>
      </c>
      <c r="H174" s="81" t="s">
        <v>1008</v>
      </c>
      <c r="I174" s="81" t="s">
        <v>1057</v>
      </c>
      <c r="J174" s="81" t="s">
        <v>1007</v>
      </c>
      <c r="K174" s="79"/>
      <c r="L174" s="79"/>
      <c r="M174" s="79"/>
      <c r="N174" s="79"/>
    </row>
    <row r="175" ht="26" spans="1:14">
      <c r="A175" s="81" t="s">
        <v>521</v>
      </c>
      <c r="B175" s="81" t="s">
        <v>77</v>
      </c>
      <c r="C175" s="81" t="s">
        <v>203</v>
      </c>
      <c r="D175" s="81" t="s">
        <v>915</v>
      </c>
      <c r="E175" s="81" t="s">
        <v>204</v>
      </c>
      <c r="F175" s="81">
        <v>4</v>
      </c>
      <c r="G175" s="81">
        <v>3</v>
      </c>
      <c r="H175" s="81" t="s">
        <v>1006</v>
      </c>
      <c r="I175" s="81" t="s">
        <v>1057</v>
      </c>
      <c r="J175" s="81" t="s">
        <v>1014</v>
      </c>
      <c r="K175" s="79"/>
      <c r="L175" s="79"/>
      <c r="M175" s="79"/>
      <c r="N175" s="79"/>
    </row>
    <row r="176" ht="26" spans="1:14">
      <c r="A176" s="81" t="s">
        <v>523</v>
      </c>
      <c r="B176" s="81" t="s">
        <v>77</v>
      </c>
      <c r="C176" s="81" t="s">
        <v>203</v>
      </c>
      <c r="D176" s="81" t="s">
        <v>916</v>
      </c>
      <c r="E176" s="81" t="s">
        <v>204</v>
      </c>
      <c r="F176" s="81">
        <v>4</v>
      </c>
      <c r="G176" s="81">
        <v>3</v>
      </c>
      <c r="H176" s="81" t="s">
        <v>1006</v>
      </c>
      <c r="I176" s="81" t="s">
        <v>1057</v>
      </c>
      <c r="J176" s="81" t="s">
        <v>1014</v>
      </c>
      <c r="K176" s="79"/>
      <c r="L176" s="79"/>
      <c r="M176" s="79"/>
      <c r="N176" s="79"/>
    </row>
    <row r="177" ht="26" spans="1:14">
      <c r="A177" s="81" t="s">
        <v>524</v>
      </c>
      <c r="B177" s="81" t="s">
        <v>77</v>
      </c>
      <c r="C177" s="81" t="s">
        <v>203</v>
      </c>
      <c r="D177" s="81" t="s">
        <v>905</v>
      </c>
      <c r="E177" s="81" t="s">
        <v>200</v>
      </c>
      <c r="F177" s="81">
        <v>4</v>
      </c>
      <c r="G177" s="81">
        <v>0.5</v>
      </c>
      <c r="H177" s="81" t="s">
        <v>1008</v>
      </c>
      <c r="I177" s="81" t="s">
        <v>1057</v>
      </c>
      <c r="J177" s="81" t="s">
        <v>1007</v>
      </c>
      <c r="K177" s="79"/>
      <c r="L177" s="79"/>
      <c r="M177" s="79"/>
      <c r="N177" s="79"/>
    </row>
    <row r="178" ht="26" spans="1:14">
      <c r="A178" s="81" t="s">
        <v>525</v>
      </c>
      <c r="B178" s="81" t="s">
        <v>77</v>
      </c>
      <c r="C178" s="81" t="s">
        <v>203</v>
      </c>
      <c r="D178" s="81" t="s">
        <v>891</v>
      </c>
      <c r="E178" s="81" t="s">
        <v>200</v>
      </c>
      <c r="F178" s="81">
        <v>4</v>
      </c>
      <c r="G178" s="81">
        <v>0.5</v>
      </c>
      <c r="H178" s="81" t="s">
        <v>1008</v>
      </c>
      <c r="I178" s="81" t="s">
        <v>1057</v>
      </c>
      <c r="J178" s="81" t="s">
        <v>1007</v>
      </c>
      <c r="K178" s="79"/>
      <c r="L178" s="79"/>
      <c r="M178" s="79"/>
      <c r="N178" s="79"/>
    </row>
    <row r="179" ht="26" spans="1:14">
      <c r="A179" s="81" t="s">
        <v>526</v>
      </c>
      <c r="B179" s="81" t="s">
        <v>77</v>
      </c>
      <c r="C179" s="81" t="s">
        <v>201</v>
      </c>
      <c r="D179" s="81" t="s">
        <v>903</v>
      </c>
      <c r="E179" s="81" t="s">
        <v>200</v>
      </c>
      <c r="F179" s="81">
        <v>4</v>
      </c>
      <c r="G179" s="81">
        <v>0.5</v>
      </c>
      <c r="H179" s="81" t="s">
        <v>1006</v>
      </c>
      <c r="I179" s="81" t="s">
        <v>1057</v>
      </c>
      <c r="J179" s="81" t="s">
        <v>1009</v>
      </c>
      <c r="K179" s="79"/>
      <c r="L179" s="79"/>
      <c r="M179" s="79"/>
      <c r="N179" s="79"/>
    </row>
    <row r="180" ht="26" spans="1:14">
      <c r="A180" s="81" t="s">
        <v>528</v>
      </c>
      <c r="B180" s="81" t="s">
        <v>77</v>
      </c>
      <c r="C180" s="81" t="s">
        <v>201</v>
      </c>
      <c r="D180" s="81" t="s">
        <v>903</v>
      </c>
      <c r="E180" s="81" t="s">
        <v>200</v>
      </c>
      <c r="F180" s="81">
        <v>4</v>
      </c>
      <c r="G180" s="81">
        <v>0.5</v>
      </c>
      <c r="H180" s="81" t="s">
        <v>1006</v>
      </c>
      <c r="I180" s="81" t="s">
        <v>1057</v>
      </c>
      <c r="J180" s="81" t="s">
        <v>1009</v>
      </c>
      <c r="K180" s="79"/>
      <c r="L180" s="79"/>
      <c r="M180" s="79"/>
      <c r="N180" s="79"/>
    </row>
    <row r="181" ht="26" spans="1:14">
      <c r="A181" s="81" t="s">
        <v>529</v>
      </c>
      <c r="B181" s="81" t="s">
        <v>77</v>
      </c>
      <c r="C181" s="81" t="s">
        <v>201</v>
      </c>
      <c r="D181" s="81" t="s">
        <v>903</v>
      </c>
      <c r="E181" s="81" t="s">
        <v>200</v>
      </c>
      <c r="F181" s="81">
        <v>4</v>
      </c>
      <c r="G181" s="81">
        <v>0.5</v>
      </c>
      <c r="H181" s="81" t="s">
        <v>1006</v>
      </c>
      <c r="I181" s="81" t="s">
        <v>1057</v>
      </c>
      <c r="J181" s="81" t="s">
        <v>1009</v>
      </c>
      <c r="K181" s="79"/>
      <c r="L181" s="79"/>
      <c r="M181" s="79"/>
      <c r="N181" s="79"/>
    </row>
    <row r="182" ht="26" spans="1:14">
      <c r="A182" s="81" t="s">
        <v>530</v>
      </c>
      <c r="B182" s="81" t="s">
        <v>77</v>
      </c>
      <c r="C182" s="81" t="s">
        <v>201</v>
      </c>
      <c r="D182" s="81" t="s">
        <v>903</v>
      </c>
      <c r="E182" s="81" t="s">
        <v>200</v>
      </c>
      <c r="F182" s="81">
        <v>4</v>
      </c>
      <c r="G182" s="81">
        <v>0.5</v>
      </c>
      <c r="H182" s="81" t="s">
        <v>1006</v>
      </c>
      <c r="I182" s="81" t="s">
        <v>1057</v>
      </c>
      <c r="J182" s="81" t="s">
        <v>1009</v>
      </c>
      <c r="K182" s="79"/>
      <c r="L182" s="79"/>
      <c r="M182" s="79"/>
      <c r="N182" s="79"/>
    </row>
    <row r="183" ht="26" spans="1:14">
      <c r="A183" s="81" t="s">
        <v>531</v>
      </c>
      <c r="B183" s="81" t="s">
        <v>77</v>
      </c>
      <c r="C183" s="81" t="s">
        <v>201</v>
      </c>
      <c r="D183" s="81" t="s">
        <v>903</v>
      </c>
      <c r="E183" s="81" t="s">
        <v>200</v>
      </c>
      <c r="F183" s="81">
        <v>4</v>
      </c>
      <c r="G183" s="81">
        <v>0.5</v>
      </c>
      <c r="H183" s="81" t="s">
        <v>1006</v>
      </c>
      <c r="I183" s="81" t="s">
        <v>1057</v>
      </c>
      <c r="J183" s="81" t="s">
        <v>1009</v>
      </c>
      <c r="K183" s="79"/>
      <c r="L183" s="79"/>
      <c r="M183" s="79"/>
      <c r="N183" s="79"/>
    </row>
    <row r="184" ht="26" spans="1:14">
      <c r="A184" s="81" t="s">
        <v>532</v>
      </c>
      <c r="B184" s="81" t="s">
        <v>77</v>
      </c>
      <c r="C184" s="81" t="s">
        <v>201</v>
      </c>
      <c r="D184" s="81" t="s">
        <v>903</v>
      </c>
      <c r="E184" s="81" t="s">
        <v>200</v>
      </c>
      <c r="F184" s="81">
        <v>4</v>
      </c>
      <c r="G184" s="81">
        <v>0.5</v>
      </c>
      <c r="H184" s="81" t="s">
        <v>1006</v>
      </c>
      <c r="I184" s="81" t="s">
        <v>1057</v>
      </c>
      <c r="J184" s="81" t="s">
        <v>1009</v>
      </c>
      <c r="K184" s="79"/>
      <c r="L184" s="79"/>
      <c r="M184" s="79"/>
      <c r="N184" s="79"/>
    </row>
    <row r="185" ht="26" spans="1:14">
      <c r="A185" s="81" t="s">
        <v>533</v>
      </c>
      <c r="B185" s="81" t="s">
        <v>77</v>
      </c>
      <c r="C185" s="81" t="s">
        <v>203</v>
      </c>
      <c r="D185" s="81" t="s">
        <v>917</v>
      </c>
      <c r="E185" s="81" t="s">
        <v>200</v>
      </c>
      <c r="F185" s="81">
        <v>4</v>
      </c>
      <c r="G185" s="81">
        <v>0.5</v>
      </c>
      <c r="H185" s="81" t="s">
        <v>1008</v>
      </c>
      <c r="I185" s="81" t="s">
        <v>1057</v>
      </c>
      <c r="J185" s="81" t="s">
        <v>1004</v>
      </c>
      <c r="K185" s="79"/>
      <c r="L185" s="79"/>
      <c r="M185" s="79"/>
      <c r="N185" s="79"/>
    </row>
    <row r="186" ht="26" spans="1:14">
      <c r="A186" s="81" t="s">
        <v>534</v>
      </c>
      <c r="B186" s="81" t="s">
        <v>77</v>
      </c>
      <c r="C186" s="81" t="s">
        <v>203</v>
      </c>
      <c r="D186" s="81" t="s">
        <v>917</v>
      </c>
      <c r="E186" s="81" t="s">
        <v>200</v>
      </c>
      <c r="F186" s="81">
        <v>4</v>
      </c>
      <c r="G186" s="81">
        <v>0.5</v>
      </c>
      <c r="H186" s="81" t="s">
        <v>1008</v>
      </c>
      <c r="I186" s="81" t="s">
        <v>1057</v>
      </c>
      <c r="J186" s="81" t="s">
        <v>1004</v>
      </c>
      <c r="K186" s="79"/>
      <c r="L186" s="79"/>
      <c r="M186" s="79"/>
      <c r="N186" s="79"/>
    </row>
    <row r="187" ht="26" spans="1:14">
      <c r="A187" s="81" t="s">
        <v>535</v>
      </c>
      <c r="B187" s="81" t="s">
        <v>77</v>
      </c>
      <c r="C187" s="81" t="s">
        <v>203</v>
      </c>
      <c r="D187" s="81" t="s">
        <v>917</v>
      </c>
      <c r="E187" s="81" t="s">
        <v>200</v>
      </c>
      <c r="F187" s="81">
        <v>4</v>
      </c>
      <c r="G187" s="81">
        <v>0.5</v>
      </c>
      <c r="H187" s="81" t="s">
        <v>1008</v>
      </c>
      <c r="I187" s="81" t="s">
        <v>1057</v>
      </c>
      <c r="J187" s="81" t="s">
        <v>1004</v>
      </c>
      <c r="K187" s="79"/>
      <c r="L187" s="79"/>
      <c r="M187" s="79"/>
      <c r="N187" s="79"/>
    </row>
    <row r="188" ht="26" spans="1:14">
      <c r="A188" s="81" t="s">
        <v>536</v>
      </c>
      <c r="B188" s="81" t="s">
        <v>77</v>
      </c>
      <c r="C188" s="81" t="s">
        <v>203</v>
      </c>
      <c r="D188" s="81" t="s">
        <v>917</v>
      </c>
      <c r="E188" s="81" t="s">
        <v>200</v>
      </c>
      <c r="F188" s="81">
        <v>4</v>
      </c>
      <c r="G188" s="81">
        <v>0.5</v>
      </c>
      <c r="H188" s="81" t="s">
        <v>1008</v>
      </c>
      <c r="I188" s="81" t="s">
        <v>1057</v>
      </c>
      <c r="J188" s="81" t="s">
        <v>1004</v>
      </c>
      <c r="K188" s="79"/>
      <c r="L188" s="79"/>
      <c r="M188" s="79"/>
      <c r="N188" s="79"/>
    </row>
    <row r="189" ht="26" spans="1:14">
      <c r="A189" s="81" t="s">
        <v>537</v>
      </c>
      <c r="B189" s="81" t="s">
        <v>77</v>
      </c>
      <c r="C189" s="81" t="s">
        <v>203</v>
      </c>
      <c r="D189" s="81" t="s">
        <v>917</v>
      </c>
      <c r="E189" s="81" t="s">
        <v>200</v>
      </c>
      <c r="F189" s="81">
        <v>4</v>
      </c>
      <c r="G189" s="81">
        <v>0.5</v>
      </c>
      <c r="H189" s="81" t="s">
        <v>1008</v>
      </c>
      <c r="I189" s="81" t="s">
        <v>1057</v>
      </c>
      <c r="J189" s="81" t="s">
        <v>1004</v>
      </c>
      <c r="K189" s="79"/>
      <c r="L189" s="79"/>
      <c r="M189" s="79"/>
      <c r="N189" s="79"/>
    </row>
    <row r="190" ht="26" spans="1:14">
      <c r="A190" s="81" t="s">
        <v>538</v>
      </c>
      <c r="B190" s="81" t="s">
        <v>77</v>
      </c>
      <c r="C190" s="81" t="s">
        <v>203</v>
      </c>
      <c r="D190" s="81" t="s">
        <v>917</v>
      </c>
      <c r="E190" s="81" t="s">
        <v>200</v>
      </c>
      <c r="F190" s="81">
        <v>4</v>
      </c>
      <c r="G190" s="81">
        <v>0.5</v>
      </c>
      <c r="H190" s="81" t="s">
        <v>1008</v>
      </c>
      <c r="I190" s="81" t="s">
        <v>1057</v>
      </c>
      <c r="J190" s="81" t="s">
        <v>1004</v>
      </c>
      <c r="K190" s="79"/>
      <c r="L190" s="79"/>
      <c r="M190" s="79"/>
      <c r="N190" s="79"/>
    </row>
    <row r="191" ht="26" spans="1:14">
      <c r="A191" s="81" t="s">
        <v>539</v>
      </c>
      <c r="B191" s="81" t="s">
        <v>77</v>
      </c>
      <c r="C191" s="81" t="s">
        <v>203</v>
      </c>
      <c r="D191" s="81" t="s">
        <v>917</v>
      </c>
      <c r="E191" s="81" t="s">
        <v>200</v>
      </c>
      <c r="F191" s="81">
        <v>4</v>
      </c>
      <c r="G191" s="81">
        <v>0.5</v>
      </c>
      <c r="H191" s="81" t="s">
        <v>1008</v>
      </c>
      <c r="I191" s="81" t="s">
        <v>1057</v>
      </c>
      <c r="J191" s="81" t="s">
        <v>1004</v>
      </c>
      <c r="K191" s="79"/>
      <c r="L191" s="79"/>
      <c r="M191" s="79"/>
      <c r="N191" s="79"/>
    </row>
    <row r="192" ht="26" spans="1:14">
      <c r="A192" s="81" t="s">
        <v>540</v>
      </c>
      <c r="B192" s="81" t="s">
        <v>77</v>
      </c>
      <c r="C192" s="81" t="s">
        <v>203</v>
      </c>
      <c r="D192" s="81" t="s">
        <v>918</v>
      </c>
      <c r="E192" s="81" t="s">
        <v>200</v>
      </c>
      <c r="F192" s="81">
        <v>4</v>
      </c>
      <c r="G192" s="81">
        <v>0.5</v>
      </c>
      <c r="H192" s="81" t="s">
        <v>1008</v>
      </c>
      <c r="I192" s="81" t="s">
        <v>1057</v>
      </c>
      <c r="J192" s="81" t="s">
        <v>1004</v>
      </c>
      <c r="K192" s="79"/>
      <c r="L192" s="79"/>
      <c r="M192" s="79"/>
      <c r="N192" s="79"/>
    </row>
    <row r="193" ht="26" spans="1:14">
      <c r="A193" s="81" t="s">
        <v>546</v>
      </c>
      <c r="B193" s="81" t="s">
        <v>77</v>
      </c>
      <c r="C193" s="81" t="s">
        <v>203</v>
      </c>
      <c r="D193" s="81" t="s">
        <v>910</v>
      </c>
      <c r="E193" s="81" t="s">
        <v>200</v>
      </c>
      <c r="F193" s="81">
        <v>4</v>
      </c>
      <c r="G193" s="81">
        <v>0.5</v>
      </c>
      <c r="H193" s="81" t="s">
        <v>1008</v>
      </c>
      <c r="I193" s="81" t="s">
        <v>1057</v>
      </c>
      <c r="J193" s="81" t="s">
        <v>1007</v>
      </c>
      <c r="K193" s="79"/>
      <c r="L193" s="79"/>
      <c r="M193" s="79"/>
      <c r="N193" s="79"/>
    </row>
    <row r="194" ht="26" spans="1:14">
      <c r="A194" s="81" t="s">
        <v>547</v>
      </c>
      <c r="B194" s="81" t="s">
        <v>77</v>
      </c>
      <c r="C194" s="81" t="s">
        <v>203</v>
      </c>
      <c r="D194" s="81" t="s">
        <v>910</v>
      </c>
      <c r="E194" s="81" t="s">
        <v>200</v>
      </c>
      <c r="F194" s="81">
        <v>4</v>
      </c>
      <c r="G194" s="81">
        <v>0.5</v>
      </c>
      <c r="H194" s="81" t="s">
        <v>1008</v>
      </c>
      <c r="I194" s="81" t="s">
        <v>1057</v>
      </c>
      <c r="J194" s="81" t="s">
        <v>1007</v>
      </c>
      <c r="K194" s="79"/>
      <c r="L194" s="79"/>
      <c r="M194" s="79"/>
      <c r="N194" s="79"/>
    </row>
    <row r="195" ht="26" spans="1:14">
      <c r="A195" s="81" t="s">
        <v>548</v>
      </c>
      <c r="B195" s="81" t="s">
        <v>77</v>
      </c>
      <c r="C195" s="81" t="s">
        <v>203</v>
      </c>
      <c r="D195" s="81" t="s">
        <v>919</v>
      </c>
      <c r="E195" s="81" t="s">
        <v>200</v>
      </c>
      <c r="F195" s="81">
        <v>4</v>
      </c>
      <c r="G195" s="81">
        <v>0.5</v>
      </c>
      <c r="H195" s="81" t="s">
        <v>1008</v>
      </c>
      <c r="I195" s="81" t="s">
        <v>1057</v>
      </c>
      <c r="J195" s="81" t="s">
        <v>1010</v>
      </c>
      <c r="K195" s="79"/>
      <c r="L195" s="79"/>
      <c r="M195" s="79"/>
      <c r="N195" s="79"/>
    </row>
    <row r="196" ht="26" spans="1:14">
      <c r="A196" s="81" t="s">
        <v>549</v>
      </c>
      <c r="B196" s="81" t="s">
        <v>77</v>
      </c>
      <c r="C196" s="81" t="s">
        <v>203</v>
      </c>
      <c r="D196" s="81" t="s">
        <v>910</v>
      </c>
      <c r="E196" s="81" t="s">
        <v>200</v>
      </c>
      <c r="F196" s="81">
        <v>4</v>
      </c>
      <c r="G196" s="81">
        <v>0.5</v>
      </c>
      <c r="H196" s="81" t="s">
        <v>1008</v>
      </c>
      <c r="I196" s="81" t="s">
        <v>1057</v>
      </c>
      <c r="J196" s="81" t="s">
        <v>1007</v>
      </c>
      <c r="K196" s="79"/>
      <c r="L196" s="79"/>
      <c r="M196" s="79"/>
      <c r="N196" s="79"/>
    </row>
    <row r="197" ht="26" spans="1:14">
      <c r="A197" s="81" t="s">
        <v>550</v>
      </c>
      <c r="B197" s="81" t="s">
        <v>77</v>
      </c>
      <c r="C197" s="81" t="s">
        <v>203</v>
      </c>
      <c r="D197" s="81" t="s">
        <v>910</v>
      </c>
      <c r="E197" s="81" t="s">
        <v>200</v>
      </c>
      <c r="F197" s="81">
        <v>4</v>
      </c>
      <c r="G197" s="81">
        <v>0.5</v>
      </c>
      <c r="H197" s="81" t="s">
        <v>1008</v>
      </c>
      <c r="I197" s="81" t="s">
        <v>1057</v>
      </c>
      <c r="J197" s="81" t="s">
        <v>1007</v>
      </c>
      <c r="K197" s="79"/>
      <c r="L197" s="79"/>
      <c r="M197" s="79"/>
      <c r="N197" s="79"/>
    </row>
    <row r="198" ht="26" spans="1:14">
      <c r="A198" s="81" t="s">
        <v>551</v>
      </c>
      <c r="B198" s="81" t="s">
        <v>77</v>
      </c>
      <c r="C198" s="81" t="s">
        <v>203</v>
      </c>
      <c r="D198" s="81" t="s">
        <v>920</v>
      </c>
      <c r="E198" s="81" t="s">
        <v>200</v>
      </c>
      <c r="F198" s="81">
        <v>4</v>
      </c>
      <c r="G198" s="81">
        <v>0.5</v>
      </c>
      <c r="H198" s="81" t="s">
        <v>1008</v>
      </c>
      <c r="I198" s="81" t="s">
        <v>1057</v>
      </c>
      <c r="J198" s="81" t="s">
        <v>1007</v>
      </c>
      <c r="K198" s="79"/>
      <c r="L198" s="79"/>
      <c r="M198" s="79"/>
      <c r="N198" s="79"/>
    </row>
    <row r="199" ht="26" spans="1:14">
      <c r="A199" s="81" t="s">
        <v>555</v>
      </c>
      <c r="B199" s="81" t="s">
        <v>77</v>
      </c>
      <c r="C199" s="81" t="s">
        <v>203</v>
      </c>
      <c r="D199" s="81" t="s">
        <v>921</v>
      </c>
      <c r="E199" s="81" t="s">
        <v>200</v>
      </c>
      <c r="F199" s="81">
        <v>4</v>
      </c>
      <c r="G199" s="81">
        <v>0.5</v>
      </c>
      <c r="H199" s="81" t="s">
        <v>1008</v>
      </c>
      <c r="I199" s="81" t="s">
        <v>1057</v>
      </c>
      <c r="J199" s="81" t="s">
        <v>1004</v>
      </c>
      <c r="K199" s="79"/>
      <c r="L199" s="79"/>
      <c r="M199" s="79"/>
      <c r="N199" s="79"/>
    </row>
    <row r="200" ht="26" spans="1:14">
      <c r="A200" s="81" t="s">
        <v>557</v>
      </c>
      <c r="B200" s="81" t="s">
        <v>77</v>
      </c>
      <c r="C200" s="81" t="s">
        <v>203</v>
      </c>
      <c r="D200" s="81" t="s">
        <v>922</v>
      </c>
      <c r="E200" s="81" t="s">
        <v>200</v>
      </c>
      <c r="F200" s="81">
        <v>4</v>
      </c>
      <c r="G200" s="81">
        <v>0.5</v>
      </c>
      <c r="H200" s="81" t="s">
        <v>1008</v>
      </c>
      <c r="I200" s="81" t="s">
        <v>1057</v>
      </c>
      <c r="J200" s="81" t="s">
        <v>1007</v>
      </c>
      <c r="K200" s="79"/>
      <c r="L200" s="79"/>
      <c r="M200" s="79"/>
      <c r="N200" s="79"/>
    </row>
    <row r="201" ht="26" spans="1:14">
      <c r="A201" s="81" t="s">
        <v>559</v>
      </c>
      <c r="B201" s="81" t="s">
        <v>77</v>
      </c>
      <c r="C201" s="81" t="s">
        <v>203</v>
      </c>
      <c r="D201" s="81" t="s">
        <v>923</v>
      </c>
      <c r="E201" s="81" t="s">
        <v>200</v>
      </c>
      <c r="F201" s="81">
        <v>4</v>
      </c>
      <c r="G201" s="81">
        <v>0.5</v>
      </c>
      <c r="H201" s="81" t="s">
        <v>1008</v>
      </c>
      <c r="I201" s="81" t="s">
        <v>1057</v>
      </c>
      <c r="J201" s="81" t="s">
        <v>1007</v>
      </c>
      <c r="K201" s="79"/>
      <c r="L201" s="79"/>
      <c r="M201" s="79"/>
      <c r="N201" s="79"/>
    </row>
    <row r="202" ht="26" spans="1:14">
      <c r="A202" s="81" t="s">
        <v>562</v>
      </c>
      <c r="B202" s="81" t="s">
        <v>77</v>
      </c>
      <c r="C202" s="81" t="s">
        <v>203</v>
      </c>
      <c r="D202" s="81" t="s">
        <v>924</v>
      </c>
      <c r="E202" s="81" t="s">
        <v>200</v>
      </c>
      <c r="F202" s="81">
        <v>4</v>
      </c>
      <c r="G202" s="81">
        <v>0.5</v>
      </c>
      <c r="H202" s="81" t="s">
        <v>1008</v>
      </c>
      <c r="I202" s="81" t="s">
        <v>1057</v>
      </c>
      <c r="J202" s="81" t="s">
        <v>1007</v>
      </c>
      <c r="K202" s="79"/>
      <c r="L202" s="79"/>
      <c r="M202" s="79"/>
      <c r="N202" s="79"/>
    </row>
    <row r="203" ht="26" spans="1:14">
      <c r="A203" s="81" t="s">
        <v>563</v>
      </c>
      <c r="B203" s="81" t="s">
        <v>77</v>
      </c>
      <c r="C203" s="81" t="s">
        <v>203</v>
      </c>
      <c r="D203" s="81" t="s">
        <v>923</v>
      </c>
      <c r="E203" s="81" t="s">
        <v>200</v>
      </c>
      <c r="F203" s="81">
        <v>4</v>
      </c>
      <c r="G203" s="81">
        <v>0.5</v>
      </c>
      <c r="H203" s="81" t="s">
        <v>1008</v>
      </c>
      <c r="I203" s="81" t="s">
        <v>1057</v>
      </c>
      <c r="J203" s="81" t="s">
        <v>1007</v>
      </c>
      <c r="K203" s="79"/>
      <c r="L203" s="79"/>
      <c r="M203" s="79"/>
      <c r="N203" s="79"/>
    </row>
    <row r="204" ht="26" spans="1:14">
      <c r="A204" s="81" t="s">
        <v>564</v>
      </c>
      <c r="B204" s="81" t="s">
        <v>77</v>
      </c>
      <c r="C204" s="81" t="s">
        <v>203</v>
      </c>
      <c r="D204" s="81" t="s">
        <v>922</v>
      </c>
      <c r="E204" s="81" t="s">
        <v>200</v>
      </c>
      <c r="F204" s="81">
        <v>4</v>
      </c>
      <c r="G204" s="81">
        <v>0.5</v>
      </c>
      <c r="H204" s="81" t="s">
        <v>1008</v>
      </c>
      <c r="I204" s="81" t="s">
        <v>1057</v>
      </c>
      <c r="J204" s="81" t="s">
        <v>1007</v>
      </c>
      <c r="K204" s="79"/>
      <c r="L204" s="79"/>
      <c r="M204" s="79"/>
      <c r="N204" s="79"/>
    </row>
    <row r="205" ht="26" spans="1:14">
      <c r="A205" s="81" t="s">
        <v>565</v>
      </c>
      <c r="B205" s="81" t="s">
        <v>77</v>
      </c>
      <c r="C205" s="81" t="s">
        <v>203</v>
      </c>
      <c r="D205" s="81" t="s">
        <v>922</v>
      </c>
      <c r="E205" s="81" t="s">
        <v>200</v>
      </c>
      <c r="F205" s="81">
        <v>4</v>
      </c>
      <c r="G205" s="81">
        <v>0.5</v>
      </c>
      <c r="H205" s="81" t="s">
        <v>1008</v>
      </c>
      <c r="I205" s="81" t="s">
        <v>1057</v>
      </c>
      <c r="J205" s="81" t="s">
        <v>1007</v>
      </c>
      <c r="K205" s="79"/>
      <c r="L205" s="79"/>
      <c r="M205" s="79"/>
      <c r="N205" s="79"/>
    </row>
    <row r="206" ht="26" spans="1:14">
      <c r="A206" s="81" t="s">
        <v>566</v>
      </c>
      <c r="B206" s="81" t="s">
        <v>77</v>
      </c>
      <c r="C206" s="81" t="s">
        <v>203</v>
      </c>
      <c r="D206" s="81" t="s">
        <v>922</v>
      </c>
      <c r="E206" s="81" t="s">
        <v>200</v>
      </c>
      <c r="F206" s="81">
        <v>4</v>
      </c>
      <c r="G206" s="81">
        <v>0.5</v>
      </c>
      <c r="H206" s="81" t="s">
        <v>1008</v>
      </c>
      <c r="I206" s="81" t="s">
        <v>1057</v>
      </c>
      <c r="J206" s="81" t="s">
        <v>1007</v>
      </c>
      <c r="K206" s="79"/>
      <c r="L206" s="79"/>
      <c r="M206" s="79"/>
      <c r="N206" s="79"/>
    </row>
    <row r="207" ht="26" spans="1:14">
      <c r="A207" s="81" t="s">
        <v>567</v>
      </c>
      <c r="B207" s="81" t="s">
        <v>77</v>
      </c>
      <c r="C207" s="81" t="s">
        <v>203</v>
      </c>
      <c r="D207" s="81" t="s">
        <v>924</v>
      </c>
      <c r="E207" s="81" t="s">
        <v>200</v>
      </c>
      <c r="F207" s="81">
        <v>4</v>
      </c>
      <c r="G207" s="81">
        <v>0.5</v>
      </c>
      <c r="H207" s="81" t="s">
        <v>1008</v>
      </c>
      <c r="I207" s="81" t="s">
        <v>1057</v>
      </c>
      <c r="J207" s="81" t="s">
        <v>1007</v>
      </c>
      <c r="K207" s="79"/>
      <c r="L207" s="79"/>
      <c r="M207" s="79"/>
      <c r="N207" s="79"/>
    </row>
    <row r="208" ht="26" spans="1:14">
      <c r="A208" s="81" t="s">
        <v>569</v>
      </c>
      <c r="B208" s="81" t="s">
        <v>77</v>
      </c>
      <c r="C208" s="81" t="s">
        <v>203</v>
      </c>
      <c r="D208" s="81" t="s">
        <v>923</v>
      </c>
      <c r="E208" s="81" t="s">
        <v>200</v>
      </c>
      <c r="F208" s="81">
        <v>4</v>
      </c>
      <c r="G208" s="81">
        <v>0.5</v>
      </c>
      <c r="H208" s="81" t="s">
        <v>1008</v>
      </c>
      <c r="I208" s="81" t="s">
        <v>1057</v>
      </c>
      <c r="J208" s="81" t="s">
        <v>1007</v>
      </c>
      <c r="K208" s="79"/>
      <c r="L208" s="79"/>
      <c r="M208" s="79"/>
      <c r="N208" s="79"/>
    </row>
    <row r="209" ht="26" spans="1:14">
      <c r="A209" s="81" t="s">
        <v>570</v>
      </c>
      <c r="B209" s="81" t="s">
        <v>77</v>
      </c>
      <c r="C209" s="81" t="s">
        <v>203</v>
      </c>
      <c r="D209" s="81" t="s">
        <v>925</v>
      </c>
      <c r="E209" s="81" t="s">
        <v>200</v>
      </c>
      <c r="F209" s="81">
        <v>4</v>
      </c>
      <c r="G209" s="81">
        <v>0.5</v>
      </c>
      <c r="H209" s="81" t="s">
        <v>1008</v>
      </c>
      <c r="I209" s="81" t="s">
        <v>1057</v>
      </c>
      <c r="J209" s="81" t="s">
        <v>1012</v>
      </c>
      <c r="K209" s="79"/>
      <c r="L209" s="79"/>
      <c r="M209" s="79"/>
      <c r="N209" s="79"/>
    </row>
    <row r="210" ht="26" spans="1:14">
      <c r="A210" s="81" t="s">
        <v>573</v>
      </c>
      <c r="B210" s="81" t="s">
        <v>77</v>
      </c>
      <c r="C210" s="81" t="s">
        <v>203</v>
      </c>
      <c r="D210" s="81" t="s">
        <v>925</v>
      </c>
      <c r="E210" s="81" t="s">
        <v>200</v>
      </c>
      <c r="F210" s="81">
        <v>4</v>
      </c>
      <c r="G210" s="81">
        <v>0.5</v>
      </c>
      <c r="H210" s="81" t="s">
        <v>1008</v>
      </c>
      <c r="I210" s="81" t="s">
        <v>1057</v>
      </c>
      <c r="J210" s="81" t="s">
        <v>1012</v>
      </c>
      <c r="K210" s="79"/>
      <c r="L210" s="79"/>
      <c r="M210" s="79"/>
      <c r="N210" s="79"/>
    </row>
    <row r="211" ht="26" spans="1:14">
      <c r="A211" s="81" t="s">
        <v>574</v>
      </c>
      <c r="B211" s="81" t="s">
        <v>77</v>
      </c>
      <c r="C211" s="81" t="s">
        <v>203</v>
      </c>
      <c r="D211" s="81" t="s">
        <v>925</v>
      </c>
      <c r="E211" s="81" t="s">
        <v>200</v>
      </c>
      <c r="F211" s="81">
        <v>4</v>
      </c>
      <c r="G211" s="81">
        <v>0.5</v>
      </c>
      <c r="H211" s="81" t="s">
        <v>1008</v>
      </c>
      <c r="I211" s="81" t="s">
        <v>1057</v>
      </c>
      <c r="J211" s="81" t="s">
        <v>1012</v>
      </c>
      <c r="K211" s="79"/>
      <c r="L211" s="79"/>
      <c r="M211" s="79"/>
      <c r="N211" s="79"/>
    </row>
    <row r="212" ht="26" spans="1:14">
      <c r="A212" s="81" t="s">
        <v>575</v>
      </c>
      <c r="B212" s="81" t="s">
        <v>77</v>
      </c>
      <c r="C212" s="81" t="s">
        <v>203</v>
      </c>
      <c r="D212" s="81" t="s">
        <v>905</v>
      </c>
      <c r="E212" s="81" t="s">
        <v>200</v>
      </c>
      <c r="F212" s="81">
        <v>4</v>
      </c>
      <c r="G212" s="81">
        <v>0.5</v>
      </c>
      <c r="H212" s="81" t="s">
        <v>1008</v>
      </c>
      <c r="I212" s="81" t="s">
        <v>1057</v>
      </c>
      <c r="J212" s="81" t="s">
        <v>1007</v>
      </c>
      <c r="K212" s="79"/>
      <c r="L212" s="79"/>
      <c r="M212" s="79"/>
      <c r="N212" s="79"/>
    </row>
    <row r="213" ht="26" spans="1:14">
      <c r="A213" s="81" t="s">
        <v>577</v>
      </c>
      <c r="B213" s="81" t="s">
        <v>77</v>
      </c>
      <c r="C213" s="81" t="s">
        <v>203</v>
      </c>
      <c r="D213" s="81" t="s">
        <v>905</v>
      </c>
      <c r="E213" s="81" t="s">
        <v>200</v>
      </c>
      <c r="F213" s="81">
        <v>4</v>
      </c>
      <c r="G213" s="81">
        <v>0.5</v>
      </c>
      <c r="H213" s="81" t="s">
        <v>1008</v>
      </c>
      <c r="I213" s="81" t="s">
        <v>1057</v>
      </c>
      <c r="J213" s="81" t="s">
        <v>1007</v>
      </c>
      <c r="K213" s="79"/>
      <c r="L213" s="79"/>
      <c r="M213" s="79"/>
      <c r="N213" s="79"/>
    </row>
    <row r="214" ht="26" spans="1:14">
      <c r="A214" s="81" t="s">
        <v>578</v>
      </c>
      <c r="B214" s="81" t="s">
        <v>77</v>
      </c>
      <c r="C214" s="81" t="s">
        <v>203</v>
      </c>
      <c r="D214" s="81" t="s">
        <v>905</v>
      </c>
      <c r="E214" s="81" t="s">
        <v>200</v>
      </c>
      <c r="F214" s="81">
        <v>4</v>
      </c>
      <c r="G214" s="81">
        <v>0.5</v>
      </c>
      <c r="H214" s="81" t="s">
        <v>1008</v>
      </c>
      <c r="I214" s="81" t="s">
        <v>1057</v>
      </c>
      <c r="J214" s="81" t="s">
        <v>1007</v>
      </c>
      <c r="K214" s="79"/>
      <c r="L214" s="79"/>
      <c r="M214" s="79"/>
      <c r="N214" s="79"/>
    </row>
    <row r="215" ht="26" spans="1:14">
      <c r="A215" s="81" t="s">
        <v>579</v>
      </c>
      <c r="B215" s="81" t="s">
        <v>77</v>
      </c>
      <c r="C215" s="81" t="s">
        <v>203</v>
      </c>
      <c r="D215" s="81" t="s">
        <v>905</v>
      </c>
      <c r="E215" s="81" t="s">
        <v>200</v>
      </c>
      <c r="F215" s="81">
        <v>4</v>
      </c>
      <c r="G215" s="81">
        <v>0.5</v>
      </c>
      <c r="H215" s="81" t="s">
        <v>1008</v>
      </c>
      <c r="I215" s="81" t="s">
        <v>1057</v>
      </c>
      <c r="J215" s="81" t="s">
        <v>1007</v>
      </c>
      <c r="K215" s="79"/>
      <c r="L215" s="79"/>
      <c r="M215" s="79"/>
      <c r="N215" s="79"/>
    </row>
    <row r="216" ht="26" spans="1:14">
      <c r="A216" s="81" t="s">
        <v>580</v>
      </c>
      <c r="B216" s="81" t="s">
        <v>77</v>
      </c>
      <c r="C216" s="81" t="s">
        <v>203</v>
      </c>
      <c r="D216" s="81" t="s">
        <v>905</v>
      </c>
      <c r="E216" s="81" t="s">
        <v>200</v>
      </c>
      <c r="F216" s="81">
        <v>4</v>
      </c>
      <c r="G216" s="81">
        <v>0.5</v>
      </c>
      <c r="H216" s="81" t="s">
        <v>1008</v>
      </c>
      <c r="I216" s="81" t="s">
        <v>1057</v>
      </c>
      <c r="J216" s="81" t="s">
        <v>1007</v>
      </c>
      <c r="K216" s="79"/>
      <c r="L216" s="79"/>
      <c r="M216" s="79"/>
      <c r="N216" s="79"/>
    </row>
    <row r="217" ht="26" spans="1:14">
      <c r="A217" s="81" t="s">
        <v>581</v>
      </c>
      <c r="B217" s="81" t="s">
        <v>77</v>
      </c>
      <c r="C217" s="81" t="s">
        <v>203</v>
      </c>
      <c r="D217" s="81" t="s">
        <v>905</v>
      </c>
      <c r="E217" s="81" t="s">
        <v>200</v>
      </c>
      <c r="F217" s="81">
        <v>4</v>
      </c>
      <c r="G217" s="81">
        <v>0.5</v>
      </c>
      <c r="H217" s="81" t="s">
        <v>1008</v>
      </c>
      <c r="I217" s="81" t="s">
        <v>1057</v>
      </c>
      <c r="J217" s="81" t="s">
        <v>1007</v>
      </c>
      <c r="K217" s="79"/>
      <c r="L217" s="79"/>
      <c r="M217" s="79"/>
      <c r="N217" s="79"/>
    </row>
    <row r="218" ht="26" spans="1:14">
      <c r="A218" s="81" t="s">
        <v>582</v>
      </c>
      <c r="B218" s="81" t="s">
        <v>77</v>
      </c>
      <c r="C218" s="81" t="s">
        <v>203</v>
      </c>
      <c r="D218" s="81" t="s">
        <v>905</v>
      </c>
      <c r="E218" s="81" t="s">
        <v>200</v>
      </c>
      <c r="F218" s="81">
        <v>4</v>
      </c>
      <c r="G218" s="81">
        <v>0.5</v>
      </c>
      <c r="H218" s="81" t="s">
        <v>1008</v>
      </c>
      <c r="I218" s="81" t="s">
        <v>1057</v>
      </c>
      <c r="J218" s="81" t="s">
        <v>1007</v>
      </c>
      <c r="K218" s="79"/>
      <c r="L218" s="79"/>
      <c r="M218" s="79"/>
      <c r="N218" s="79"/>
    </row>
    <row r="219" ht="26" spans="1:14">
      <c r="A219" s="81" t="s">
        <v>583</v>
      </c>
      <c r="B219" s="81" t="s">
        <v>77</v>
      </c>
      <c r="C219" s="81" t="s">
        <v>203</v>
      </c>
      <c r="D219" s="81" t="s">
        <v>926</v>
      </c>
      <c r="E219" s="81" t="s">
        <v>200</v>
      </c>
      <c r="F219" s="81">
        <v>4</v>
      </c>
      <c r="G219" s="81">
        <v>0.5</v>
      </c>
      <c r="H219" s="81" t="s">
        <v>1008</v>
      </c>
      <c r="I219" s="81" t="s">
        <v>1057</v>
      </c>
      <c r="J219" s="81" t="s">
        <v>1010</v>
      </c>
      <c r="K219" s="79"/>
      <c r="L219" s="79"/>
      <c r="M219" s="79"/>
      <c r="N219" s="79"/>
    </row>
    <row r="220" ht="26" spans="1:14">
      <c r="A220" s="81" t="s">
        <v>584</v>
      </c>
      <c r="B220" s="81" t="s">
        <v>77</v>
      </c>
      <c r="C220" s="81" t="s">
        <v>203</v>
      </c>
      <c r="D220" s="81" t="s">
        <v>905</v>
      </c>
      <c r="E220" s="81" t="s">
        <v>200</v>
      </c>
      <c r="F220" s="81">
        <v>4</v>
      </c>
      <c r="G220" s="81">
        <v>0.5</v>
      </c>
      <c r="H220" s="81" t="s">
        <v>1008</v>
      </c>
      <c r="I220" s="81" t="s">
        <v>1057</v>
      </c>
      <c r="J220" s="81" t="s">
        <v>1007</v>
      </c>
      <c r="K220" s="79"/>
      <c r="L220" s="79"/>
      <c r="M220" s="79"/>
      <c r="N220" s="79"/>
    </row>
    <row r="221" ht="26" spans="1:14">
      <c r="A221" s="81" t="s">
        <v>585</v>
      </c>
      <c r="B221" s="81" t="s">
        <v>77</v>
      </c>
      <c r="C221" s="81" t="s">
        <v>203</v>
      </c>
      <c r="D221" s="81" t="s">
        <v>905</v>
      </c>
      <c r="E221" s="81" t="s">
        <v>200</v>
      </c>
      <c r="F221" s="81">
        <v>4</v>
      </c>
      <c r="G221" s="81">
        <v>0.5</v>
      </c>
      <c r="H221" s="81" t="s">
        <v>1008</v>
      </c>
      <c r="I221" s="81" t="s">
        <v>1057</v>
      </c>
      <c r="J221" s="81" t="s">
        <v>1007</v>
      </c>
      <c r="K221" s="79"/>
      <c r="L221" s="79"/>
      <c r="M221" s="79"/>
      <c r="N221" s="79"/>
    </row>
    <row r="222" ht="26" spans="1:14">
      <c r="A222" s="81" t="s">
        <v>586</v>
      </c>
      <c r="B222" s="81" t="s">
        <v>77</v>
      </c>
      <c r="C222" s="81" t="s">
        <v>203</v>
      </c>
      <c r="D222" s="81" t="s">
        <v>926</v>
      </c>
      <c r="E222" s="81" t="s">
        <v>200</v>
      </c>
      <c r="F222" s="81">
        <v>4</v>
      </c>
      <c r="G222" s="81">
        <v>0.5</v>
      </c>
      <c r="H222" s="81" t="s">
        <v>1008</v>
      </c>
      <c r="I222" s="81" t="s">
        <v>1057</v>
      </c>
      <c r="J222" s="81" t="s">
        <v>1010</v>
      </c>
      <c r="K222" s="79"/>
      <c r="L222" s="79"/>
      <c r="M222" s="79"/>
      <c r="N222" s="79"/>
    </row>
    <row r="223" ht="26" spans="1:14">
      <c r="A223" s="81" t="s">
        <v>587</v>
      </c>
      <c r="B223" s="81" t="s">
        <v>77</v>
      </c>
      <c r="C223" s="81" t="s">
        <v>203</v>
      </c>
      <c r="D223" s="81" t="s">
        <v>905</v>
      </c>
      <c r="E223" s="81" t="s">
        <v>200</v>
      </c>
      <c r="F223" s="81">
        <v>4</v>
      </c>
      <c r="G223" s="81">
        <v>0.5</v>
      </c>
      <c r="H223" s="81" t="s">
        <v>1008</v>
      </c>
      <c r="I223" s="81" t="s">
        <v>1057</v>
      </c>
      <c r="J223" s="81" t="s">
        <v>1007</v>
      </c>
      <c r="K223" s="79"/>
      <c r="L223" s="79"/>
      <c r="M223" s="79"/>
      <c r="N223" s="79"/>
    </row>
    <row r="224" ht="26" spans="1:14">
      <c r="A224" s="81" t="s">
        <v>588</v>
      </c>
      <c r="B224" s="81" t="s">
        <v>77</v>
      </c>
      <c r="C224" s="81" t="s">
        <v>203</v>
      </c>
      <c r="D224" s="81" t="s">
        <v>926</v>
      </c>
      <c r="E224" s="81" t="s">
        <v>200</v>
      </c>
      <c r="F224" s="81">
        <v>4</v>
      </c>
      <c r="G224" s="81">
        <v>0.5</v>
      </c>
      <c r="H224" s="81" t="s">
        <v>1008</v>
      </c>
      <c r="I224" s="81" t="s">
        <v>1057</v>
      </c>
      <c r="J224" s="81" t="s">
        <v>1010</v>
      </c>
      <c r="K224" s="79"/>
      <c r="L224" s="79"/>
      <c r="M224" s="79"/>
      <c r="N224" s="79"/>
    </row>
    <row r="225" ht="26" spans="1:14">
      <c r="A225" s="81" t="s">
        <v>589</v>
      </c>
      <c r="B225" s="81" t="s">
        <v>77</v>
      </c>
      <c r="C225" s="81" t="s">
        <v>203</v>
      </c>
      <c r="D225" s="81" t="s">
        <v>926</v>
      </c>
      <c r="E225" s="81" t="s">
        <v>200</v>
      </c>
      <c r="F225" s="81">
        <v>4</v>
      </c>
      <c r="G225" s="81">
        <v>0.5</v>
      </c>
      <c r="H225" s="81" t="s">
        <v>1008</v>
      </c>
      <c r="I225" s="81" t="s">
        <v>1057</v>
      </c>
      <c r="J225" s="81" t="s">
        <v>1010</v>
      </c>
      <c r="K225" s="79"/>
      <c r="L225" s="79"/>
      <c r="M225" s="79"/>
      <c r="N225" s="79"/>
    </row>
    <row r="226" ht="26" spans="1:14">
      <c r="A226" s="81" t="s">
        <v>590</v>
      </c>
      <c r="B226" s="81" t="s">
        <v>77</v>
      </c>
      <c r="C226" s="81" t="s">
        <v>203</v>
      </c>
      <c r="D226" s="81" t="s">
        <v>926</v>
      </c>
      <c r="E226" s="81" t="s">
        <v>200</v>
      </c>
      <c r="F226" s="81">
        <v>4</v>
      </c>
      <c r="G226" s="81">
        <v>0.5</v>
      </c>
      <c r="H226" s="81" t="s">
        <v>1008</v>
      </c>
      <c r="I226" s="81" t="s">
        <v>1057</v>
      </c>
      <c r="J226" s="81" t="s">
        <v>1010</v>
      </c>
      <c r="K226" s="79"/>
      <c r="L226" s="79"/>
      <c r="M226" s="79"/>
      <c r="N226" s="79"/>
    </row>
    <row r="227" ht="26" spans="1:14">
      <c r="A227" s="81" t="s">
        <v>591</v>
      </c>
      <c r="B227" s="81" t="s">
        <v>77</v>
      </c>
      <c r="C227" s="81" t="s">
        <v>203</v>
      </c>
      <c r="D227" s="81" t="s">
        <v>926</v>
      </c>
      <c r="E227" s="81" t="s">
        <v>200</v>
      </c>
      <c r="F227" s="81">
        <v>4</v>
      </c>
      <c r="G227" s="81">
        <v>0.5</v>
      </c>
      <c r="H227" s="81" t="s">
        <v>1008</v>
      </c>
      <c r="I227" s="81" t="s">
        <v>1057</v>
      </c>
      <c r="J227" s="81" t="s">
        <v>1010</v>
      </c>
      <c r="K227" s="79"/>
      <c r="L227" s="79"/>
      <c r="M227" s="79"/>
      <c r="N227" s="79"/>
    </row>
    <row r="228" ht="26" spans="1:14">
      <c r="A228" s="81" t="s">
        <v>592</v>
      </c>
      <c r="B228" s="81" t="s">
        <v>77</v>
      </c>
      <c r="C228" s="81" t="s">
        <v>203</v>
      </c>
      <c r="D228" s="81" t="s">
        <v>926</v>
      </c>
      <c r="E228" s="81" t="s">
        <v>200</v>
      </c>
      <c r="F228" s="81">
        <v>4</v>
      </c>
      <c r="G228" s="81">
        <v>0.5</v>
      </c>
      <c r="H228" s="81" t="s">
        <v>1008</v>
      </c>
      <c r="I228" s="81" t="s">
        <v>1057</v>
      </c>
      <c r="J228" s="81" t="s">
        <v>1010</v>
      </c>
      <c r="K228" s="79"/>
      <c r="L228" s="79"/>
      <c r="M228" s="79"/>
      <c r="N228" s="79"/>
    </row>
    <row r="229" ht="26" spans="1:14">
      <c r="A229" s="81" t="s">
        <v>593</v>
      </c>
      <c r="B229" s="81" t="s">
        <v>77</v>
      </c>
      <c r="C229" s="81" t="s">
        <v>203</v>
      </c>
      <c r="D229" s="81" t="s">
        <v>926</v>
      </c>
      <c r="E229" s="81" t="s">
        <v>200</v>
      </c>
      <c r="F229" s="81">
        <v>4</v>
      </c>
      <c r="G229" s="81">
        <v>0.5</v>
      </c>
      <c r="H229" s="81" t="s">
        <v>1008</v>
      </c>
      <c r="I229" s="81" t="s">
        <v>1057</v>
      </c>
      <c r="J229" s="81" t="s">
        <v>1010</v>
      </c>
      <c r="K229" s="79"/>
      <c r="L229" s="79"/>
      <c r="M229" s="79"/>
      <c r="N229" s="79"/>
    </row>
    <row r="230" ht="26" spans="1:14">
      <c r="A230" s="81" t="s">
        <v>594</v>
      </c>
      <c r="B230" s="81" t="s">
        <v>77</v>
      </c>
      <c r="C230" s="81" t="s">
        <v>203</v>
      </c>
      <c r="D230" s="81" t="s">
        <v>905</v>
      </c>
      <c r="E230" s="81" t="s">
        <v>200</v>
      </c>
      <c r="F230" s="81">
        <v>4</v>
      </c>
      <c r="G230" s="81">
        <v>0.5</v>
      </c>
      <c r="H230" s="81" t="s">
        <v>1008</v>
      </c>
      <c r="I230" s="81" t="s">
        <v>1057</v>
      </c>
      <c r="J230" s="81" t="s">
        <v>1007</v>
      </c>
      <c r="K230" s="79"/>
      <c r="L230" s="79"/>
      <c r="M230" s="79"/>
      <c r="N230" s="79"/>
    </row>
    <row r="231" ht="26" spans="1:14">
      <c r="A231" s="81" t="s">
        <v>595</v>
      </c>
      <c r="B231" s="81" t="s">
        <v>77</v>
      </c>
      <c r="C231" s="81" t="s">
        <v>203</v>
      </c>
      <c r="D231" s="81" t="s">
        <v>905</v>
      </c>
      <c r="E231" s="81" t="s">
        <v>200</v>
      </c>
      <c r="F231" s="81">
        <v>4</v>
      </c>
      <c r="G231" s="81">
        <v>0.5</v>
      </c>
      <c r="H231" s="81" t="s">
        <v>1008</v>
      </c>
      <c r="I231" s="81" t="s">
        <v>1057</v>
      </c>
      <c r="J231" s="81" t="s">
        <v>1007</v>
      </c>
      <c r="K231" s="79"/>
      <c r="L231" s="79"/>
      <c r="M231" s="79"/>
      <c r="N231" s="79"/>
    </row>
    <row r="232" ht="26" spans="1:14">
      <c r="A232" s="81" t="s">
        <v>596</v>
      </c>
      <c r="B232" s="81" t="s">
        <v>77</v>
      </c>
      <c r="C232" s="81" t="s">
        <v>203</v>
      </c>
      <c r="D232" s="81" t="s">
        <v>905</v>
      </c>
      <c r="E232" s="81" t="s">
        <v>200</v>
      </c>
      <c r="F232" s="81">
        <v>4</v>
      </c>
      <c r="G232" s="81">
        <v>0.5</v>
      </c>
      <c r="H232" s="81" t="s">
        <v>1008</v>
      </c>
      <c r="I232" s="81" t="s">
        <v>1057</v>
      </c>
      <c r="J232" s="81" t="s">
        <v>1007</v>
      </c>
      <c r="K232" s="79"/>
      <c r="L232" s="79"/>
      <c r="M232" s="79"/>
      <c r="N232" s="79"/>
    </row>
    <row r="233" ht="26" spans="1:14">
      <c r="A233" s="81" t="s">
        <v>597</v>
      </c>
      <c r="B233" s="81" t="s">
        <v>77</v>
      </c>
      <c r="C233" s="81" t="s">
        <v>203</v>
      </c>
      <c r="D233" s="81" t="s">
        <v>905</v>
      </c>
      <c r="E233" s="81" t="s">
        <v>200</v>
      </c>
      <c r="F233" s="81">
        <v>4</v>
      </c>
      <c r="G233" s="81">
        <v>0.5</v>
      </c>
      <c r="H233" s="81" t="s">
        <v>1008</v>
      </c>
      <c r="I233" s="81" t="s">
        <v>1057</v>
      </c>
      <c r="J233" s="81" t="s">
        <v>1007</v>
      </c>
      <c r="K233" s="79"/>
      <c r="L233" s="79"/>
      <c r="M233" s="79"/>
      <c r="N233" s="79"/>
    </row>
    <row r="234" ht="26" spans="1:14">
      <c r="A234" s="81" t="s">
        <v>598</v>
      </c>
      <c r="B234" s="81" t="s">
        <v>77</v>
      </c>
      <c r="C234" s="81" t="s">
        <v>203</v>
      </c>
      <c r="D234" s="81" t="s">
        <v>905</v>
      </c>
      <c r="E234" s="81" t="s">
        <v>200</v>
      </c>
      <c r="F234" s="81">
        <v>4</v>
      </c>
      <c r="G234" s="81">
        <v>0.5</v>
      </c>
      <c r="H234" s="81" t="s">
        <v>1008</v>
      </c>
      <c r="I234" s="81" t="s">
        <v>1057</v>
      </c>
      <c r="J234" s="81" t="s">
        <v>1007</v>
      </c>
      <c r="K234" s="79"/>
      <c r="L234" s="79"/>
      <c r="M234" s="79"/>
      <c r="N234" s="79"/>
    </row>
    <row r="235" ht="26" spans="1:14">
      <c r="A235" s="81" t="s">
        <v>599</v>
      </c>
      <c r="B235" s="81" t="s">
        <v>77</v>
      </c>
      <c r="C235" s="81" t="s">
        <v>203</v>
      </c>
      <c r="D235" s="81" t="s">
        <v>905</v>
      </c>
      <c r="E235" s="81" t="s">
        <v>200</v>
      </c>
      <c r="F235" s="81">
        <v>4</v>
      </c>
      <c r="G235" s="81">
        <v>0.5</v>
      </c>
      <c r="H235" s="81" t="s">
        <v>1008</v>
      </c>
      <c r="I235" s="81" t="s">
        <v>1057</v>
      </c>
      <c r="J235" s="81" t="s">
        <v>1007</v>
      </c>
      <c r="K235" s="79"/>
      <c r="L235" s="79"/>
      <c r="M235" s="79"/>
      <c r="N235" s="79"/>
    </row>
    <row r="236" ht="26" spans="1:14">
      <c r="A236" s="81" t="s">
        <v>600</v>
      </c>
      <c r="B236" s="81" t="s">
        <v>77</v>
      </c>
      <c r="C236" s="81" t="s">
        <v>203</v>
      </c>
      <c r="D236" s="81" t="s">
        <v>905</v>
      </c>
      <c r="E236" s="81" t="s">
        <v>200</v>
      </c>
      <c r="F236" s="81">
        <v>4</v>
      </c>
      <c r="G236" s="81">
        <v>0.5</v>
      </c>
      <c r="H236" s="81" t="s">
        <v>1008</v>
      </c>
      <c r="I236" s="81" t="s">
        <v>1057</v>
      </c>
      <c r="J236" s="81" t="s">
        <v>1007</v>
      </c>
      <c r="K236" s="79"/>
      <c r="L236" s="79"/>
      <c r="M236" s="79"/>
      <c r="N236" s="79"/>
    </row>
    <row r="237" ht="26" spans="1:14">
      <c r="A237" s="81" t="s">
        <v>601</v>
      </c>
      <c r="B237" s="81" t="s">
        <v>77</v>
      </c>
      <c r="C237" s="81" t="s">
        <v>203</v>
      </c>
      <c r="D237" s="81" t="s">
        <v>905</v>
      </c>
      <c r="E237" s="81" t="s">
        <v>200</v>
      </c>
      <c r="F237" s="81">
        <v>4</v>
      </c>
      <c r="G237" s="81">
        <v>0.5</v>
      </c>
      <c r="H237" s="81" t="s">
        <v>1008</v>
      </c>
      <c r="I237" s="81" t="s">
        <v>1057</v>
      </c>
      <c r="J237" s="81" t="s">
        <v>1007</v>
      </c>
      <c r="K237" s="79"/>
      <c r="L237" s="79"/>
      <c r="M237" s="79"/>
      <c r="N237" s="79"/>
    </row>
    <row r="238" ht="26" spans="1:14">
      <c r="A238" s="81" t="s">
        <v>602</v>
      </c>
      <c r="B238" s="81" t="s">
        <v>77</v>
      </c>
      <c r="C238" s="81" t="s">
        <v>203</v>
      </c>
      <c r="D238" s="81" t="s">
        <v>905</v>
      </c>
      <c r="E238" s="81" t="s">
        <v>200</v>
      </c>
      <c r="F238" s="81">
        <v>4</v>
      </c>
      <c r="G238" s="81">
        <v>0.5</v>
      </c>
      <c r="H238" s="81" t="s">
        <v>1008</v>
      </c>
      <c r="I238" s="81" t="s">
        <v>1057</v>
      </c>
      <c r="J238" s="81" t="s">
        <v>1007</v>
      </c>
      <c r="K238" s="79"/>
      <c r="L238" s="79"/>
      <c r="M238" s="79"/>
      <c r="N238" s="79"/>
    </row>
    <row r="239" ht="26" spans="1:14">
      <c r="A239" s="81" t="s">
        <v>604</v>
      </c>
      <c r="B239" s="81" t="s">
        <v>77</v>
      </c>
      <c r="C239" s="81" t="s">
        <v>203</v>
      </c>
      <c r="D239" s="81" t="s">
        <v>894</v>
      </c>
      <c r="E239" s="81" t="s">
        <v>200</v>
      </c>
      <c r="F239" s="81">
        <v>4</v>
      </c>
      <c r="G239" s="81">
        <v>0.5</v>
      </c>
      <c r="H239" s="81" t="s">
        <v>1001</v>
      </c>
      <c r="I239" s="81" t="s">
        <v>1057</v>
      </c>
      <c r="J239" s="81" t="s">
        <v>1004</v>
      </c>
      <c r="K239" s="79"/>
      <c r="L239" s="79"/>
      <c r="M239" s="79"/>
      <c r="N239" s="79"/>
    </row>
    <row r="240" ht="26" spans="1:14">
      <c r="A240" s="81" t="s">
        <v>607</v>
      </c>
      <c r="B240" s="81" t="s">
        <v>77</v>
      </c>
      <c r="C240" s="81" t="s">
        <v>203</v>
      </c>
      <c r="D240" s="81" t="s">
        <v>894</v>
      </c>
      <c r="E240" s="81" t="s">
        <v>200</v>
      </c>
      <c r="F240" s="81">
        <v>4</v>
      </c>
      <c r="G240" s="81">
        <v>0.5</v>
      </c>
      <c r="H240" s="81" t="s">
        <v>1001</v>
      </c>
      <c r="I240" s="81" t="s">
        <v>1057</v>
      </c>
      <c r="J240" s="81" t="s">
        <v>1004</v>
      </c>
      <c r="K240" s="79"/>
      <c r="L240" s="79"/>
      <c r="M240" s="79"/>
      <c r="N240" s="79"/>
    </row>
    <row r="241" ht="26" spans="1:14">
      <c r="A241" s="81" t="s">
        <v>608</v>
      </c>
      <c r="B241" s="81" t="s">
        <v>77</v>
      </c>
      <c r="C241" s="81" t="s">
        <v>203</v>
      </c>
      <c r="D241" s="81" t="s">
        <v>894</v>
      </c>
      <c r="E241" s="81" t="s">
        <v>200</v>
      </c>
      <c r="F241" s="81">
        <v>4</v>
      </c>
      <c r="G241" s="81">
        <v>0.5</v>
      </c>
      <c r="H241" s="81" t="s">
        <v>1001</v>
      </c>
      <c r="I241" s="81" t="s">
        <v>1057</v>
      </c>
      <c r="J241" s="81" t="s">
        <v>1004</v>
      </c>
      <c r="K241" s="79"/>
      <c r="L241" s="79"/>
      <c r="M241" s="79"/>
      <c r="N241" s="79"/>
    </row>
    <row r="242" ht="26" spans="1:14">
      <c r="A242" s="81" t="s">
        <v>609</v>
      </c>
      <c r="B242" s="81" t="s">
        <v>77</v>
      </c>
      <c r="C242" s="81" t="s">
        <v>203</v>
      </c>
      <c r="D242" s="81" t="s">
        <v>894</v>
      </c>
      <c r="E242" s="81" t="s">
        <v>200</v>
      </c>
      <c r="F242" s="81">
        <v>4</v>
      </c>
      <c r="G242" s="81">
        <v>0.5</v>
      </c>
      <c r="H242" s="81" t="s">
        <v>1001</v>
      </c>
      <c r="I242" s="81" t="s">
        <v>1057</v>
      </c>
      <c r="J242" s="81" t="s">
        <v>1004</v>
      </c>
      <c r="K242" s="79"/>
      <c r="L242" s="79"/>
      <c r="M242" s="79"/>
      <c r="N242" s="79"/>
    </row>
    <row r="243" ht="26" spans="1:14">
      <c r="A243" s="81" t="s">
        <v>610</v>
      </c>
      <c r="B243" s="81" t="s">
        <v>77</v>
      </c>
      <c r="C243" s="81" t="s">
        <v>203</v>
      </c>
      <c r="D243" s="81" t="s">
        <v>894</v>
      </c>
      <c r="E243" s="81" t="s">
        <v>200</v>
      </c>
      <c r="F243" s="81">
        <v>4</v>
      </c>
      <c r="G243" s="81">
        <v>0.5</v>
      </c>
      <c r="H243" s="81" t="s">
        <v>1001</v>
      </c>
      <c r="I243" s="81" t="s">
        <v>1057</v>
      </c>
      <c r="J243" s="81" t="s">
        <v>1004</v>
      </c>
      <c r="K243" s="79"/>
      <c r="L243" s="79"/>
      <c r="M243" s="79"/>
      <c r="N243" s="79"/>
    </row>
    <row r="244" ht="26" spans="1:14">
      <c r="A244" s="81" t="s">
        <v>611</v>
      </c>
      <c r="B244" s="81" t="s">
        <v>77</v>
      </c>
      <c r="C244" s="81" t="s">
        <v>203</v>
      </c>
      <c r="D244" s="81" t="s">
        <v>894</v>
      </c>
      <c r="E244" s="81" t="s">
        <v>200</v>
      </c>
      <c r="F244" s="81">
        <v>4</v>
      </c>
      <c r="G244" s="81">
        <v>0.5</v>
      </c>
      <c r="H244" s="81" t="s">
        <v>1001</v>
      </c>
      <c r="I244" s="81" t="s">
        <v>1057</v>
      </c>
      <c r="J244" s="81" t="s">
        <v>1004</v>
      </c>
      <c r="K244" s="79"/>
      <c r="L244" s="79"/>
      <c r="M244" s="79"/>
      <c r="N244" s="79"/>
    </row>
    <row r="245" ht="26" spans="1:14">
      <c r="A245" s="81" t="s">
        <v>612</v>
      </c>
      <c r="B245" s="81" t="s">
        <v>77</v>
      </c>
      <c r="C245" s="81" t="s">
        <v>203</v>
      </c>
      <c r="D245" s="81" t="s">
        <v>894</v>
      </c>
      <c r="E245" s="81" t="s">
        <v>200</v>
      </c>
      <c r="F245" s="81">
        <v>4</v>
      </c>
      <c r="G245" s="81">
        <v>0.5</v>
      </c>
      <c r="H245" s="81" t="s">
        <v>1001</v>
      </c>
      <c r="I245" s="81" t="s">
        <v>1057</v>
      </c>
      <c r="J245" s="81" t="s">
        <v>1004</v>
      </c>
      <c r="K245" s="79"/>
      <c r="L245" s="79"/>
      <c r="M245" s="79"/>
      <c r="N245" s="79"/>
    </row>
    <row r="246" ht="26" spans="1:14">
      <c r="A246" s="81" t="s">
        <v>613</v>
      </c>
      <c r="B246" s="81" t="s">
        <v>77</v>
      </c>
      <c r="C246" s="81" t="s">
        <v>203</v>
      </c>
      <c r="D246" s="81" t="s">
        <v>927</v>
      </c>
      <c r="E246" s="81" t="s">
        <v>202</v>
      </c>
      <c r="F246" s="81">
        <v>4</v>
      </c>
      <c r="G246" s="81">
        <v>1</v>
      </c>
      <c r="H246" s="81" t="s">
        <v>1008</v>
      </c>
      <c r="I246" s="81" t="s">
        <v>1057</v>
      </c>
      <c r="J246" s="81" t="s">
        <v>1004</v>
      </c>
      <c r="K246" s="79"/>
      <c r="L246" s="79"/>
      <c r="M246" s="79"/>
      <c r="N246" s="79"/>
    </row>
    <row r="247" ht="26" spans="1:14">
      <c r="A247" s="81" t="s">
        <v>614</v>
      </c>
      <c r="B247" s="81" t="s">
        <v>77</v>
      </c>
      <c r="C247" s="81" t="s">
        <v>203</v>
      </c>
      <c r="D247" s="81" t="s">
        <v>921</v>
      </c>
      <c r="E247" s="81" t="s">
        <v>200</v>
      </c>
      <c r="F247" s="81">
        <v>4</v>
      </c>
      <c r="G247" s="81">
        <v>0.5</v>
      </c>
      <c r="H247" s="81" t="s">
        <v>1008</v>
      </c>
      <c r="I247" s="81" t="s">
        <v>1057</v>
      </c>
      <c r="J247" s="81" t="s">
        <v>1004</v>
      </c>
      <c r="K247" s="79"/>
      <c r="L247" s="79"/>
      <c r="M247" s="79"/>
      <c r="N247" s="79"/>
    </row>
    <row r="248" ht="26" spans="1:14">
      <c r="A248" s="81" t="s">
        <v>615</v>
      </c>
      <c r="B248" s="81" t="s">
        <v>77</v>
      </c>
      <c r="C248" s="81" t="s">
        <v>203</v>
      </c>
      <c r="D248" s="81" t="s">
        <v>894</v>
      </c>
      <c r="E248" s="81" t="s">
        <v>200</v>
      </c>
      <c r="F248" s="81">
        <v>4</v>
      </c>
      <c r="G248" s="81">
        <v>0.5</v>
      </c>
      <c r="H248" s="81" t="s">
        <v>1001</v>
      </c>
      <c r="I248" s="81" t="s">
        <v>1057</v>
      </c>
      <c r="J248" s="81" t="s">
        <v>1004</v>
      </c>
      <c r="K248" s="79"/>
      <c r="L248" s="79"/>
      <c r="M248" s="79"/>
      <c r="N248" s="79"/>
    </row>
    <row r="249" ht="26" spans="1:14">
      <c r="A249" s="81" t="s">
        <v>617</v>
      </c>
      <c r="B249" s="81" t="s">
        <v>77</v>
      </c>
      <c r="C249" s="81" t="s">
        <v>203</v>
      </c>
      <c r="D249" s="81" t="s">
        <v>894</v>
      </c>
      <c r="E249" s="81" t="s">
        <v>200</v>
      </c>
      <c r="F249" s="81">
        <v>4</v>
      </c>
      <c r="G249" s="81">
        <v>0.5</v>
      </c>
      <c r="H249" s="81" t="s">
        <v>1001</v>
      </c>
      <c r="I249" s="81" t="s">
        <v>1057</v>
      </c>
      <c r="J249" s="81" t="s">
        <v>1004</v>
      </c>
      <c r="K249" s="79"/>
      <c r="L249" s="79"/>
      <c r="M249" s="79"/>
      <c r="N249" s="79"/>
    </row>
    <row r="250" ht="26" spans="1:14">
      <c r="A250" s="81" t="s">
        <v>618</v>
      </c>
      <c r="B250" s="81" t="s">
        <v>77</v>
      </c>
      <c r="C250" s="81" t="s">
        <v>203</v>
      </c>
      <c r="D250" s="81" t="s">
        <v>894</v>
      </c>
      <c r="E250" s="81" t="s">
        <v>200</v>
      </c>
      <c r="F250" s="81">
        <v>4</v>
      </c>
      <c r="G250" s="81">
        <v>0.5</v>
      </c>
      <c r="H250" s="81" t="s">
        <v>1001</v>
      </c>
      <c r="I250" s="81" t="s">
        <v>1057</v>
      </c>
      <c r="J250" s="81" t="s">
        <v>1004</v>
      </c>
      <c r="K250" s="79"/>
      <c r="L250" s="79"/>
      <c r="M250" s="79"/>
      <c r="N250" s="79"/>
    </row>
    <row r="251" ht="26" spans="1:14">
      <c r="A251" s="81" t="s">
        <v>619</v>
      </c>
      <c r="B251" s="81" t="s">
        <v>77</v>
      </c>
      <c r="C251" s="81" t="s">
        <v>203</v>
      </c>
      <c r="D251" s="81" t="s">
        <v>894</v>
      </c>
      <c r="E251" s="81" t="s">
        <v>200</v>
      </c>
      <c r="F251" s="81">
        <v>4</v>
      </c>
      <c r="G251" s="81">
        <v>0.5</v>
      </c>
      <c r="H251" s="81" t="s">
        <v>1001</v>
      </c>
      <c r="I251" s="81" t="s">
        <v>1057</v>
      </c>
      <c r="J251" s="81" t="s">
        <v>1004</v>
      </c>
      <c r="K251" s="79"/>
      <c r="L251" s="79"/>
      <c r="M251" s="79"/>
      <c r="N251" s="79"/>
    </row>
    <row r="252" ht="26" spans="1:14">
      <c r="A252" s="81" t="s">
        <v>620</v>
      </c>
      <c r="B252" s="81" t="s">
        <v>77</v>
      </c>
      <c r="C252" s="81" t="s">
        <v>203</v>
      </c>
      <c r="D252" s="81" t="s">
        <v>894</v>
      </c>
      <c r="E252" s="81" t="s">
        <v>200</v>
      </c>
      <c r="F252" s="81">
        <v>4</v>
      </c>
      <c r="G252" s="81">
        <v>0.5</v>
      </c>
      <c r="H252" s="81" t="s">
        <v>1001</v>
      </c>
      <c r="I252" s="81" t="s">
        <v>1057</v>
      </c>
      <c r="J252" s="81" t="s">
        <v>1004</v>
      </c>
      <c r="K252" s="79"/>
      <c r="L252" s="79"/>
      <c r="M252" s="79"/>
      <c r="N252" s="79"/>
    </row>
    <row r="253" ht="26" spans="1:14">
      <c r="A253" s="81" t="s">
        <v>621</v>
      </c>
      <c r="B253" s="81" t="s">
        <v>77</v>
      </c>
      <c r="C253" s="81" t="s">
        <v>203</v>
      </c>
      <c r="D253" s="81" t="s">
        <v>894</v>
      </c>
      <c r="E253" s="81" t="s">
        <v>200</v>
      </c>
      <c r="F253" s="81">
        <v>4</v>
      </c>
      <c r="G253" s="81">
        <v>0.5</v>
      </c>
      <c r="H253" s="81" t="s">
        <v>1001</v>
      </c>
      <c r="I253" s="81" t="s">
        <v>1057</v>
      </c>
      <c r="J253" s="81" t="s">
        <v>1004</v>
      </c>
      <c r="K253" s="79"/>
      <c r="L253" s="79"/>
      <c r="M253" s="79"/>
      <c r="N253" s="79"/>
    </row>
    <row r="254" ht="26" spans="1:14">
      <c r="A254" s="81" t="s">
        <v>622</v>
      </c>
      <c r="B254" s="81" t="s">
        <v>77</v>
      </c>
      <c r="C254" s="81" t="s">
        <v>203</v>
      </c>
      <c r="D254" s="81" t="s">
        <v>894</v>
      </c>
      <c r="E254" s="81" t="s">
        <v>200</v>
      </c>
      <c r="F254" s="81">
        <v>4</v>
      </c>
      <c r="G254" s="81">
        <v>0.5</v>
      </c>
      <c r="H254" s="81" t="s">
        <v>1001</v>
      </c>
      <c r="I254" s="81" t="s">
        <v>1057</v>
      </c>
      <c r="J254" s="81" t="s">
        <v>1004</v>
      </c>
      <c r="K254" s="79"/>
      <c r="L254" s="79"/>
      <c r="M254" s="79"/>
      <c r="N254" s="79"/>
    </row>
    <row r="255" ht="26" spans="1:14">
      <c r="A255" s="81" t="s">
        <v>623</v>
      </c>
      <c r="B255" s="81" t="s">
        <v>77</v>
      </c>
      <c r="C255" s="81" t="s">
        <v>203</v>
      </c>
      <c r="D255" s="81" t="s">
        <v>894</v>
      </c>
      <c r="E255" s="81" t="s">
        <v>200</v>
      </c>
      <c r="F255" s="81">
        <v>4</v>
      </c>
      <c r="G255" s="81">
        <v>0.5</v>
      </c>
      <c r="H255" s="81" t="s">
        <v>1001</v>
      </c>
      <c r="I255" s="81" t="s">
        <v>1057</v>
      </c>
      <c r="J255" s="81" t="s">
        <v>1004</v>
      </c>
      <c r="K255" s="79"/>
      <c r="L255" s="79"/>
      <c r="M255" s="79"/>
      <c r="N255" s="79"/>
    </row>
    <row r="256" ht="26" spans="1:14">
      <c r="A256" s="81" t="s">
        <v>624</v>
      </c>
      <c r="B256" s="81" t="s">
        <v>77</v>
      </c>
      <c r="C256" s="81" t="s">
        <v>203</v>
      </c>
      <c r="D256" s="81" t="s">
        <v>894</v>
      </c>
      <c r="E256" s="81" t="s">
        <v>200</v>
      </c>
      <c r="F256" s="81">
        <v>4</v>
      </c>
      <c r="G256" s="81">
        <v>0.5</v>
      </c>
      <c r="H256" s="81" t="s">
        <v>1001</v>
      </c>
      <c r="I256" s="81" t="s">
        <v>1057</v>
      </c>
      <c r="J256" s="81" t="s">
        <v>1004</v>
      </c>
      <c r="K256" s="79"/>
      <c r="L256" s="79"/>
      <c r="M256" s="79"/>
      <c r="N256" s="79"/>
    </row>
    <row r="257" ht="26" spans="1:14">
      <c r="A257" s="81" t="s">
        <v>625</v>
      </c>
      <c r="B257" s="81" t="s">
        <v>77</v>
      </c>
      <c r="C257" s="81" t="s">
        <v>203</v>
      </c>
      <c r="D257" s="81" t="s">
        <v>894</v>
      </c>
      <c r="E257" s="81" t="s">
        <v>200</v>
      </c>
      <c r="F257" s="81">
        <v>4</v>
      </c>
      <c r="G257" s="81">
        <v>0.5</v>
      </c>
      <c r="H257" s="81" t="s">
        <v>1001</v>
      </c>
      <c r="I257" s="81" t="s">
        <v>1057</v>
      </c>
      <c r="J257" s="81" t="s">
        <v>1004</v>
      </c>
      <c r="K257" s="79"/>
      <c r="L257" s="79"/>
      <c r="M257" s="79"/>
      <c r="N257" s="79"/>
    </row>
    <row r="258" ht="26" spans="1:14">
      <c r="A258" s="81" t="s">
        <v>626</v>
      </c>
      <c r="B258" s="81" t="s">
        <v>77</v>
      </c>
      <c r="C258" s="81" t="s">
        <v>203</v>
      </c>
      <c r="D258" s="81" t="s">
        <v>928</v>
      </c>
      <c r="E258" s="81" t="s">
        <v>202</v>
      </c>
      <c r="F258" s="81">
        <v>4</v>
      </c>
      <c r="G258" s="81">
        <v>1</v>
      </c>
      <c r="H258" s="81" t="s">
        <v>1008</v>
      </c>
      <c r="I258" s="81" t="s">
        <v>1057</v>
      </c>
      <c r="J258" s="81" t="s">
        <v>1004</v>
      </c>
      <c r="K258" s="79"/>
      <c r="L258" s="79"/>
      <c r="M258" s="79"/>
      <c r="N258" s="79"/>
    </row>
    <row r="259" ht="26" spans="1:14">
      <c r="A259" s="81" t="s">
        <v>627</v>
      </c>
      <c r="B259" s="81" t="s">
        <v>77</v>
      </c>
      <c r="C259" s="81" t="s">
        <v>203</v>
      </c>
      <c r="D259" s="81" t="s">
        <v>928</v>
      </c>
      <c r="E259" s="81" t="s">
        <v>202</v>
      </c>
      <c r="F259" s="81">
        <v>4</v>
      </c>
      <c r="G259" s="81">
        <v>1</v>
      </c>
      <c r="H259" s="81" t="s">
        <v>1008</v>
      </c>
      <c r="I259" s="81" t="s">
        <v>1057</v>
      </c>
      <c r="J259" s="81" t="s">
        <v>1004</v>
      </c>
      <c r="K259" s="79"/>
      <c r="L259" s="79"/>
      <c r="M259" s="79"/>
      <c r="N259" s="79"/>
    </row>
    <row r="260" ht="26" spans="1:14">
      <c r="A260" s="81" t="s">
        <v>628</v>
      </c>
      <c r="B260" s="81" t="s">
        <v>77</v>
      </c>
      <c r="C260" s="81" t="s">
        <v>203</v>
      </c>
      <c r="D260" s="81" t="s">
        <v>929</v>
      </c>
      <c r="E260" s="81" t="s">
        <v>204</v>
      </c>
      <c r="F260" s="81">
        <v>4</v>
      </c>
      <c r="G260" s="81">
        <v>3</v>
      </c>
      <c r="H260" s="81" t="s">
        <v>1006</v>
      </c>
      <c r="I260" s="81" t="s">
        <v>1057</v>
      </c>
      <c r="J260" s="81" t="s">
        <v>1014</v>
      </c>
      <c r="K260" s="79"/>
      <c r="L260" s="79"/>
      <c r="M260" s="79"/>
      <c r="N260" s="79"/>
    </row>
    <row r="261" ht="26" spans="1:14">
      <c r="A261" s="81" t="s">
        <v>635</v>
      </c>
      <c r="B261" s="81" t="s">
        <v>77</v>
      </c>
      <c r="C261" s="81" t="s">
        <v>203</v>
      </c>
      <c r="D261" s="81" t="s">
        <v>929</v>
      </c>
      <c r="E261" s="81" t="s">
        <v>204</v>
      </c>
      <c r="F261" s="81">
        <v>4</v>
      </c>
      <c r="G261" s="81">
        <v>3</v>
      </c>
      <c r="H261" s="81" t="s">
        <v>1006</v>
      </c>
      <c r="I261" s="81" t="s">
        <v>1057</v>
      </c>
      <c r="J261" s="81" t="s">
        <v>1014</v>
      </c>
      <c r="K261" s="79"/>
      <c r="L261" s="79"/>
      <c r="M261" s="79"/>
      <c r="N261" s="79"/>
    </row>
    <row r="262" ht="26" spans="1:14">
      <c r="A262" s="81" t="s">
        <v>636</v>
      </c>
      <c r="B262" s="81" t="s">
        <v>77</v>
      </c>
      <c r="C262" s="81" t="s">
        <v>203</v>
      </c>
      <c r="D262" s="81" t="s">
        <v>929</v>
      </c>
      <c r="E262" s="81" t="s">
        <v>204</v>
      </c>
      <c r="F262" s="81">
        <v>4</v>
      </c>
      <c r="G262" s="81">
        <v>3</v>
      </c>
      <c r="H262" s="81" t="s">
        <v>1006</v>
      </c>
      <c r="I262" s="81" t="s">
        <v>1057</v>
      </c>
      <c r="J262" s="81" t="s">
        <v>1014</v>
      </c>
      <c r="K262" s="79"/>
      <c r="L262" s="79"/>
      <c r="M262" s="79"/>
      <c r="N262" s="79"/>
    </row>
    <row r="263" ht="26" spans="1:14">
      <c r="A263" s="81" t="s">
        <v>637</v>
      </c>
      <c r="B263" s="81" t="s">
        <v>77</v>
      </c>
      <c r="C263" s="81" t="s">
        <v>203</v>
      </c>
      <c r="D263" s="81" t="s">
        <v>929</v>
      </c>
      <c r="E263" s="81" t="s">
        <v>204</v>
      </c>
      <c r="F263" s="81">
        <v>4</v>
      </c>
      <c r="G263" s="81">
        <v>3</v>
      </c>
      <c r="H263" s="81" t="s">
        <v>1006</v>
      </c>
      <c r="I263" s="81" t="s">
        <v>1057</v>
      </c>
      <c r="J263" s="81" t="s">
        <v>1014</v>
      </c>
      <c r="K263" s="79"/>
      <c r="L263" s="79"/>
      <c r="M263" s="79"/>
      <c r="N263" s="79"/>
    </row>
    <row r="264" ht="26" spans="1:14">
      <c r="A264" s="81" t="s">
        <v>638</v>
      </c>
      <c r="B264" s="81" t="s">
        <v>77</v>
      </c>
      <c r="C264" s="81" t="s">
        <v>203</v>
      </c>
      <c r="D264" s="81" t="s">
        <v>929</v>
      </c>
      <c r="E264" s="81" t="s">
        <v>204</v>
      </c>
      <c r="F264" s="81">
        <v>4</v>
      </c>
      <c r="G264" s="81">
        <v>3</v>
      </c>
      <c r="H264" s="81" t="s">
        <v>1006</v>
      </c>
      <c r="I264" s="81" t="s">
        <v>1057</v>
      </c>
      <c r="J264" s="81" t="s">
        <v>1014</v>
      </c>
      <c r="K264" s="79"/>
      <c r="L264" s="79"/>
      <c r="M264" s="79"/>
      <c r="N264" s="79"/>
    </row>
    <row r="265" ht="26" spans="1:14">
      <c r="A265" s="81" t="s">
        <v>639</v>
      </c>
      <c r="B265" s="81" t="s">
        <v>77</v>
      </c>
      <c r="C265" s="81" t="s">
        <v>203</v>
      </c>
      <c r="D265" s="81" t="s">
        <v>929</v>
      </c>
      <c r="E265" s="81" t="s">
        <v>204</v>
      </c>
      <c r="F265" s="81">
        <v>4</v>
      </c>
      <c r="G265" s="81">
        <v>3</v>
      </c>
      <c r="H265" s="81" t="s">
        <v>1006</v>
      </c>
      <c r="I265" s="81" t="s">
        <v>1057</v>
      </c>
      <c r="J265" s="81" t="s">
        <v>1014</v>
      </c>
      <c r="K265" s="79"/>
      <c r="L265" s="79"/>
      <c r="M265" s="79"/>
      <c r="N265" s="79"/>
    </row>
    <row r="266" ht="26" spans="1:14">
      <c r="A266" s="81" t="s">
        <v>640</v>
      </c>
      <c r="B266" s="81" t="s">
        <v>77</v>
      </c>
      <c r="C266" s="81" t="s">
        <v>203</v>
      </c>
      <c r="D266" s="81" t="s">
        <v>930</v>
      </c>
      <c r="E266" s="81" t="s">
        <v>204</v>
      </c>
      <c r="F266" s="81">
        <v>4</v>
      </c>
      <c r="G266" s="81">
        <v>3</v>
      </c>
      <c r="H266" s="81" t="s">
        <v>1006</v>
      </c>
      <c r="I266" s="81" t="s">
        <v>1057</v>
      </c>
      <c r="J266" s="81" t="s">
        <v>1014</v>
      </c>
      <c r="K266" s="79"/>
      <c r="L266" s="79"/>
      <c r="M266" s="79"/>
      <c r="N266" s="79"/>
    </row>
    <row r="267" ht="26" spans="1:14">
      <c r="A267" s="81" t="s">
        <v>643</v>
      </c>
      <c r="B267" s="81" t="s">
        <v>77</v>
      </c>
      <c r="C267" s="81" t="s">
        <v>203</v>
      </c>
      <c r="D267" s="81" t="s">
        <v>931</v>
      </c>
      <c r="E267" s="81" t="s">
        <v>204</v>
      </c>
      <c r="F267" s="81">
        <v>4</v>
      </c>
      <c r="G267" s="81">
        <v>3</v>
      </c>
      <c r="H267" s="81" t="s">
        <v>1006</v>
      </c>
      <c r="I267" s="81" t="s">
        <v>1057</v>
      </c>
      <c r="J267" s="81" t="s">
        <v>1014</v>
      </c>
      <c r="K267" s="79"/>
      <c r="L267" s="79"/>
      <c r="M267" s="79"/>
      <c r="N267" s="79"/>
    </row>
    <row r="268" ht="26" spans="1:14">
      <c r="A268" s="81" t="s">
        <v>644</v>
      </c>
      <c r="B268" s="81" t="s">
        <v>77</v>
      </c>
      <c r="C268" s="81" t="s">
        <v>203</v>
      </c>
      <c r="D268" s="81" t="s">
        <v>905</v>
      </c>
      <c r="E268" s="81" t="s">
        <v>200</v>
      </c>
      <c r="F268" s="81">
        <v>4</v>
      </c>
      <c r="G268" s="81">
        <v>0.5</v>
      </c>
      <c r="H268" s="81" t="s">
        <v>1008</v>
      </c>
      <c r="I268" s="81" t="s">
        <v>1057</v>
      </c>
      <c r="J268" s="81" t="s">
        <v>1007</v>
      </c>
      <c r="K268" s="79"/>
      <c r="L268" s="79"/>
      <c r="M268" s="79"/>
      <c r="N268" s="79"/>
    </row>
    <row r="269" ht="26" spans="1:14">
      <c r="A269" s="81" t="s">
        <v>645</v>
      </c>
      <c r="B269" s="81" t="s">
        <v>77</v>
      </c>
      <c r="C269" s="81" t="s">
        <v>203</v>
      </c>
      <c r="D269" s="81" t="s">
        <v>905</v>
      </c>
      <c r="E269" s="81" t="s">
        <v>200</v>
      </c>
      <c r="F269" s="81">
        <v>4</v>
      </c>
      <c r="G269" s="81">
        <v>0.5</v>
      </c>
      <c r="H269" s="81" t="s">
        <v>1008</v>
      </c>
      <c r="I269" s="81" t="s">
        <v>1057</v>
      </c>
      <c r="J269" s="81" t="s">
        <v>1007</v>
      </c>
      <c r="K269" s="79"/>
      <c r="L269" s="79"/>
      <c r="M269" s="79"/>
      <c r="N269" s="79"/>
    </row>
    <row r="270" ht="26" spans="1:14">
      <c r="A270" s="81" t="s">
        <v>646</v>
      </c>
      <c r="B270" s="81" t="s">
        <v>77</v>
      </c>
      <c r="C270" s="81" t="s">
        <v>203</v>
      </c>
      <c r="D270" s="81" t="s">
        <v>930</v>
      </c>
      <c r="E270" s="81" t="s">
        <v>204</v>
      </c>
      <c r="F270" s="81">
        <v>4</v>
      </c>
      <c r="G270" s="81">
        <v>3</v>
      </c>
      <c r="H270" s="81" t="s">
        <v>1006</v>
      </c>
      <c r="I270" s="81" t="s">
        <v>1057</v>
      </c>
      <c r="J270" s="81" t="s">
        <v>1014</v>
      </c>
      <c r="K270" s="79"/>
      <c r="L270" s="79"/>
      <c r="M270" s="79"/>
      <c r="N270" s="79"/>
    </row>
    <row r="271" ht="26" spans="1:14">
      <c r="A271" s="81" t="s">
        <v>648</v>
      </c>
      <c r="B271" s="81" t="s">
        <v>77</v>
      </c>
      <c r="C271" s="81" t="s">
        <v>203</v>
      </c>
      <c r="D271" s="81" t="s">
        <v>930</v>
      </c>
      <c r="E271" s="81" t="s">
        <v>204</v>
      </c>
      <c r="F271" s="81">
        <v>4</v>
      </c>
      <c r="G271" s="81">
        <v>3</v>
      </c>
      <c r="H271" s="81" t="s">
        <v>1006</v>
      </c>
      <c r="I271" s="81" t="s">
        <v>1057</v>
      </c>
      <c r="J271" s="81" t="s">
        <v>1014</v>
      </c>
      <c r="K271" s="79"/>
      <c r="L271" s="79"/>
      <c r="M271" s="79"/>
      <c r="N271" s="79"/>
    </row>
    <row r="272" ht="26" spans="1:14">
      <c r="A272" s="81" t="s">
        <v>649</v>
      </c>
      <c r="B272" s="81" t="s">
        <v>77</v>
      </c>
      <c r="C272" s="81" t="s">
        <v>203</v>
      </c>
      <c r="D272" s="81" t="s">
        <v>930</v>
      </c>
      <c r="E272" s="81" t="s">
        <v>204</v>
      </c>
      <c r="F272" s="81">
        <v>4</v>
      </c>
      <c r="G272" s="81">
        <v>3</v>
      </c>
      <c r="H272" s="81" t="s">
        <v>1006</v>
      </c>
      <c r="I272" s="81" t="s">
        <v>1057</v>
      </c>
      <c r="J272" s="81" t="s">
        <v>1014</v>
      </c>
      <c r="K272" s="79"/>
      <c r="L272" s="79"/>
      <c r="M272" s="79"/>
      <c r="N272" s="79"/>
    </row>
    <row r="273" ht="26" spans="1:14">
      <c r="A273" s="81" t="s">
        <v>650</v>
      </c>
      <c r="B273" s="81" t="s">
        <v>77</v>
      </c>
      <c r="C273" s="81" t="s">
        <v>203</v>
      </c>
      <c r="D273" s="81" t="s">
        <v>930</v>
      </c>
      <c r="E273" s="81" t="s">
        <v>204</v>
      </c>
      <c r="F273" s="81">
        <v>4</v>
      </c>
      <c r="G273" s="81">
        <v>3</v>
      </c>
      <c r="H273" s="81" t="s">
        <v>1006</v>
      </c>
      <c r="I273" s="81" t="s">
        <v>1057</v>
      </c>
      <c r="J273" s="81" t="s">
        <v>1014</v>
      </c>
      <c r="K273" s="79"/>
      <c r="L273" s="79"/>
      <c r="M273" s="79"/>
      <c r="N273" s="79"/>
    </row>
    <row r="274" ht="26" spans="1:14">
      <c r="A274" s="81" t="s">
        <v>651</v>
      </c>
      <c r="B274" s="81" t="s">
        <v>77</v>
      </c>
      <c r="C274" s="81" t="s">
        <v>203</v>
      </c>
      <c r="D274" s="81" t="s">
        <v>930</v>
      </c>
      <c r="E274" s="81" t="s">
        <v>204</v>
      </c>
      <c r="F274" s="81">
        <v>4</v>
      </c>
      <c r="G274" s="81">
        <v>3</v>
      </c>
      <c r="H274" s="81" t="s">
        <v>1006</v>
      </c>
      <c r="I274" s="81" t="s">
        <v>1057</v>
      </c>
      <c r="J274" s="81" t="s">
        <v>1014</v>
      </c>
      <c r="K274" s="79"/>
      <c r="L274" s="79"/>
      <c r="M274" s="79"/>
      <c r="N274" s="79"/>
    </row>
    <row r="275" ht="26" spans="1:14">
      <c r="A275" s="81" t="s">
        <v>652</v>
      </c>
      <c r="B275" s="81" t="s">
        <v>77</v>
      </c>
      <c r="C275" s="81" t="s">
        <v>203</v>
      </c>
      <c r="D275" s="81" t="s">
        <v>930</v>
      </c>
      <c r="E275" s="81" t="s">
        <v>204</v>
      </c>
      <c r="F275" s="81">
        <v>4</v>
      </c>
      <c r="G275" s="81">
        <v>3</v>
      </c>
      <c r="H275" s="81" t="s">
        <v>1006</v>
      </c>
      <c r="I275" s="81" t="s">
        <v>1057</v>
      </c>
      <c r="J275" s="81" t="s">
        <v>1014</v>
      </c>
      <c r="K275" s="79"/>
      <c r="L275" s="79"/>
      <c r="M275" s="79"/>
      <c r="N275" s="79"/>
    </row>
    <row r="276" ht="26" spans="1:14">
      <c r="A276" s="81" t="s">
        <v>653</v>
      </c>
      <c r="B276" s="81" t="s">
        <v>77</v>
      </c>
      <c r="C276" s="81" t="s">
        <v>203</v>
      </c>
      <c r="D276" s="81" t="s">
        <v>930</v>
      </c>
      <c r="E276" s="81" t="s">
        <v>204</v>
      </c>
      <c r="F276" s="81">
        <v>4</v>
      </c>
      <c r="G276" s="81">
        <v>3</v>
      </c>
      <c r="H276" s="81" t="s">
        <v>1006</v>
      </c>
      <c r="I276" s="81" t="s">
        <v>1057</v>
      </c>
      <c r="J276" s="81" t="s">
        <v>1014</v>
      </c>
      <c r="K276" s="79"/>
      <c r="L276" s="79"/>
      <c r="M276" s="79"/>
      <c r="N276" s="79"/>
    </row>
    <row r="277" ht="26" spans="1:14">
      <c r="A277" s="81" t="s">
        <v>654</v>
      </c>
      <c r="B277" s="81" t="s">
        <v>77</v>
      </c>
      <c r="C277" s="81" t="s">
        <v>203</v>
      </c>
      <c r="D277" s="81" t="s">
        <v>930</v>
      </c>
      <c r="E277" s="81" t="s">
        <v>204</v>
      </c>
      <c r="F277" s="81">
        <v>4</v>
      </c>
      <c r="G277" s="81">
        <v>3</v>
      </c>
      <c r="H277" s="81" t="s">
        <v>1006</v>
      </c>
      <c r="I277" s="81" t="s">
        <v>1057</v>
      </c>
      <c r="J277" s="81" t="s">
        <v>1014</v>
      </c>
      <c r="K277" s="79"/>
      <c r="L277" s="79"/>
      <c r="M277" s="79"/>
      <c r="N277" s="79"/>
    </row>
    <row r="278" ht="26" spans="1:14">
      <c r="A278" s="81" t="s">
        <v>655</v>
      </c>
      <c r="B278" s="81" t="s">
        <v>77</v>
      </c>
      <c r="C278" s="81" t="s">
        <v>203</v>
      </c>
      <c r="D278" s="81" t="s">
        <v>930</v>
      </c>
      <c r="E278" s="81" t="s">
        <v>204</v>
      </c>
      <c r="F278" s="81">
        <v>4</v>
      </c>
      <c r="G278" s="81">
        <v>3</v>
      </c>
      <c r="H278" s="81" t="s">
        <v>1006</v>
      </c>
      <c r="I278" s="81" t="s">
        <v>1057</v>
      </c>
      <c r="J278" s="81" t="s">
        <v>1014</v>
      </c>
      <c r="K278" s="79"/>
      <c r="L278" s="79"/>
      <c r="M278" s="79"/>
      <c r="N278" s="79"/>
    </row>
    <row r="279" ht="26" spans="1:14">
      <c r="A279" s="81" t="s">
        <v>656</v>
      </c>
      <c r="B279" s="81" t="s">
        <v>77</v>
      </c>
      <c r="C279" s="81" t="s">
        <v>203</v>
      </c>
      <c r="D279" s="81" t="s">
        <v>930</v>
      </c>
      <c r="E279" s="81" t="s">
        <v>204</v>
      </c>
      <c r="F279" s="81">
        <v>4</v>
      </c>
      <c r="G279" s="81">
        <v>3</v>
      </c>
      <c r="H279" s="81" t="s">
        <v>1006</v>
      </c>
      <c r="I279" s="81" t="s">
        <v>1057</v>
      </c>
      <c r="J279" s="81" t="s">
        <v>1014</v>
      </c>
      <c r="K279" s="79"/>
      <c r="L279" s="79"/>
      <c r="M279" s="79"/>
      <c r="N279" s="79"/>
    </row>
    <row r="280" ht="26" spans="1:14">
      <c r="A280" s="81" t="s">
        <v>657</v>
      </c>
      <c r="B280" s="81" t="s">
        <v>77</v>
      </c>
      <c r="C280" s="81" t="s">
        <v>203</v>
      </c>
      <c r="D280" s="81" t="s">
        <v>930</v>
      </c>
      <c r="E280" s="81" t="s">
        <v>204</v>
      </c>
      <c r="F280" s="81">
        <v>4</v>
      </c>
      <c r="G280" s="81">
        <v>3</v>
      </c>
      <c r="H280" s="81" t="s">
        <v>1006</v>
      </c>
      <c r="I280" s="81" t="s">
        <v>1057</v>
      </c>
      <c r="J280" s="81" t="s">
        <v>1014</v>
      </c>
      <c r="K280" s="79"/>
      <c r="L280" s="79"/>
      <c r="M280" s="79"/>
      <c r="N280" s="79"/>
    </row>
    <row r="281" ht="26" spans="1:14">
      <c r="A281" s="81" t="s">
        <v>658</v>
      </c>
      <c r="B281" s="81" t="s">
        <v>77</v>
      </c>
      <c r="C281" s="81" t="s">
        <v>203</v>
      </c>
      <c r="D281" s="81" t="s">
        <v>930</v>
      </c>
      <c r="E281" s="81" t="s">
        <v>204</v>
      </c>
      <c r="F281" s="81">
        <v>4</v>
      </c>
      <c r="G281" s="81">
        <v>3</v>
      </c>
      <c r="H281" s="81" t="s">
        <v>1006</v>
      </c>
      <c r="I281" s="81" t="s">
        <v>1057</v>
      </c>
      <c r="J281" s="81" t="s">
        <v>1014</v>
      </c>
      <c r="K281" s="79"/>
      <c r="L281" s="79"/>
      <c r="M281" s="79"/>
      <c r="N281" s="79"/>
    </row>
    <row r="282" ht="26" spans="1:14">
      <c r="A282" s="81" t="s">
        <v>659</v>
      </c>
      <c r="B282" s="81" t="s">
        <v>77</v>
      </c>
      <c r="C282" s="81" t="s">
        <v>203</v>
      </c>
      <c r="D282" s="81" t="s">
        <v>930</v>
      </c>
      <c r="E282" s="81" t="s">
        <v>204</v>
      </c>
      <c r="F282" s="81">
        <v>4</v>
      </c>
      <c r="G282" s="81">
        <v>3</v>
      </c>
      <c r="H282" s="81" t="s">
        <v>1006</v>
      </c>
      <c r="I282" s="81" t="s">
        <v>1057</v>
      </c>
      <c r="J282" s="81" t="s">
        <v>1014</v>
      </c>
      <c r="K282" s="79"/>
      <c r="L282" s="79"/>
      <c r="M282" s="79"/>
      <c r="N282" s="79"/>
    </row>
    <row r="283" ht="26" spans="1:14">
      <c r="A283" s="81" t="s">
        <v>660</v>
      </c>
      <c r="B283" s="81" t="s">
        <v>77</v>
      </c>
      <c r="C283" s="81" t="s">
        <v>203</v>
      </c>
      <c r="D283" s="81" t="s">
        <v>930</v>
      </c>
      <c r="E283" s="81" t="s">
        <v>204</v>
      </c>
      <c r="F283" s="81">
        <v>4</v>
      </c>
      <c r="G283" s="81">
        <v>3</v>
      </c>
      <c r="H283" s="81" t="s">
        <v>1006</v>
      </c>
      <c r="I283" s="81" t="s">
        <v>1057</v>
      </c>
      <c r="J283" s="81" t="s">
        <v>1014</v>
      </c>
      <c r="K283" s="79"/>
      <c r="L283" s="79"/>
      <c r="M283" s="79"/>
      <c r="N283" s="79"/>
    </row>
    <row r="284" ht="26" spans="1:14">
      <c r="A284" s="81" t="s">
        <v>661</v>
      </c>
      <c r="B284" s="81" t="s">
        <v>77</v>
      </c>
      <c r="C284" s="81" t="s">
        <v>203</v>
      </c>
      <c r="D284" s="81" t="s">
        <v>930</v>
      </c>
      <c r="E284" s="81" t="s">
        <v>204</v>
      </c>
      <c r="F284" s="81">
        <v>4</v>
      </c>
      <c r="G284" s="81">
        <v>3</v>
      </c>
      <c r="H284" s="81" t="s">
        <v>1006</v>
      </c>
      <c r="I284" s="81" t="s">
        <v>1057</v>
      </c>
      <c r="J284" s="81" t="s">
        <v>1014</v>
      </c>
      <c r="K284" s="79"/>
      <c r="L284" s="79"/>
      <c r="M284" s="79"/>
      <c r="N284" s="79"/>
    </row>
    <row r="285" ht="26" spans="1:14">
      <c r="A285" s="81" t="s">
        <v>662</v>
      </c>
      <c r="B285" s="81" t="s">
        <v>77</v>
      </c>
      <c r="C285" s="81" t="s">
        <v>203</v>
      </c>
      <c r="D285" s="81" t="s">
        <v>930</v>
      </c>
      <c r="E285" s="81" t="s">
        <v>204</v>
      </c>
      <c r="F285" s="81">
        <v>4</v>
      </c>
      <c r="G285" s="81">
        <v>3</v>
      </c>
      <c r="H285" s="81" t="s">
        <v>1006</v>
      </c>
      <c r="I285" s="81" t="s">
        <v>1057</v>
      </c>
      <c r="J285" s="81" t="s">
        <v>1014</v>
      </c>
      <c r="K285" s="79"/>
      <c r="L285" s="79"/>
      <c r="M285" s="79"/>
      <c r="N285" s="79"/>
    </row>
    <row r="286" ht="26" spans="1:14">
      <c r="A286" s="81" t="s">
        <v>663</v>
      </c>
      <c r="B286" s="81" t="s">
        <v>77</v>
      </c>
      <c r="C286" s="81" t="s">
        <v>203</v>
      </c>
      <c r="D286" s="81" t="s">
        <v>930</v>
      </c>
      <c r="E286" s="81" t="s">
        <v>204</v>
      </c>
      <c r="F286" s="81">
        <v>4</v>
      </c>
      <c r="G286" s="81">
        <v>3</v>
      </c>
      <c r="H286" s="81" t="s">
        <v>1006</v>
      </c>
      <c r="I286" s="81" t="s">
        <v>1057</v>
      </c>
      <c r="J286" s="81" t="s">
        <v>1014</v>
      </c>
      <c r="K286" s="79"/>
      <c r="L286" s="79"/>
      <c r="M286" s="79"/>
      <c r="N286" s="79"/>
    </row>
    <row r="287" ht="26" spans="1:14">
      <c r="A287" s="81" t="s">
        <v>664</v>
      </c>
      <c r="B287" s="81" t="s">
        <v>77</v>
      </c>
      <c r="C287" s="81" t="s">
        <v>203</v>
      </c>
      <c r="D287" s="81" t="s">
        <v>930</v>
      </c>
      <c r="E287" s="81" t="s">
        <v>204</v>
      </c>
      <c r="F287" s="81">
        <v>4</v>
      </c>
      <c r="G287" s="81">
        <v>3</v>
      </c>
      <c r="H287" s="81" t="s">
        <v>1006</v>
      </c>
      <c r="I287" s="81" t="s">
        <v>1057</v>
      </c>
      <c r="J287" s="81" t="s">
        <v>1014</v>
      </c>
      <c r="K287" s="79"/>
      <c r="L287" s="79"/>
      <c r="M287" s="79"/>
      <c r="N287" s="79"/>
    </row>
    <row r="288" ht="26" spans="1:14">
      <c r="A288" s="81" t="s">
        <v>665</v>
      </c>
      <c r="B288" s="81" t="s">
        <v>77</v>
      </c>
      <c r="C288" s="81" t="s">
        <v>203</v>
      </c>
      <c r="D288" s="81" t="s">
        <v>930</v>
      </c>
      <c r="E288" s="81" t="s">
        <v>204</v>
      </c>
      <c r="F288" s="81">
        <v>4</v>
      </c>
      <c r="G288" s="81">
        <v>3</v>
      </c>
      <c r="H288" s="81" t="s">
        <v>1006</v>
      </c>
      <c r="I288" s="81" t="s">
        <v>1057</v>
      </c>
      <c r="J288" s="81" t="s">
        <v>1014</v>
      </c>
      <c r="K288" s="79"/>
      <c r="L288" s="79"/>
      <c r="M288" s="79"/>
      <c r="N288" s="79"/>
    </row>
    <row r="289" ht="26" spans="1:14">
      <c r="A289" s="81" t="s">
        <v>666</v>
      </c>
      <c r="B289" s="81" t="s">
        <v>77</v>
      </c>
      <c r="C289" s="81" t="s">
        <v>203</v>
      </c>
      <c r="D289" s="81" t="s">
        <v>930</v>
      </c>
      <c r="E289" s="81" t="s">
        <v>204</v>
      </c>
      <c r="F289" s="81">
        <v>4</v>
      </c>
      <c r="G289" s="81">
        <v>3</v>
      </c>
      <c r="H289" s="81" t="s">
        <v>1006</v>
      </c>
      <c r="I289" s="81" t="s">
        <v>1057</v>
      </c>
      <c r="J289" s="81" t="s">
        <v>1014</v>
      </c>
      <c r="K289" s="79"/>
      <c r="L289" s="79"/>
      <c r="M289" s="79"/>
      <c r="N289" s="79"/>
    </row>
    <row r="290" ht="26" spans="1:14">
      <c r="A290" s="81" t="s">
        <v>667</v>
      </c>
      <c r="B290" s="81" t="s">
        <v>77</v>
      </c>
      <c r="C290" s="81" t="s">
        <v>203</v>
      </c>
      <c r="D290" s="81" t="s">
        <v>930</v>
      </c>
      <c r="E290" s="81" t="s">
        <v>204</v>
      </c>
      <c r="F290" s="81">
        <v>4</v>
      </c>
      <c r="G290" s="81">
        <v>3</v>
      </c>
      <c r="H290" s="81" t="s">
        <v>1006</v>
      </c>
      <c r="I290" s="81" t="s">
        <v>1057</v>
      </c>
      <c r="J290" s="81" t="s">
        <v>1014</v>
      </c>
      <c r="K290" s="79"/>
      <c r="L290" s="79"/>
      <c r="M290" s="79"/>
      <c r="N290" s="79"/>
    </row>
    <row r="291" ht="26" spans="1:14">
      <c r="A291" s="81" t="s">
        <v>668</v>
      </c>
      <c r="B291" s="81" t="s">
        <v>77</v>
      </c>
      <c r="C291" s="81" t="s">
        <v>203</v>
      </c>
      <c r="D291" s="81" t="s">
        <v>930</v>
      </c>
      <c r="E291" s="81" t="s">
        <v>204</v>
      </c>
      <c r="F291" s="81">
        <v>4</v>
      </c>
      <c r="G291" s="81">
        <v>3</v>
      </c>
      <c r="H291" s="81" t="s">
        <v>1006</v>
      </c>
      <c r="I291" s="81" t="s">
        <v>1057</v>
      </c>
      <c r="J291" s="81" t="s">
        <v>1014</v>
      </c>
      <c r="K291" s="79"/>
      <c r="L291" s="79"/>
      <c r="M291" s="79"/>
      <c r="N291" s="79"/>
    </row>
    <row r="292" ht="26" spans="1:14">
      <c r="A292" s="81" t="s">
        <v>669</v>
      </c>
      <c r="B292" s="81" t="s">
        <v>77</v>
      </c>
      <c r="C292" s="81" t="s">
        <v>203</v>
      </c>
      <c r="D292" s="81" t="s">
        <v>930</v>
      </c>
      <c r="E292" s="81" t="s">
        <v>204</v>
      </c>
      <c r="F292" s="81">
        <v>4</v>
      </c>
      <c r="G292" s="81">
        <v>3</v>
      </c>
      <c r="H292" s="81" t="s">
        <v>1006</v>
      </c>
      <c r="I292" s="81" t="s">
        <v>1057</v>
      </c>
      <c r="J292" s="81" t="s">
        <v>1014</v>
      </c>
      <c r="K292" s="79"/>
      <c r="L292" s="79"/>
      <c r="M292" s="79"/>
      <c r="N292" s="79"/>
    </row>
    <row r="293" ht="26" spans="1:14">
      <c r="A293" s="81" t="s">
        <v>670</v>
      </c>
      <c r="B293" s="81" t="s">
        <v>77</v>
      </c>
      <c r="C293" s="81" t="s">
        <v>203</v>
      </c>
      <c r="D293" s="81" t="s">
        <v>930</v>
      </c>
      <c r="E293" s="81" t="s">
        <v>204</v>
      </c>
      <c r="F293" s="81">
        <v>4</v>
      </c>
      <c r="G293" s="81">
        <v>3</v>
      </c>
      <c r="H293" s="81" t="s">
        <v>1006</v>
      </c>
      <c r="I293" s="81" t="s">
        <v>1057</v>
      </c>
      <c r="J293" s="81" t="s">
        <v>1014</v>
      </c>
      <c r="K293" s="79"/>
      <c r="L293" s="79"/>
      <c r="M293" s="79"/>
      <c r="N293" s="79"/>
    </row>
    <row r="294" ht="26" spans="1:14">
      <c r="A294" s="81" t="s">
        <v>671</v>
      </c>
      <c r="B294" s="81" t="s">
        <v>77</v>
      </c>
      <c r="C294" s="81" t="s">
        <v>203</v>
      </c>
      <c r="D294" s="81" t="s">
        <v>930</v>
      </c>
      <c r="E294" s="81" t="s">
        <v>204</v>
      </c>
      <c r="F294" s="81">
        <v>4</v>
      </c>
      <c r="G294" s="81">
        <v>3</v>
      </c>
      <c r="H294" s="81" t="s">
        <v>1006</v>
      </c>
      <c r="I294" s="81" t="s">
        <v>1057</v>
      </c>
      <c r="J294" s="81" t="s">
        <v>1014</v>
      </c>
      <c r="K294" s="79"/>
      <c r="L294" s="79"/>
      <c r="M294" s="79"/>
      <c r="N294" s="79"/>
    </row>
    <row r="295" ht="26" spans="1:14">
      <c r="A295" s="81" t="s">
        <v>672</v>
      </c>
      <c r="B295" s="81" t="s">
        <v>77</v>
      </c>
      <c r="C295" s="81" t="s">
        <v>203</v>
      </c>
      <c r="D295" s="81" t="s">
        <v>930</v>
      </c>
      <c r="E295" s="81" t="s">
        <v>204</v>
      </c>
      <c r="F295" s="81">
        <v>4</v>
      </c>
      <c r="G295" s="81">
        <v>3</v>
      </c>
      <c r="H295" s="81" t="s">
        <v>1006</v>
      </c>
      <c r="I295" s="81" t="s">
        <v>1057</v>
      </c>
      <c r="J295" s="81" t="s">
        <v>1014</v>
      </c>
      <c r="K295" s="79"/>
      <c r="L295" s="79"/>
      <c r="M295" s="79"/>
      <c r="N295" s="79"/>
    </row>
    <row r="296" ht="26" spans="1:14">
      <c r="A296" s="81" t="s">
        <v>673</v>
      </c>
      <c r="B296" s="81" t="s">
        <v>77</v>
      </c>
      <c r="C296" s="81" t="s">
        <v>203</v>
      </c>
      <c r="D296" s="81" t="s">
        <v>930</v>
      </c>
      <c r="E296" s="81" t="s">
        <v>204</v>
      </c>
      <c r="F296" s="81">
        <v>4</v>
      </c>
      <c r="G296" s="81">
        <v>3</v>
      </c>
      <c r="H296" s="81" t="s">
        <v>1006</v>
      </c>
      <c r="I296" s="81" t="s">
        <v>1057</v>
      </c>
      <c r="J296" s="81" t="s">
        <v>1014</v>
      </c>
      <c r="K296" s="79"/>
      <c r="L296" s="79"/>
      <c r="M296" s="79"/>
      <c r="N296" s="79"/>
    </row>
    <row r="297" ht="26" spans="1:14">
      <c r="A297" s="81" t="s">
        <v>674</v>
      </c>
      <c r="B297" s="81" t="s">
        <v>77</v>
      </c>
      <c r="C297" s="81" t="s">
        <v>203</v>
      </c>
      <c r="D297" s="81" t="s">
        <v>930</v>
      </c>
      <c r="E297" s="81" t="s">
        <v>204</v>
      </c>
      <c r="F297" s="81">
        <v>4</v>
      </c>
      <c r="G297" s="81">
        <v>3</v>
      </c>
      <c r="H297" s="81" t="s">
        <v>1006</v>
      </c>
      <c r="I297" s="81" t="s">
        <v>1057</v>
      </c>
      <c r="J297" s="81" t="s">
        <v>1014</v>
      </c>
      <c r="K297" s="79"/>
      <c r="L297" s="79"/>
      <c r="M297" s="79"/>
      <c r="N297" s="79"/>
    </row>
    <row r="298" ht="26" spans="1:14">
      <c r="A298" s="81" t="s">
        <v>675</v>
      </c>
      <c r="B298" s="81" t="s">
        <v>77</v>
      </c>
      <c r="C298" s="81" t="s">
        <v>203</v>
      </c>
      <c r="D298" s="81" t="s">
        <v>930</v>
      </c>
      <c r="E298" s="81" t="s">
        <v>204</v>
      </c>
      <c r="F298" s="81">
        <v>4</v>
      </c>
      <c r="G298" s="81">
        <v>3</v>
      </c>
      <c r="H298" s="81" t="s">
        <v>1006</v>
      </c>
      <c r="I298" s="81" t="s">
        <v>1057</v>
      </c>
      <c r="J298" s="81" t="s">
        <v>1014</v>
      </c>
      <c r="K298" s="79"/>
      <c r="L298" s="79"/>
      <c r="M298" s="79"/>
      <c r="N298" s="79"/>
    </row>
    <row r="299" ht="26" spans="1:14">
      <c r="A299" s="81" t="s">
        <v>676</v>
      </c>
      <c r="B299" s="81" t="s">
        <v>77</v>
      </c>
      <c r="C299" s="81" t="s">
        <v>203</v>
      </c>
      <c r="D299" s="81" t="s">
        <v>930</v>
      </c>
      <c r="E299" s="81" t="s">
        <v>204</v>
      </c>
      <c r="F299" s="81">
        <v>4</v>
      </c>
      <c r="G299" s="81">
        <v>3</v>
      </c>
      <c r="H299" s="81" t="s">
        <v>1006</v>
      </c>
      <c r="I299" s="81" t="s">
        <v>1057</v>
      </c>
      <c r="J299" s="81" t="s">
        <v>1014</v>
      </c>
      <c r="K299" s="79"/>
      <c r="L299" s="79"/>
      <c r="M299" s="79"/>
      <c r="N299" s="79"/>
    </row>
    <row r="300" ht="26" spans="1:14">
      <c r="A300" s="81" t="s">
        <v>677</v>
      </c>
      <c r="B300" s="81" t="s">
        <v>77</v>
      </c>
      <c r="C300" s="81" t="s">
        <v>203</v>
      </c>
      <c r="D300" s="81" t="s">
        <v>930</v>
      </c>
      <c r="E300" s="81" t="s">
        <v>204</v>
      </c>
      <c r="F300" s="81">
        <v>4</v>
      </c>
      <c r="G300" s="81">
        <v>3</v>
      </c>
      <c r="H300" s="81" t="s">
        <v>1006</v>
      </c>
      <c r="I300" s="81" t="s">
        <v>1057</v>
      </c>
      <c r="J300" s="81" t="s">
        <v>1014</v>
      </c>
      <c r="K300" s="79"/>
      <c r="L300" s="79"/>
      <c r="M300" s="79"/>
      <c r="N300" s="79"/>
    </row>
    <row r="301" ht="26" spans="1:14">
      <c r="A301" s="81" t="s">
        <v>678</v>
      </c>
      <c r="B301" s="81" t="s">
        <v>77</v>
      </c>
      <c r="C301" s="81" t="s">
        <v>203</v>
      </c>
      <c r="D301" s="81" t="s">
        <v>930</v>
      </c>
      <c r="E301" s="81" t="s">
        <v>204</v>
      </c>
      <c r="F301" s="81">
        <v>4</v>
      </c>
      <c r="G301" s="81">
        <v>3</v>
      </c>
      <c r="H301" s="81" t="s">
        <v>1006</v>
      </c>
      <c r="I301" s="81" t="s">
        <v>1057</v>
      </c>
      <c r="J301" s="81" t="s">
        <v>1014</v>
      </c>
      <c r="K301" s="79"/>
      <c r="L301" s="79"/>
      <c r="M301" s="79"/>
      <c r="N301" s="79"/>
    </row>
    <row r="302" ht="26" spans="1:14">
      <c r="A302" s="81" t="s">
        <v>679</v>
      </c>
      <c r="B302" s="81" t="s">
        <v>77</v>
      </c>
      <c r="C302" s="81" t="s">
        <v>203</v>
      </c>
      <c r="D302" s="81" t="s">
        <v>930</v>
      </c>
      <c r="E302" s="81" t="s">
        <v>204</v>
      </c>
      <c r="F302" s="81">
        <v>4</v>
      </c>
      <c r="G302" s="81">
        <v>3</v>
      </c>
      <c r="H302" s="81" t="s">
        <v>1006</v>
      </c>
      <c r="I302" s="81" t="s">
        <v>1057</v>
      </c>
      <c r="J302" s="81" t="s">
        <v>1014</v>
      </c>
      <c r="K302" s="79"/>
      <c r="L302" s="79"/>
      <c r="M302" s="79"/>
      <c r="N302" s="79"/>
    </row>
    <row r="303" ht="26" spans="1:14">
      <c r="A303" s="81" t="s">
        <v>680</v>
      </c>
      <c r="B303" s="81" t="s">
        <v>77</v>
      </c>
      <c r="C303" s="81" t="s">
        <v>203</v>
      </c>
      <c r="D303" s="81" t="s">
        <v>930</v>
      </c>
      <c r="E303" s="81" t="s">
        <v>204</v>
      </c>
      <c r="F303" s="81">
        <v>4</v>
      </c>
      <c r="G303" s="81">
        <v>3</v>
      </c>
      <c r="H303" s="81" t="s">
        <v>1006</v>
      </c>
      <c r="I303" s="81" t="s">
        <v>1057</v>
      </c>
      <c r="J303" s="81" t="s">
        <v>1014</v>
      </c>
      <c r="K303" s="79"/>
      <c r="L303" s="79"/>
      <c r="M303" s="79"/>
      <c r="N303" s="79"/>
    </row>
    <row r="304" ht="26" spans="1:14">
      <c r="A304" s="81" t="s">
        <v>681</v>
      </c>
      <c r="B304" s="81" t="s">
        <v>77</v>
      </c>
      <c r="C304" s="81" t="s">
        <v>203</v>
      </c>
      <c r="D304" s="81" t="s">
        <v>930</v>
      </c>
      <c r="E304" s="81" t="s">
        <v>204</v>
      </c>
      <c r="F304" s="81">
        <v>4</v>
      </c>
      <c r="G304" s="81">
        <v>3</v>
      </c>
      <c r="H304" s="81" t="s">
        <v>1006</v>
      </c>
      <c r="I304" s="81" t="s">
        <v>1057</v>
      </c>
      <c r="J304" s="81" t="s">
        <v>1014</v>
      </c>
      <c r="K304" s="79"/>
      <c r="L304" s="79"/>
      <c r="M304" s="79"/>
      <c r="N304" s="79"/>
    </row>
    <row r="305" ht="26" spans="1:14">
      <c r="A305" s="81" t="s">
        <v>682</v>
      </c>
      <c r="B305" s="81" t="s">
        <v>77</v>
      </c>
      <c r="C305" s="81" t="s">
        <v>203</v>
      </c>
      <c r="D305" s="81" t="s">
        <v>930</v>
      </c>
      <c r="E305" s="81" t="s">
        <v>204</v>
      </c>
      <c r="F305" s="81">
        <v>4</v>
      </c>
      <c r="G305" s="81">
        <v>3</v>
      </c>
      <c r="H305" s="81" t="s">
        <v>1006</v>
      </c>
      <c r="I305" s="81" t="s">
        <v>1057</v>
      </c>
      <c r="J305" s="81" t="s">
        <v>1014</v>
      </c>
      <c r="K305" s="79"/>
      <c r="L305" s="79"/>
      <c r="M305" s="79"/>
      <c r="N305" s="79"/>
    </row>
    <row r="306" ht="26" spans="1:14">
      <c r="A306" s="81" t="s">
        <v>683</v>
      </c>
      <c r="B306" s="81" t="s">
        <v>77</v>
      </c>
      <c r="C306" s="81" t="s">
        <v>203</v>
      </c>
      <c r="D306" s="81" t="s">
        <v>930</v>
      </c>
      <c r="E306" s="81" t="s">
        <v>204</v>
      </c>
      <c r="F306" s="81">
        <v>4</v>
      </c>
      <c r="G306" s="81">
        <v>3</v>
      </c>
      <c r="H306" s="81" t="s">
        <v>1006</v>
      </c>
      <c r="I306" s="81" t="s">
        <v>1057</v>
      </c>
      <c r="J306" s="81" t="s">
        <v>1014</v>
      </c>
      <c r="K306" s="79"/>
      <c r="L306" s="79"/>
      <c r="M306" s="79"/>
      <c r="N306" s="79"/>
    </row>
    <row r="307" ht="26" spans="1:14">
      <c r="A307" s="81" t="s">
        <v>684</v>
      </c>
      <c r="B307" s="81" t="s">
        <v>77</v>
      </c>
      <c r="C307" s="81" t="s">
        <v>203</v>
      </c>
      <c r="D307" s="81" t="s">
        <v>930</v>
      </c>
      <c r="E307" s="81" t="s">
        <v>204</v>
      </c>
      <c r="F307" s="81">
        <v>4</v>
      </c>
      <c r="G307" s="81">
        <v>3</v>
      </c>
      <c r="H307" s="81" t="s">
        <v>1006</v>
      </c>
      <c r="I307" s="81" t="s">
        <v>1057</v>
      </c>
      <c r="J307" s="81" t="s">
        <v>1014</v>
      </c>
      <c r="K307" s="79"/>
      <c r="L307" s="79"/>
      <c r="M307" s="79"/>
      <c r="N307" s="79"/>
    </row>
    <row r="308" ht="26" spans="1:14">
      <c r="A308" s="81" t="s">
        <v>685</v>
      </c>
      <c r="B308" s="81" t="s">
        <v>77</v>
      </c>
      <c r="C308" s="81" t="s">
        <v>203</v>
      </c>
      <c r="D308" s="81" t="s">
        <v>930</v>
      </c>
      <c r="E308" s="81" t="s">
        <v>204</v>
      </c>
      <c r="F308" s="81">
        <v>4</v>
      </c>
      <c r="G308" s="81">
        <v>3</v>
      </c>
      <c r="H308" s="81" t="s">
        <v>1006</v>
      </c>
      <c r="I308" s="81" t="s">
        <v>1057</v>
      </c>
      <c r="J308" s="81" t="s">
        <v>1014</v>
      </c>
      <c r="K308" s="79"/>
      <c r="L308" s="79"/>
      <c r="M308" s="79"/>
      <c r="N308" s="79"/>
    </row>
    <row r="309" ht="26" spans="1:14">
      <c r="A309" s="81" t="s">
        <v>686</v>
      </c>
      <c r="B309" s="81" t="s">
        <v>77</v>
      </c>
      <c r="C309" s="81" t="s">
        <v>203</v>
      </c>
      <c r="D309" s="81" t="s">
        <v>930</v>
      </c>
      <c r="E309" s="81" t="s">
        <v>204</v>
      </c>
      <c r="F309" s="81">
        <v>4</v>
      </c>
      <c r="G309" s="81">
        <v>3</v>
      </c>
      <c r="H309" s="81" t="s">
        <v>1006</v>
      </c>
      <c r="I309" s="81" t="s">
        <v>1057</v>
      </c>
      <c r="J309" s="81" t="s">
        <v>1014</v>
      </c>
      <c r="K309" s="79"/>
      <c r="L309" s="79"/>
      <c r="M309" s="79"/>
      <c r="N309" s="79"/>
    </row>
    <row r="310" ht="26" spans="1:14">
      <c r="A310" s="81" t="s">
        <v>687</v>
      </c>
      <c r="B310" s="81" t="s">
        <v>77</v>
      </c>
      <c r="C310" s="81" t="s">
        <v>203</v>
      </c>
      <c r="D310" s="81" t="s">
        <v>930</v>
      </c>
      <c r="E310" s="81" t="s">
        <v>204</v>
      </c>
      <c r="F310" s="81">
        <v>4</v>
      </c>
      <c r="G310" s="81">
        <v>3</v>
      </c>
      <c r="H310" s="81" t="s">
        <v>1006</v>
      </c>
      <c r="I310" s="81" t="s">
        <v>1057</v>
      </c>
      <c r="J310" s="81" t="s">
        <v>1014</v>
      </c>
      <c r="K310" s="79"/>
      <c r="L310" s="79"/>
      <c r="M310" s="79"/>
      <c r="N310" s="79"/>
    </row>
    <row r="311" ht="26" spans="1:14">
      <c r="A311" s="81" t="s">
        <v>688</v>
      </c>
      <c r="B311" s="81" t="s">
        <v>77</v>
      </c>
      <c r="C311" s="81" t="s">
        <v>203</v>
      </c>
      <c r="D311" s="81" t="s">
        <v>930</v>
      </c>
      <c r="E311" s="81" t="s">
        <v>204</v>
      </c>
      <c r="F311" s="81">
        <v>4</v>
      </c>
      <c r="G311" s="81">
        <v>3</v>
      </c>
      <c r="H311" s="81" t="s">
        <v>1006</v>
      </c>
      <c r="I311" s="81" t="s">
        <v>1057</v>
      </c>
      <c r="J311" s="81" t="s">
        <v>1014</v>
      </c>
      <c r="K311" s="79"/>
      <c r="L311" s="79"/>
      <c r="M311" s="79"/>
      <c r="N311" s="79"/>
    </row>
    <row r="312" ht="26" spans="1:14">
      <c r="A312" s="81" t="s">
        <v>689</v>
      </c>
      <c r="B312" s="81" t="s">
        <v>77</v>
      </c>
      <c r="C312" s="81" t="s">
        <v>203</v>
      </c>
      <c r="D312" s="81" t="s">
        <v>930</v>
      </c>
      <c r="E312" s="81" t="s">
        <v>204</v>
      </c>
      <c r="F312" s="81">
        <v>4</v>
      </c>
      <c r="G312" s="81">
        <v>3</v>
      </c>
      <c r="H312" s="81" t="s">
        <v>1006</v>
      </c>
      <c r="I312" s="81" t="s">
        <v>1057</v>
      </c>
      <c r="J312" s="81" t="s">
        <v>1014</v>
      </c>
      <c r="K312" s="79"/>
      <c r="L312" s="79"/>
      <c r="M312" s="79"/>
      <c r="N312" s="79"/>
    </row>
    <row r="313" ht="26" spans="1:14">
      <c r="A313" s="81" t="s">
        <v>690</v>
      </c>
      <c r="B313" s="81" t="s">
        <v>77</v>
      </c>
      <c r="C313" s="81" t="s">
        <v>203</v>
      </c>
      <c r="D313" s="81" t="s">
        <v>930</v>
      </c>
      <c r="E313" s="81" t="s">
        <v>204</v>
      </c>
      <c r="F313" s="81">
        <v>4</v>
      </c>
      <c r="G313" s="81">
        <v>3</v>
      </c>
      <c r="H313" s="81" t="s">
        <v>1006</v>
      </c>
      <c r="I313" s="81" t="s">
        <v>1057</v>
      </c>
      <c r="J313" s="81" t="s">
        <v>1014</v>
      </c>
      <c r="K313" s="79"/>
      <c r="L313" s="79"/>
      <c r="M313" s="79"/>
      <c r="N313" s="79"/>
    </row>
    <row r="314" ht="26" spans="1:14">
      <c r="A314" s="81" t="s">
        <v>691</v>
      </c>
      <c r="B314" s="81" t="s">
        <v>77</v>
      </c>
      <c r="C314" s="81" t="s">
        <v>203</v>
      </c>
      <c r="D314" s="81" t="s">
        <v>932</v>
      </c>
      <c r="E314" s="81" t="s">
        <v>200</v>
      </c>
      <c r="F314" s="81">
        <v>4</v>
      </c>
      <c r="G314" s="81">
        <v>0.5</v>
      </c>
      <c r="H314" s="81" t="s">
        <v>1006</v>
      </c>
      <c r="I314" s="81" t="s">
        <v>1057</v>
      </c>
      <c r="J314" s="81" t="s">
        <v>1002</v>
      </c>
      <c r="K314" s="79"/>
      <c r="L314" s="79"/>
      <c r="M314" s="79"/>
      <c r="N314" s="79"/>
    </row>
    <row r="315" ht="26" spans="1:14">
      <c r="A315" s="81" t="s">
        <v>696</v>
      </c>
      <c r="B315" s="81" t="s">
        <v>77</v>
      </c>
      <c r="C315" s="81" t="s">
        <v>203</v>
      </c>
      <c r="D315" s="81" t="s">
        <v>933</v>
      </c>
      <c r="E315" s="81" t="s">
        <v>200</v>
      </c>
      <c r="F315" s="81">
        <v>4</v>
      </c>
      <c r="G315" s="81">
        <v>0.5</v>
      </c>
      <c r="H315" s="81" t="s">
        <v>1006</v>
      </c>
      <c r="I315" s="81" t="s">
        <v>1057</v>
      </c>
      <c r="J315" s="81" t="s">
        <v>1002</v>
      </c>
      <c r="K315" s="79"/>
      <c r="L315" s="79"/>
      <c r="M315" s="79"/>
      <c r="N315" s="79"/>
    </row>
    <row r="316" ht="26" spans="1:14">
      <c r="A316" s="81" t="s">
        <v>700</v>
      </c>
      <c r="B316" s="81" t="s">
        <v>77</v>
      </c>
      <c r="C316" s="81" t="s">
        <v>203</v>
      </c>
      <c r="D316" s="81" t="s">
        <v>934</v>
      </c>
      <c r="E316" s="81" t="s">
        <v>200</v>
      </c>
      <c r="F316" s="81">
        <v>4</v>
      </c>
      <c r="G316" s="81">
        <v>0.5</v>
      </c>
      <c r="H316" s="81" t="s">
        <v>1006</v>
      </c>
      <c r="I316" s="81" t="s">
        <v>1057</v>
      </c>
      <c r="J316" s="81" t="s">
        <v>1002</v>
      </c>
      <c r="K316" s="79"/>
      <c r="L316" s="79"/>
      <c r="M316" s="79"/>
      <c r="N316" s="79"/>
    </row>
    <row r="317" ht="26" spans="1:14">
      <c r="A317" s="81" t="s">
        <v>701</v>
      </c>
      <c r="B317" s="81" t="s">
        <v>77</v>
      </c>
      <c r="C317" s="81" t="s">
        <v>203</v>
      </c>
      <c r="D317" s="81" t="s">
        <v>933</v>
      </c>
      <c r="E317" s="81" t="s">
        <v>200</v>
      </c>
      <c r="F317" s="81">
        <v>4</v>
      </c>
      <c r="G317" s="81">
        <v>0.5</v>
      </c>
      <c r="H317" s="81" t="s">
        <v>1006</v>
      </c>
      <c r="I317" s="81" t="s">
        <v>1057</v>
      </c>
      <c r="J317" s="81" t="s">
        <v>1002</v>
      </c>
      <c r="K317" s="79"/>
      <c r="L317" s="79"/>
      <c r="M317" s="79"/>
      <c r="N317" s="79"/>
    </row>
    <row r="318" ht="26" spans="1:14">
      <c r="A318" s="81" t="s">
        <v>702</v>
      </c>
      <c r="B318" s="81" t="s">
        <v>77</v>
      </c>
      <c r="C318" s="81" t="s">
        <v>203</v>
      </c>
      <c r="D318" s="81" t="s">
        <v>934</v>
      </c>
      <c r="E318" s="81" t="s">
        <v>200</v>
      </c>
      <c r="F318" s="81">
        <v>4</v>
      </c>
      <c r="G318" s="81">
        <v>0.5</v>
      </c>
      <c r="H318" s="81" t="s">
        <v>1006</v>
      </c>
      <c r="I318" s="81" t="s">
        <v>1057</v>
      </c>
      <c r="J318" s="81" t="s">
        <v>1002</v>
      </c>
      <c r="K318" s="79"/>
      <c r="L318" s="79"/>
      <c r="M318" s="79"/>
      <c r="N318" s="79"/>
    </row>
    <row r="319" ht="26" spans="1:14">
      <c r="A319" s="81" t="s">
        <v>703</v>
      </c>
      <c r="B319" s="81" t="s">
        <v>77</v>
      </c>
      <c r="C319" s="81" t="s">
        <v>203</v>
      </c>
      <c r="D319" s="81" t="s">
        <v>934</v>
      </c>
      <c r="E319" s="81" t="s">
        <v>200</v>
      </c>
      <c r="F319" s="81">
        <v>4</v>
      </c>
      <c r="G319" s="81">
        <v>0.5</v>
      </c>
      <c r="H319" s="81" t="s">
        <v>1006</v>
      </c>
      <c r="I319" s="81" t="s">
        <v>1057</v>
      </c>
      <c r="J319" s="81" t="s">
        <v>1002</v>
      </c>
      <c r="K319" s="79"/>
      <c r="L319" s="79"/>
      <c r="M319" s="79"/>
      <c r="N319" s="79"/>
    </row>
    <row r="320" ht="26" spans="1:14">
      <c r="A320" s="81" t="s">
        <v>704</v>
      </c>
      <c r="B320" s="81" t="s">
        <v>77</v>
      </c>
      <c r="C320" s="81" t="s">
        <v>203</v>
      </c>
      <c r="D320" s="81" t="s">
        <v>934</v>
      </c>
      <c r="E320" s="81" t="s">
        <v>200</v>
      </c>
      <c r="F320" s="81">
        <v>4</v>
      </c>
      <c r="G320" s="81">
        <v>0.5</v>
      </c>
      <c r="H320" s="81" t="s">
        <v>1006</v>
      </c>
      <c r="I320" s="81" t="s">
        <v>1057</v>
      </c>
      <c r="J320" s="81" t="s">
        <v>1002</v>
      </c>
      <c r="K320" s="79"/>
      <c r="L320" s="79"/>
      <c r="M320" s="79"/>
      <c r="N320" s="79"/>
    </row>
    <row r="321" ht="26" spans="1:14">
      <c r="A321" s="81" t="s">
        <v>705</v>
      </c>
      <c r="B321" s="81" t="s">
        <v>77</v>
      </c>
      <c r="C321" s="81" t="s">
        <v>203</v>
      </c>
      <c r="D321" s="81" t="s">
        <v>934</v>
      </c>
      <c r="E321" s="81" t="s">
        <v>200</v>
      </c>
      <c r="F321" s="81">
        <v>4</v>
      </c>
      <c r="G321" s="81">
        <v>0.5</v>
      </c>
      <c r="H321" s="81" t="s">
        <v>1006</v>
      </c>
      <c r="I321" s="81" t="s">
        <v>1057</v>
      </c>
      <c r="J321" s="81" t="s">
        <v>1002</v>
      </c>
      <c r="K321" s="79"/>
      <c r="L321" s="79"/>
      <c r="M321" s="79"/>
      <c r="N321" s="79"/>
    </row>
    <row r="322" ht="26" spans="1:14">
      <c r="A322" s="81" t="s">
        <v>706</v>
      </c>
      <c r="B322" s="81" t="s">
        <v>77</v>
      </c>
      <c r="C322" s="81" t="s">
        <v>203</v>
      </c>
      <c r="D322" s="81" t="s">
        <v>934</v>
      </c>
      <c r="E322" s="81" t="s">
        <v>200</v>
      </c>
      <c r="F322" s="81">
        <v>4</v>
      </c>
      <c r="G322" s="81">
        <v>0.5</v>
      </c>
      <c r="H322" s="81" t="s">
        <v>1006</v>
      </c>
      <c r="I322" s="81" t="s">
        <v>1057</v>
      </c>
      <c r="J322" s="81" t="s">
        <v>1002</v>
      </c>
      <c r="K322" s="79"/>
      <c r="L322" s="79"/>
      <c r="M322" s="79"/>
      <c r="N322" s="79"/>
    </row>
    <row r="323" ht="26" spans="1:14">
      <c r="A323" s="81" t="s">
        <v>708</v>
      </c>
      <c r="B323" s="81" t="s">
        <v>77</v>
      </c>
      <c r="C323" s="81" t="s">
        <v>203</v>
      </c>
      <c r="D323" s="81" t="s">
        <v>934</v>
      </c>
      <c r="E323" s="81" t="s">
        <v>200</v>
      </c>
      <c r="F323" s="81">
        <v>4</v>
      </c>
      <c r="G323" s="81">
        <v>0.5</v>
      </c>
      <c r="H323" s="81" t="s">
        <v>1006</v>
      </c>
      <c r="I323" s="81" t="s">
        <v>1057</v>
      </c>
      <c r="J323" s="81" t="s">
        <v>1002</v>
      </c>
      <c r="K323" s="79"/>
      <c r="L323" s="79"/>
      <c r="M323" s="79"/>
      <c r="N323" s="79"/>
    </row>
    <row r="324" ht="26" spans="1:14">
      <c r="A324" s="81" t="s">
        <v>709</v>
      </c>
      <c r="B324" s="81" t="s">
        <v>77</v>
      </c>
      <c r="C324" s="81" t="s">
        <v>203</v>
      </c>
      <c r="D324" s="81" t="s">
        <v>934</v>
      </c>
      <c r="E324" s="81" t="s">
        <v>200</v>
      </c>
      <c r="F324" s="81">
        <v>4</v>
      </c>
      <c r="G324" s="81">
        <v>0.5</v>
      </c>
      <c r="H324" s="81" t="s">
        <v>1006</v>
      </c>
      <c r="I324" s="81" t="s">
        <v>1057</v>
      </c>
      <c r="J324" s="81" t="s">
        <v>1002</v>
      </c>
      <c r="K324" s="79"/>
      <c r="L324" s="79"/>
      <c r="M324" s="79"/>
      <c r="N324" s="79"/>
    </row>
    <row r="325" ht="26" spans="1:14">
      <c r="A325" s="81" t="s">
        <v>710</v>
      </c>
      <c r="B325" s="81" t="s">
        <v>77</v>
      </c>
      <c r="C325" s="81" t="s">
        <v>203</v>
      </c>
      <c r="D325" s="81" t="s">
        <v>935</v>
      </c>
      <c r="E325" s="81" t="s">
        <v>202</v>
      </c>
      <c r="F325" s="81">
        <v>4</v>
      </c>
      <c r="G325" s="81">
        <v>1</v>
      </c>
      <c r="H325" s="81" t="s">
        <v>1006</v>
      </c>
      <c r="I325" s="81" t="s">
        <v>1057</v>
      </c>
      <c r="J325" s="81" t="s">
        <v>1002</v>
      </c>
      <c r="K325" s="79"/>
      <c r="L325" s="79"/>
      <c r="M325" s="79"/>
      <c r="N325" s="79"/>
    </row>
    <row r="326" ht="26" spans="1:14">
      <c r="A326" s="81" t="s">
        <v>714</v>
      </c>
      <c r="B326" s="81" t="s">
        <v>77</v>
      </c>
      <c r="C326" s="81" t="s">
        <v>203</v>
      </c>
      <c r="D326" s="81" t="s">
        <v>936</v>
      </c>
      <c r="E326" s="81" t="s">
        <v>202</v>
      </c>
      <c r="F326" s="81">
        <v>4</v>
      </c>
      <c r="G326" s="81">
        <v>1</v>
      </c>
      <c r="H326" s="81" t="s">
        <v>1006</v>
      </c>
      <c r="I326" s="81" t="s">
        <v>1057</v>
      </c>
      <c r="J326" s="81" t="s">
        <v>1002</v>
      </c>
      <c r="K326" s="79"/>
      <c r="L326" s="79"/>
      <c r="M326" s="79"/>
      <c r="N326" s="79"/>
    </row>
    <row r="327" ht="26" spans="1:14">
      <c r="A327" s="81" t="s">
        <v>715</v>
      </c>
      <c r="B327" s="81" t="s">
        <v>77</v>
      </c>
      <c r="C327" s="81" t="s">
        <v>203</v>
      </c>
      <c r="D327" s="81" t="s">
        <v>936</v>
      </c>
      <c r="E327" s="81" t="s">
        <v>202</v>
      </c>
      <c r="F327" s="81">
        <v>4</v>
      </c>
      <c r="G327" s="81">
        <v>1</v>
      </c>
      <c r="H327" s="81" t="s">
        <v>1006</v>
      </c>
      <c r="I327" s="81" t="s">
        <v>1057</v>
      </c>
      <c r="J327" s="81" t="s">
        <v>1002</v>
      </c>
      <c r="K327" s="79"/>
      <c r="L327" s="79"/>
      <c r="M327" s="79"/>
      <c r="N327" s="79"/>
    </row>
    <row r="328" ht="26" spans="1:14">
      <c r="A328" s="81" t="s">
        <v>716</v>
      </c>
      <c r="B328" s="81" t="s">
        <v>77</v>
      </c>
      <c r="C328" s="81" t="s">
        <v>203</v>
      </c>
      <c r="D328" s="81" t="s">
        <v>936</v>
      </c>
      <c r="E328" s="81" t="s">
        <v>202</v>
      </c>
      <c r="F328" s="81">
        <v>4</v>
      </c>
      <c r="G328" s="81">
        <v>1</v>
      </c>
      <c r="H328" s="81" t="s">
        <v>1006</v>
      </c>
      <c r="I328" s="81" t="s">
        <v>1057</v>
      </c>
      <c r="J328" s="81" t="s">
        <v>1002</v>
      </c>
      <c r="K328" s="79"/>
      <c r="L328" s="79"/>
      <c r="M328" s="79"/>
      <c r="N328" s="79"/>
    </row>
    <row r="329" ht="26" spans="1:14">
      <c r="A329" s="81" t="s">
        <v>717</v>
      </c>
      <c r="B329" s="81" t="s">
        <v>77</v>
      </c>
      <c r="C329" s="81" t="s">
        <v>203</v>
      </c>
      <c r="D329" s="81" t="s">
        <v>936</v>
      </c>
      <c r="E329" s="81" t="s">
        <v>202</v>
      </c>
      <c r="F329" s="81">
        <v>4</v>
      </c>
      <c r="G329" s="81">
        <v>1</v>
      </c>
      <c r="H329" s="81" t="s">
        <v>1006</v>
      </c>
      <c r="I329" s="81" t="s">
        <v>1057</v>
      </c>
      <c r="J329" s="81" t="s">
        <v>1002</v>
      </c>
      <c r="K329" s="79"/>
      <c r="L329" s="79"/>
      <c r="M329" s="79"/>
      <c r="N329" s="79"/>
    </row>
    <row r="330" ht="26" spans="1:14">
      <c r="A330" s="81" t="s">
        <v>718</v>
      </c>
      <c r="B330" s="81" t="s">
        <v>77</v>
      </c>
      <c r="C330" s="81" t="s">
        <v>203</v>
      </c>
      <c r="D330" s="81" t="s">
        <v>936</v>
      </c>
      <c r="E330" s="81" t="s">
        <v>202</v>
      </c>
      <c r="F330" s="81">
        <v>4</v>
      </c>
      <c r="G330" s="81">
        <v>1</v>
      </c>
      <c r="H330" s="81" t="s">
        <v>1006</v>
      </c>
      <c r="I330" s="81" t="s">
        <v>1057</v>
      </c>
      <c r="J330" s="81" t="s">
        <v>1002</v>
      </c>
      <c r="K330" s="79"/>
      <c r="L330" s="79"/>
      <c r="M330" s="79"/>
      <c r="N330" s="79"/>
    </row>
    <row r="331" ht="26" spans="1:14">
      <c r="A331" s="81" t="s">
        <v>719</v>
      </c>
      <c r="B331" s="81" t="s">
        <v>77</v>
      </c>
      <c r="C331" s="81" t="s">
        <v>203</v>
      </c>
      <c r="D331" s="81" t="s">
        <v>936</v>
      </c>
      <c r="E331" s="81" t="s">
        <v>202</v>
      </c>
      <c r="F331" s="81">
        <v>4</v>
      </c>
      <c r="G331" s="81">
        <v>1</v>
      </c>
      <c r="H331" s="81" t="s">
        <v>1006</v>
      </c>
      <c r="I331" s="81" t="s">
        <v>1057</v>
      </c>
      <c r="J331" s="81" t="s">
        <v>1002</v>
      </c>
      <c r="K331" s="79"/>
      <c r="L331" s="79"/>
      <c r="M331" s="79"/>
      <c r="N331" s="79"/>
    </row>
    <row r="332" ht="26" spans="1:14">
      <c r="A332" s="81" t="s">
        <v>720</v>
      </c>
      <c r="B332" s="81" t="s">
        <v>77</v>
      </c>
      <c r="C332" s="81" t="s">
        <v>203</v>
      </c>
      <c r="D332" s="81" t="s">
        <v>936</v>
      </c>
      <c r="E332" s="81" t="s">
        <v>202</v>
      </c>
      <c r="F332" s="81">
        <v>4</v>
      </c>
      <c r="G332" s="81">
        <v>1</v>
      </c>
      <c r="H332" s="81" t="s">
        <v>1006</v>
      </c>
      <c r="I332" s="81" t="s">
        <v>1057</v>
      </c>
      <c r="J332" s="81" t="s">
        <v>1002</v>
      </c>
      <c r="K332" s="79"/>
      <c r="L332" s="79"/>
      <c r="M332" s="79"/>
      <c r="N332" s="79"/>
    </row>
    <row r="333" ht="26" spans="1:14">
      <c r="A333" s="81" t="s">
        <v>721</v>
      </c>
      <c r="B333" s="81" t="s">
        <v>77</v>
      </c>
      <c r="C333" s="81" t="s">
        <v>203</v>
      </c>
      <c r="D333" s="81" t="s">
        <v>936</v>
      </c>
      <c r="E333" s="81" t="s">
        <v>202</v>
      </c>
      <c r="F333" s="81">
        <v>4</v>
      </c>
      <c r="G333" s="81">
        <v>1</v>
      </c>
      <c r="H333" s="81" t="s">
        <v>1006</v>
      </c>
      <c r="I333" s="81" t="s">
        <v>1057</v>
      </c>
      <c r="J333" s="81" t="s">
        <v>1002</v>
      </c>
      <c r="K333" s="79"/>
      <c r="L333" s="79"/>
      <c r="M333" s="79"/>
      <c r="N333" s="79"/>
    </row>
    <row r="334" ht="26" spans="1:14">
      <c r="A334" s="81" t="s">
        <v>722</v>
      </c>
      <c r="B334" s="81" t="s">
        <v>77</v>
      </c>
      <c r="C334" s="81" t="s">
        <v>203</v>
      </c>
      <c r="D334" s="81" t="s">
        <v>936</v>
      </c>
      <c r="E334" s="81" t="s">
        <v>202</v>
      </c>
      <c r="F334" s="81">
        <v>4</v>
      </c>
      <c r="G334" s="81">
        <v>1</v>
      </c>
      <c r="H334" s="81" t="s">
        <v>1006</v>
      </c>
      <c r="I334" s="81" t="s">
        <v>1057</v>
      </c>
      <c r="J334" s="81" t="s">
        <v>1002</v>
      </c>
      <c r="K334" s="79"/>
      <c r="L334" s="79"/>
      <c r="M334" s="79"/>
      <c r="N334" s="79"/>
    </row>
    <row r="335" ht="26" spans="1:14">
      <c r="A335" s="81" t="s">
        <v>723</v>
      </c>
      <c r="B335" s="81" t="s">
        <v>77</v>
      </c>
      <c r="C335" s="81" t="s">
        <v>399</v>
      </c>
      <c r="D335" s="81" t="s">
        <v>937</v>
      </c>
      <c r="E335" s="81" t="s">
        <v>202</v>
      </c>
      <c r="F335" s="81">
        <v>4</v>
      </c>
      <c r="G335" s="81">
        <v>1</v>
      </c>
      <c r="H335" s="81" t="s">
        <v>1006</v>
      </c>
      <c r="I335" s="81" t="s">
        <v>1057</v>
      </c>
      <c r="J335" s="81" t="s">
        <v>1002</v>
      </c>
      <c r="K335" s="79"/>
      <c r="L335" s="79"/>
      <c r="M335" s="79"/>
      <c r="N335" s="79"/>
    </row>
    <row r="336" ht="26" spans="1:14">
      <c r="A336" s="81" t="s">
        <v>727</v>
      </c>
      <c r="B336" s="81" t="s">
        <v>77</v>
      </c>
      <c r="C336" s="81" t="s">
        <v>399</v>
      </c>
      <c r="D336" s="81" t="s">
        <v>937</v>
      </c>
      <c r="E336" s="81" t="s">
        <v>202</v>
      </c>
      <c r="F336" s="81">
        <v>4</v>
      </c>
      <c r="G336" s="81">
        <v>1</v>
      </c>
      <c r="H336" s="81" t="s">
        <v>1006</v>
      </c>
      <c r="I336" s="81" t="s">
        <v>1057</v>
      </c>
      <c r="J336" s="81" t="s">
        <v>1002</v>
      </c>
      <c r="K336" s="79"/>
      <c r="L336" s="79"/>
      <c r="M336" s="79"/>
      <c r="N336" s="79"/>
    </row>
    <row r="337" ht="26" spans="1:14">
      <c r="A337" s="81" t="s">
        <v>728</v>
      </c>
      <c r="B337" s="81" t="s">
        <v>77</v>
      </c>
      <c r="C337" s="81" t="s">
        <v>399</v>
      </c>
      <c r="D337" s="81" t="s">
        <v>937</v>
      </c>
      <c r="E337" s="81" t="s">
        <v>202</v>
      </c>
      <c r="F337" s="81">
        <v>4</v>
      </c>
      <c r="G337" s="81">
        <v>1</v>
      </c>
      <c r="H337" s="81" t="s">
        <v>1006</v>
      </c>
      <c r="I337" s="81" t="s">
        <v>1057</v>
      </c>
      <c r="J337" s="81" t="s">
        <v>1002</v>
      </c>
      <c r="K337" s="79"/>
      <c r="L337" s="79"/>
      <c r="M337" s="79"/>
      <c r="N337" s="79"/>
    </row>
    <row r="338" ht="26" spans="1:14">
      <c r="A338" s="81" t="s">
        <v>729</v>
      </c>
      <c r="B338" s="81" t="s">
        <v>77</v>
      </c>
      <c r="C338" s="81" t="s">
        <v>399</v>
      </c>
      <c r="D338" s="81" t="s">
        <v>938</v>
      </c>
      <c r="E338" s="81" t="s">
        <v>202</v>
      </c>
      <c r="F338" s="81">
        <v>4</v>
      </c>
      <c r="G338" s="81">
        <v>1</v>
      </c>
      <c r="H338" s="81" t="s">
        <v>1006</v>
      </c>
      <c r="I338" s="81" t="s">
        <v>1057</v>
      </c>
      <c r="J338" s="81" t="s">
        <v>1002</v>
      </c>
      <c r="K338" s="79"/>
      <c r="L338" s="79"/>
      <c r="M338" s="79"/>
      <c r="N338" s="79"/>
    </row>
    <row r="339" ht="26" spans="1:14">
      <c r="A339" s="81" t="s">
        <v>732</v>
      </c>
      <c r="B339" s="81" t="s">
        <v>77</v>
      </c>
      <c r="C339" s="81" t="s">
        <v>399</v>
      </c>
      <c r="D339" s="81" t="s">
        <v>938</v>
      </c>
      <c r="E339" s="81" t="s">
        <v>202</v>
      </c>
      <c r="F339" s="81">
        <v>4</v>
      </c>
      <c r="G339" s="81">
        <v>1</v>
      </c>
      <c r="H339" s="81" t="s">
        <v>1006</v>
      </c>
      <c r="I339" s="81" t="s">
        <v>1057</v>
      </c>
      <c r="J339" s="81" t="s">
        <v>1002</v>
      </c>
      <c r="K339" s="79"/>
      <c r="L339" s="79"/>
      <c r="M339" s="79"/>
      <c r="N339" s="79"/>
    </row>
    <row r="340" ht="26" spans="1:14">
      <c r="A340" s="81" t="s">
        <v>733</v>
      </c>
      <c r="B340" s="81" t="s">
        <v>77</v>
      </c>
      <c r="C340" s="81" t="s">
        <v>399</v>
      </c>
      <c r="D340" s="81" t="s">
        <v>938</v>
      </c>
      <c r="E340" s="81" t="s">
        <v>202</v>
      </c>
      <c r="F340" s="81">
        <v>4</v>
      </c>
      <c r="G340" s="81">
        <v>1</v>
      </c>
      <c r="H340" s="81" t="s">
        <v>1006</v>
      </c>
      <c r="I340" s="81" t="s">
        <v>1057</v>
      </c>
      <c r="J340" s="81" t="s">
        <v>1002</v>
      </c>
      <c r="K340" s="79"/>
      <c r="L340" s="79"/>
      <c r="M340" s="79"/>
      <c r="N340" s="79"/>
    </row>
    <row r="341" ht="26" spans="1:14">
      <c r="A341" s="81" t="s">
        <v>734</v>
      </c>
      <c r="B341" s="81" t="s">
        <v>77</v>
      </c>
      <c r="C341" s="81" t="s">
        <v>399</v>
      </c>
      <c r="D341" s="81" t="s">
        <v>939</v>
      </c>
      <c r="E341" s="81" t="s">
        <v>204</v>
      </c>
      <c r="F341" s="81">
        <v>4</v>
      </c>
      <c r="G341" s="81">
        <v>3</v>
      </c>
      <c r="H341" s="81" t="s">
        <v>1006</v>
      </c>
      <c r="I341" s="81" t="s">
        <v>1057</v>
      </c>
      <c r="J341" s="81" t="s">
        <v>1014</v>
      </c>
      <c r="K341" s="79"/>
      <c r="L341" s="79"/>
      <c r="M341" s="79"/>
      <c r="N341" s="79"/>
    </row>
    <row r="342" ht="26" spans="1:14">
      <c r="A342" s="81" t="s">
        <v>735</v>
      </c>
      <c r="B342" s="81" t="s">
        <v>77</v>
      </c>
      <c r="C342" s="81" t="s">
        <v>203</v>
      </c>
      <c r="D342" s="81" t="s">
        <v>929</v>
      </c>
      <c r="E342" s="81" t="s">
        <v>204</v>
      </c>
      <c r="F342" s="81">
        <v>4</v>
      </c>
      <c r="G342" s="81">
        <v>3</v>
      </c>
      <c r="H342" s="81" t="s">
        <v>1006</v>
      </c>
      <c r="I342" s="81" t="s">
        <v>1057</v>
      </c>
      <c r="J342" s="81" t="s">
        <v>1014</v>
      </c>
      <c r="K342" s="79"/>
      <c r="L342" s="79"/>
      <c r="M342" s="79"/>
      <c r="N342" s="79"/>
    </row>
    <row r="343" ht="26" spans="1:14">
      <c r="A343" s="81" t="s">
        <v>737</v>
      </c>
      <c r="B343" s="81" t="s">
        <v>77</v>
      </c>
      <c r="C343" s="81" t="s">
        <v>203</v>
      </c>
      <c r="D343" s="81" t="s">
        <v>929</v>
      </c>
      <c r="E343" s="81" t="s">
        <v>204</v>
      </c>
      <c r="F343" s="81">
        <v>4</v>
      </c>
      <c r="G343" s="81">
        <v>3</v>
      </c>
      <c r="H343" s="81" t="s">
        <v>1006</v>
      </c>
      <c r="I343" s="81" t="s">
        <v>1057</v>
      </c>
      <c r="J343" s="81" t="s">
        <v>1014</v>
      </c>
      <c r="K343" s="79"/>
      <c r="L343" s="79"/>
      <c r="M343" s="79"/>
      <c r="N343" s="79"/>
    </row>
    <row r="344" ht="26" spans="1:14">
      <c r="A344" s="81" t="s">
        <v>738</v>
      </c>
      <c r="B344" s="81" t="s">
        <v>77</v>
      </c>
      <c r="C344" s="81" t="s">
        <v>203</v>
      </c>
      <c r="D344" s="81" t="s">
        <v>929</v>
      </c>
      <c r="E344" s="81" t="s">
        <v>204</v>
      </c>
      <c r="F344" s="81">
        <v>4</v>
      </c>
      <c r="G344" s="81">
        <v>3</v>
      </c>
      <c r="H344" s="81" t="s">
        <v>1006</v>
      </c>
      <c r="I344" s="81" t="s">
        <v>1057</v>
      </c>
      <c r="J344" s="81" t="s">
        <v>1014</v>
      </c>
      <c r="K344" s="79"/>
      <c r="L344" s="79"/>
      <c r="M344" s="79"/>
      <c r="N344" s="79"/>
    </row>
    <row r="345" ht="26" spans="1:14">
      <c r="A345" s="81" t="s">
        <v>739</v>
      </c>
      <c r="B345" s="81" t="s">
        <v>77</v>
      </c>
      <c r="C345" s="81" t="s">
        <v>203</v>
      </c>
      <c r="D345" s="81" t="s">
        <v>930</v>
      </c>
      <c r="E345" s="81" t="s">
        <v>204</v>
      </c>
      <c r="F345" s="81">
        <v>4</v>
      </c>
      <c r="G345" s="81">
        <v>3</v>
      </c>
      <c r="H345" s="81" t="s">
        <v>1006</v>
      </c>
      <c r="I345" s="81" t="s">
        <v>1057</v>
      </c>
      <c r="J345" s="81" t="s">
        <v>1014</v>
      </c>
      <c r="K345" s="79"/>
      <c r="L345" s="79"/>
      <c r="M345" s="79"/>
      <c r="N345" s="79"/>
    </row>
    <row r="346" ht="26" spans="1:14">
      <c r="A346" s="81" t="s">
        <v>740</v>
      </c>
      <c r="B346" s="81" t="s">
        <v>77</v>
      </c>
      <c r="C346" s="81" t="s">
        <v>203</v>
      </c>
      <c r="D346" s="81" t="s">
        <v>940</v>
      </c>
      <c r="E346" s="81" t="s">
        <v>202</v>
      </c>
      <c r="F346" s="81">
        <v>4</v>
      </c>
      <c r="G346" s="81">
        <v>1</v>
      </c>
      <c r="H346" s="81" t="s">
        <v>1006</v>
      </c>
      <c r="I346" s="81" t="s">
        <v>1057</v>
      </c>
      <c r="J346" s="81" t="s">
        <v>1002</v>
      </c>
      <c r="K346" s="79"/>
      <c r="L346" s="79"/>
      <c r="M346" s="79"/>
      <c r="N346" s="79"/>
    </row>
    <row r="347" ht="26" spans="1:14">
      <c r="A347" s="81" t="s">
        <v>741</v>
      </c>
      <c r="B347" s="81" t="s">
        <v>77</v>
      </c>
      <c r="C347" s="81" t="s">
        <v>203</v>
      </c>
      <c r="D347" s="81" t="s">
        <v>941</v>
      </c>
      <c r="E347" s="81" t="s">
        <v>202</v>
      </c>
      <c r="F347" s="81">
        <v>4</v>
      </c>
      <c r="G347" s="81">
        <v>1</v>
      </c>
      <c r="H347" s="81" t="s">
        <v>1006</v>
      </c>
      <c r="I347" s="81" t="s">
        <v>1057</v>
      </c>
      <c r="J347" s="81" t="s">
        <v>1002</v>
      </c>
      <c r="K347" s="79"/>
      <c r="L347" s="79"/>
      <c r="M347" s="79"/>
      <c r="N347" s="79"/>
    </row>
    <row r="348" ht="26" spans="1:14">
      <c r="A348" s="81" t="s">
        <v>742</v>
      </c>
      <c r="B348" s="81" t="s">
        <v>77</v>
      </c>
      <c r="C348" s="81" t="s">
        <v>203</v>
      </c>
      <c r="D348" s="81" t="s">
        <v>905</v>
      </c>
      <c r="E348" s="81" t="s">
        <v>200</v>
      </c>
      <c r="F348" s="81">
        <v>4</v>
      </c>
      <c r="G348" s="81">
        <v>0.5</v>
      </c>
      <c r="H348" s="81" t="s">
        <v>1008</v>
      </c>
      <c r="I348" s="81" t="s">
        <v>1057</v>
      </c>
      <c r="J348" s="81" t="s">
        <v>1007</v>
      </c>
      <c r="K348" s="79"/>
      <c r="L348" s="79"/>
      <c r="M348" s="79"/>
      <c r="N348" s="79"/>
    </row>
    <row r="349" ht="26" spans="1:14">
      <c r="A349" s="81" t="s">
        <v>743</v>
      </c>
      <c r="B349" s="81" t="s">
        <v>205</v>
      </c>
      <c r="C349" s="81" t="s">
        <v>85</v>
      </c>
      <c r="D349" s="81" t="s">
        <v>942</v>
      </c>
      <c r="E349" s="81" t="s">
        <v>200</v>
      </c>
      <c r="F349" s="81">
        <v>4</v>
      </c>
      <c r="G349" s="81">
        <v>0.5</v>
      </c>
      <c r="H349" s="81" t="s">
        <v>1003</v>
      </c>
      <c r="I349" s="81" t="s">
        <v>1057</v>
      </c>
      <c r="J349" s="81" t="s">
        <v>1002</v>
      </c>
      <c r="K349" s="79"/>
      <c r="L349" s="79"/>
      <c r="M349" s="79"/>
      <c r="N349" s="79"/>
    </row>
    <row r="350" ht="26" spans="1:14">
      <c r="A350" s="81" t="s">
        <v>747</v>
      </c>
      <c r="B350" s="81" t="s">
        <v>205</v>
      </c>
      <c r="C350" s="81" t="s">
        <v>85</v>
      </c>
      <c r="D350" s="81" t="s">
        <v>943</v>
      </c>
      <c r="E350" s="81" t="s">
        <v>202</v>
      </c>
      <c r="F350" s="81">
        <v>4</v>
      </c>
      <c r="G350" s="81">
        <v>1</v>
      </c>
      <c r="H350" s="81" t="s">
        <v>1011</v>
      </c>
      <c r="I350" s="81" t="s">
        <v>1057</v>
      </c>
      <c r="J350" s="81" t="s">
        <v>1002</v>
      </c>
      <c r="K350" s="79"/>
      <c r="L350" s="79"/>
      <c r="M350" s="79"/>
      <c r="N350" s="79"/>
    </row>
    <row r="351" ht="26" spans="1:14">
      <c r="A351" s="81" t="s">
        <v>749</v>
      </c>
      <c r="B351" s="81" t="s">
        <v>205</v>
      </c>
      <c r="C351" s="81" t="s">
        <v>85</v>
      </c>
      <c r="D351" s="81" t="s">
        <v>943</v>
      </c>
      <c r="E351" s="81" t="s">
        <v>202</v>
      </c>
      <c r="F351" s="81">
        <v>4</v>
      </c>
      <c r="G351" s="81">
        <v>1</v>
      </c>
      <c r="H351" s="81" t="s">
        <v>1011</v>
      </c>
      <c r="I351" s="81" t="s">
        <v>1057</v>
      </c>
      <c r="J351" s="81" t="s">
        <v>1002</v>
      </c>
      <c r="K351" s="79"/>
      <c r="L351" s="79"/>
      <c r="M351" s="79"/>
      <c r="N351" s="79"/>
    </row>
    <row r="352" ht="26" spans="1:14">
      <c r="A352" s="81" t="s">
        <v>750</v>
      </c>
      <c r="B352" s="81" t="s">
        <v>205</v>
      </c>
      <c r="C352" s="81" t="s">
        <v>85</v>
      </c>
      <c r="D352" s="81" t="s">
        <v>943</v>
      </c>
      <c r="E352" s="81" t="s">
        <v>202</v>
      </c>
      <c r="F352" s="81">
        <v>4</v>
      </c>
      <c r="G352" s="81">
        <v>1</v>
      </c>
      <c r="H352" s="81" t="s">
        <v>1011</v>
      </c>
      <c r="I352" s="81" t="s">
        <v>1057</v>
      </c>
      <c r="J352" s="81" t="s">
        <v>1002</v>
      </c>
      <c r="K352" s="79"/>
      <c r="L352" s="79"/>
      <c r="M352" s="79"/>
      <c r="N352" s="79"/>
    </row>
    <row r="353" ht="26" spans="1:14">
      <c r="A353" s="81" t="s">
        <v>751</v>
      </c>
      <c r="B353" s="81" t="s">
        <v>205</v>
      </c>
      <c r="C353" s="81" t="s">
        <v>85</v>
      </c>
      <c r="D353" s="81" t="s">
        <v>942</v>
      </c>
      <c r="E353" s="81" t="s">
        <v>200</v>
      </c>
      <c r="F353" s="81">
        <v>4</v>
      </c>
      <c r="G353" s="81">
        <v>0.5</v>
      </c>
      <c r="H353" s="81" t="s">
        <v>1003</v>
      </c>
      <c r="I353" s="81" t="s">
        <v>1057</v>
      </c>
      <c r="J353" s="81" t="s">
        <v>1002</v>
      </c>
      <c r="K353" s="79"/>
      <c r="L353" s="79"/>
      <c r="M353" s="79"/>
      <c r="N353" s="79"/>
    </row>
    <row r="354" ht="26" spans="1:14">
      <c r="A354" s="81" t="s">
        <v>753</v>
      </c>
      <c r="B354" s="81" t="s">
        <v>205</v>
      </c>
      <c r="C354" s="81" t="s">
        <v>85</v>
      </c>
      <c r="D354" s="81" t="s">
        <v>944</v>
      </c>
      <c r="E354" s="81" t="s">
        <v>199</v>
      </c>
      <c r="F354" s="81">
        <v>4</v>
      </c>
      <c r="G354" s="81">
        <v>0.5</v>
      </c>
      <c r="H354" s="81" t="s">
        <v>1003</v>
      </c>
      <c r="I354" s="81" t="s">
        <v>1057</v>
      </c>
      <c r="J354" s="81" t="s">
        <v>1002</v>
      </c>
      <c r="K354" s="79"/>
      <c r="L354" s="79"/>
      <c r="M354" s="79"/>
      <c r="N354" s="79"/>
    </row>
    <row r="355" ht="26" spans="1:14">
      <c r="A355" s="81" t="s">
        <v>757</v>
      </c>
      <c r="B355" s="81" t="s">
        <v>205</v>
      </c>
      <c r="C355" s="81" t="s">
        <v>201</v>
      </c>
      <c r="D355" s="81" t="s">
        <v>945</v>
      </c>
      <c r="E355" s="81" t="s">
        <v>200</v>
      </c>
      <c r="F355" s="81">
        <v>4</v>
      </c>
      <c r="G355" s="81">
        <v>0.5</v>
      </c>
      <c r="H355" s="81" t="s">
        <v>1011</v>
      </c>
      <c r="I355" s="81" t="s">
        <v>1057</v>
      </c>
      <c r="J355" s="81" t="s">
        <v>1002</v>
      </c>
      <c r="K355" s="79"/>
      <c r="L355" s="79"/>
      <c r="M355" s="79"/>
      <c r="N355" s="79"/>
    </row>
    <row r="356" ht="26" spans="1:14">
      <c r="A356" s="81" t="s">
        <v>759</v>
      </c>
      <c r="B356" s="81" t="s">
        <v>205</v>
      </c>
      <c r="C356" s="81" t="s">
        <v>201</v>
      </c>
      <c r="D356" s="81" t="s">
        <v>946</v>
      </c>
      <c r="E356" s="81" t="s">
        <v>200</v>
      </c>
      <c r="F356" s="81">
        <v>4</v>
      </c>
      <c r="G356" s="81">
        <v>0.5</v>
      </c>
      <c r="H356" s="81" t="s">
        <v>1003</v>
      </c>
      <c r="I356" s="81" t="s">
        <v>1057</v>
      </c>
      <c r="J356" s="81" t="s">
        <v>1002</v>
      </c>
      <c r="K356" s="79"/>
      <c r="L356" s="79"/>
      <c r="M356" s="79"/>
      <c r="N356" s="79"/>
    </row>
    <row r="357" ht="26" spans="1:14">
      <c r="A357" s="81" t="s">
        <v>761</v>
      </c>
      <c r="B357" s="81" t="s">
        <v>205</v>
      </c>
      <c r="C357" s="81" t="s">
        <v>201</v>
      </c>
      <c r="D357" s="81" t="s">
        <v>947</v>
      </c>
      <c r="E357" s="81" t="s">
        <v>200</v>
      </c>
      <c r="F357" s="81">
        <v>4</v>
      </c>
      <c r="G357" s="81">
        <v>0.5</v>
      </c>
      <c r="H357" s="81" t="s">
        <v>1011</v>
      </c>
      <c r="I357" s="81" t="s">
        <v>1057</v>
      </c>
      <c r="J357" s="81" t="s">
        <v>1002</v>
      </c>
      <c r="K357" s="79"/>
      <c r="L357" s="79"/>
      <c r="M357" s="79"/>
      <c r="N357" s="79"/>
    </row>
    <row r="358" ht="26" spans="1:14">
      <c r="A358" s="81" t="s">
        <v>763</v>
      </c>
      <c r="B358" s="81" t="s">
        <v>205</v>
      </c>
      <c r="C358" s="81" t="s">
        <v>201</v>
      </c>
      <c r="D358" s="81" t="s">
        <v>948</v>
      </c>
      <c r="E358" s="81" t="s">
        <v>200</v>
      </c>
      <c r="F358" s="81">
        <v>4</v>
      </c>
      <c r="G358" s="81">
        <v>0.5</v>
      </c>
      <c r="H358" s="81" t="s">
        <v>1003</v>
      </c>
      <c r="I358" s="81" t="s">
        <v>1057</v>
      </c>
      <c r="J358" s="81" t="s">
        <v>1002</v>
      </c>
      <c r="K358" s="79"/>
      <c r="L358" s="79"/>
      <c r="M358" s="79"/>
      <c r="N358" s="79"/>
    </row>
    <row r="359" ht="26" spans="1:14">
      <c r="A359" s="81" t="s">
        <v>765</v>
      </c>
      <c r="B359" s="81" t="s">
        <v>205</v>
      </c>
      <c r="C359" s="81" t="s">
        <v>201</v>
      </c>
      <c r="D359" s="81" t="s">
        <v>948</v>
      </c>
      <c r="E359" s="81" t="s">
        <v>200</v>
      </c>
      <c r="F359" s="81">
        <v>4</v>
      </c>
      <c r="G359" s="81">
        <v>0.5</v>
      </c>
      <c r="H359" s="81" t="s">
        <v>1003</v>
      </c>
      <c r="I359" s="81" t="s">
        <v>1057</v>
      </c>
      <c r="J359" s="81" t="s">
        <v>1002</v>
      </c>
      <c r="K359" s="79"/>
      <c r="L359" s="79"/>
      <c r="M359" s="79"/>
      <c r="N359" s="79"/>
    </row>
    <row r="360" ht="26" spans="1:14">
      <c r="A360" s="81" t="s">
        <v>768</v>
      </c>
      <c r="B360" s="81" t="s">
        <v>205</v>
      </c>
      <c r="C360" s="81" t="s">
        <v>201</v>
      </c>
      <c r="D360" s="81" t="s">
        <v>948</v>
      </c>
      <c r="E360" s="81" t="s">
        <v>200</v>
      </c>
      <c r="F360" s="81">
        <v>4</v>
      </c>
      <c r="G360" s="81">
        <v>0.5</v>
      </c>
      <c r="H360" s="81" t="s">
        <v>1003</v>
      </c>
      <c r="I360" s="81" t="s">
        <v>1057</v>
      </c>
      <c r="J360" s="81" t="s">
        <v>1002</v>
      </c>
      <c r="K360" s="79"/>
      <c r="L360" s="79"/>
      <c r="M360" s="79"/>
      <c r="N360" s="79"/>
    </row>
    <row r="361" ht="26" spans="1:14">
      <c r="A361" s="81" t="s">
        <v>770</v>
      </c>
      <c r="B361" s="81" t="s">
        <v>205</v>
      </c>
      <c r="C361" s="81" t="s">
        <v>201</v>
      </c>
      <c r="D361" s="81" t="s">
        <v>947</v>
      </c>
      <c r="E361" s="81" t="s">
        <v>200</v>
      </c>
      <c r="F361" s="81">
        <v>4</v>
      </c>
      <c r="G361" s="81">
        <v>0.5</v>
      </c>
      <c r="H361" s="81" t="s">
        <v>1011</v>
      </c>
      <c r="I361" s="81" t="s">
        <v>1057</v>
      </c>
      <c r="J361" s="81" t="s">
        <v>1002</v>
      </c>
      <c r="K361" s="79"/>
      <c r="L361" s="79"/>
      <c r="M361" s="79"/>
      <c r="N361" s="79"/>
    </row>
    <row r="362" ht="26" spans="1:14">
      <c r="A362" s="81" t="s">
        <v>772</v>
      </c>
      <c r="B362" s="81" t="s">
        <v>205</v>
      </c>
      <c r="C362" s="81" t="s">
        <v>201</v>
      </c>
      <c r="D362" s="81" t="s">
        <v>947</v>
      </c>
      <c r="E362" s="81" t="s">
        <v>200</v>
      </c>
      <c r="F362" s="81">
        <v>4</v>
      </c>
      <c r="G362" s="81">
        <v>0.5</v>
      </c>
      <c r="H362" s="81" t="s">
        <v>1011</v>
      </c>
      <c r="I362" s="81" t="s">
        <v>1057</v>
      </c>
      <c r="J362" s="81" t="s">
        <v>1002</v>
      </c>
      <c r="K362" s="79"/>
      <c r="L362" s="79"/>
      <c r="M362" s="79"/>
      <c r="N362" s="79"/>
    </row>
    <row r="363" ht="26" spans="1:14">
      <c r="A363" s="81" t="s">
        <v>774</v>
      </c>
      <c r="B363" s="81" t="s">
        <v>205</v>
      </c>
      <c r="C363" s="81" t="s">
        <v>201</v>
      </c>
      <c r="D363" s="81" t="s">
        <v>949</v>
      </c>
      <c r="E363" s="81" t="s">
        <v>200</v>
      </c>
      <c r="F363" s="81">
        <v>4</v>
      </c>
      <c r="G363" s="81">
        <v>0.5</v>
      </c>
      <c r="H363" s="81" t="s">
        <v>1011</v>
      </c>
      <c r="I363" s="81" t="s">
        <v>1057</v>
      </c>
      <c r="J363" s="81" t="s">
        <v>1013</v>
      </c>
      <c r="K363" s="79"/>
      <c r="L363" s="79"/>
      <c r="M363" s="79"/>
      <c r="N363" s="79"/>
    </row>
    <row r="364" ht="26" spans="1:14">
      <c r="A364" s="81" t="s">
        <v>777</v>
      </c>
      <c r="B364" s="81" t="s">
        <v>205</v>
      </c>
      <c r="C364" s="81" t="s">
        <v>201</v>
      </c>
      <c r="D364" s="81" t="s">
        <v>947</v>
      </c>
      <c r="E364" s="81" t="s">
        <v>200</v>
      </c>
      <c r="F364" s="81">
        <v>4</v>
      </c>
      <c r="G364" s="81">
        <v>0.5</v>
      </c>
      <c r="H364" s="81" t="s">
        <v>1011</v>
      </c>
      <c r="I364" s="81" t="s">
        <v>1057</v>
      </c>
      <c r="J364" s="81" t="s">
        <v>1002</v>
      </c>
      <c r="K364" s="79"/>
      <c r="L364" s="79"/>
      <c r="M364" s="79"/>
      <c r="N364" s="79"/>
    </row>
    <row r="365" ht="26" spans="1:14">
      <c r="A365" s="81" t="s">
        <v>779</v>
      </c>
      <c r="B365" s="81" t="s">
        <v>205</v>
      </c>
      <c r="C365" s="81" t="s">
        <v>205</v>
      </c>
      <c r="D365" s="81" t="s">
        <v>950</v>
      </c>
      <c r="E365" s="81" t="s">
        <v>200</v>
      </c>
      <c r="F365" s="81">
        <v>4</v>
      </c>
      <c r="G365" s="81">
        <v>0.5</v>
      </c>
      <c r="H365" s="81" t="s">
        <v>1003</v>
      </c>
      <c r="I365" s="81" t="s">
        <v>1057</v>
      </c>
      <c r="J365" s="81" t="s">
        <v>1002</v>
      </c>
      <c r="K365" s="79"/>
      <c r="L365" s="79"/>
      <c r="M365" s="79"/>
      <c r="N365" s="79"/>
    </row>
    <row r="366" ht="26" spans="1:14">
      <c r="A366" s="81" t="s">
        <v>781</v>
      </c>
      <c r="B366" s="81" t="s">
        <v>205</v>
      </c>
      <c r="C366" s="81" t="s">
        <v>205</v>
      </c>
      <c r="D366" s="81" t="s">
        <v>951</v>
      </c>
      <c r="E366" s="81" t="s">
        <v>202</v>
      </c>
      <c r="F366" s="81">
        <v>4</v>
      </c>
      <c r="G366" s="81">
        <v>1</v>
      </c>
      <c r="H366" s="81" t="s">
        <v>1011</v>
      </c>
      <c r="I366" s="81" t="s">
        <v>1057</v>
      </c>
      <c r="J366" s="81" t="s">
        <v>1013</v>
      </c>
      <c r="K366" s="79"/>
      <c r="L366" s="79"/>
      <c r="M366" s="79"/>
      <c r="N366" s="79"/>
    </row>
    <row r="367" ht="26" spans="1:14">
      <c r="A367" s="81" t="s">
        <v>783</v>
      </c>
      <c r="B367" s="81" t="s">
        <v>205</v>
      </c>
      <c r="C367" s="81" t="s">
        <v>201</v>
      </c>
      <c r="D367" s="81" t="s">
        <v>952</v>
      </c>
      <c r="E367" s="81" t="s">
        <v>200</v>
      </c>
      <c r="F367" s="81">
        <v>4</v>
      </c>
      <c r="G367" s="81">
        <v>0.5</v>
      </c>
      <c r="H367" s="81" t="s">
        <v>1011</v>
      </c>
      <c r="I367" s="81" t="s">
        <v>1057</v>
      </c>
      <c r="J367" s="81" t="s">
        <v>1002</v>
      </c>
      <c r="K367" s="79"/>
      <c r="L367" s="79"/>
      <c r="M367" s="79"/>
      <c r="N367" s="79"/>
    </row>
    <row r="368" ht="26" spans="1:14">
      <c r="A368" s="81" t="s">
        <v>784</v>
      </c>
      <c r="B368" s="81" t="s">
        <v>205</v>
      </c>
      <c r="C368" s="81" t="s">
        <v>201</v>
      </c>
      <c r="D368" s="81" t="s">
        <v>952</v>
      </c>
      <c r="E368" s="81" t="s">
        <v>200</v>
      </c>
      <c r="F368" s="81">
        <v>4</v>
      </c>
      <c r="G368" s="81">
        <v>0.5</v>
      </c>
      <c r="H368" s="81" t="s">
        <v>1011</v>
      </c>
      <c r="I368" s="81" t="s">
        <v>1057</v>
      </c>
      <c r="J368" s="81" t="s">
        <v>1002</v>
      </c>
      <c r="K368" s="79"/>
      <c r="L368" s="79"/>
      <c r="M368" s="79"/>
      <c r="N368" s="79"/>
    </row>
    <row r="369" ht="26" spans="1:14">
      <c r="A369" s="81" t="s">
        <v>785</v>
      </c>
      <c r="B369" s="81" t="s">
        <v>205</v>
      </c>
      <c r="C369" s="81" t="s">
        <v>201</v>
      </c>
      <c r="D369" s="81" t="s">
        <v>952</v>
      </c>
      <c r="E369" s="81" t="s">
        <v>200</v>
      </c>
      <c r="F369" s="81">
        <v>4</v>
      </c>
      <c r="G369" s="81">
        <v>0.5</v>
      </c>
      <c r="H369" s="81" t="s">
        <v>1011</v>
      </c>
      <c r="I369" s="81" t="s">
        <v>1057</v>
      </c>
      <c r="J369" s="81" t="s">
        <v>1002</v>
      </c>
      <c r="K369" s="79"/>
      <c r="L369" s="79"/>
      <c r="M369" s="79"/>
      <c r="N369" s="79"/>
    </row>
    <row r="370" ht="26" spans="1:14">
      <c r="A370" s="81" t="s">
        <v>788</v>
      </c>
      <c r="B370" s="81" t="s">
        <v>205</v>
      </c>
      <c r="C370" s="81" t="s">
        <v>201</v>
      </c>
      <c r="D370" s="81" t="s">
        <v>953</v>
      </c>
      <c r="E370" s="81" t="s">
        <v>199</v>
      </c>
      <c r="F370" s="81">
        <v>4</v>
      </c>
      <c r="G370" s="81">
        <v>0.5</v>
      </c>
      <c r="H370" s="81" t="s">
        <v>1003</v>
      </c>
      <c r="I370" s="81" t="s">
        <v>1057</v>
      </c>
      <c r="J370" s="81" t="s">
        <v>1002</v>
      </c>
      <c r="K370" s="79"/>
      <c r="L370" s="79"/>
      <c r="M370" s="79"/>
      <c r="N370" s="79"/>
    </row>
    <row r="371" ht="26" spans="1:14">
      <c r="A371" s="81" t="s">
        <v>790</v>
      </c>
      <c r="B371" s="81" t="s">
        <v>205</v>
      </c>
      <c r="C371" s="81" t="s">
        <v>201</v>
      </c>
      <c r="D371" s="81" t="s">
        <v>952</v>
      </c>
      <c r="E371" s="81" t="s">
        <v>200</v>
      </c>
      <c r="F371" s="81">
        <v>4</v>
      </c>
      <c r="G371" s="81">
        <v>0.5</v>
      </c>
      <c r="H371" s="81" t="s">
        <v>1011</v>
      </c>
      <c r="I371" s="81" t="s">
        <v>1057</v>
      </c>
      <c r="J371" s="81" t="s">
        <v>1002</v>
      </c>
      <c r="K371" s="79"/>
      <c r="L371" s="79"/>
      <c r="M371" s="79"/>
      <c r="N371" s="79"/>
    </row>
    <row r="372" ht="26" spans="1:14">
      <c r="A372" s="81" t="s">
        <v>791</v>
      </c>
      <c r="B372" s="81" t="s">
        <v>205</v>
      </c>
      <c r="C372" s="81" t="s">
        <v>201</v>
      </c>
      <c r="D372" s="81" t="s">
        <v>954</v>
      </c>
      <c r="E372" s="81" t="s">
        <v>200</v>
      </c>
      <c r="F372" s="81">
        <v>4</v>
      </c>
      <c r="G372" s="81">
        <v>0.5</v>
      </c>
      <c r="H372" s="81" t="s">
        <v>1011</v>
      </c>
      <c r="I372" s="81" t="s">
        <v>1057</v>
      </c>
      <c r="J372" s="81" t="s">
        <v>1013</v>
      </c>
      <c r="K372" s="79"/>
      <c r="L372" s="79"/>
      <c r="M372" s="79"/>
      <c r="N372" s="79"/>
    </row>
    <row r="373" ht="26" spans="1:14">
      <c r="A373" s="81" t="s">
        <v>794</v>
      </c>
      <c r="B373" s="81" t="s">
        <v>205</v>
      </c>
      <c r="C373" s="81" t="s">
        <v>201</v>
      </c>
      <c r="D373" s="81" t="s">
        <v>952</v>
      </c>
      <c r="E373" s="81" t="s">
        <v>200</v>
      </c>
      <c r="F373" s="81">
        <v>4</v>
      </c>
      <c r="G373" s="81">
        <v>0.5</v>
      </c>
      <c r="H373" s="81" t="s">
        <v>1011</v>
      </c>
      <c r="I373" s="81" t="s">
        <v>1057</v>
      </c>
      <c r="J373" s="81" t="s">
        <v>1002</v>
      </c>
      <c r="K373" s="79"/>
      <c r="L373" s="79"/>
      <c r="M373" s="79"/>
      <c r="N373" s="79"/>
    </row>
    <row r="374" ht="26" spans="1:14">
      <c r="A374" s="81" t="s">
        <v>795</v>
      </c>
      <c r="B374" s="81" t="s">
        <v>205</v>
      </c>
      <c r="C374" s="81" t="s">
        <v>201</v>
      </c>
      <c r="D374" s="81" t="s">
        <v>953</v>
      </c>
      <c r="E374" s="81" t="s">
        <v>200</v>
      </c>
      <c r="F374" s="81">
        <v>4</v>
      </c>
      <c r="G374" s="81">
        <v>0.5</v>
      </c>
      <c r="H374" s="81" t="s">
        <v>1003</v>
      </c>
      <c r="I374" s="81" t="s">
        <v>1057</v>
      </c>
      <c r="J374" s="81" t="s">
        <v>1002</v>
      </c>
      <c r="K374" s="79"/>
      <c r="L374" s="79"/>
      <c r="M374" s="79"/>
      <c r="N374" s="79"/>
    </row>
    <row r="375" ht="26" spans="1:14">
      <c r="A375" s="81" t="s">
        <v>797</v>
      </c>
      <c r="B375" s="81" t="s">
        <v>205</v>
      </c>
      <c r="C375" s="81" t="s">
        <v>201</v>
      </c>
      <c r="D375" s="81" t="s">
        <v>952</v>
      </c>
      <c r="E375" s="81" t="s">
        <v>200</v>
      </c>
      <c r="F375" s="81">
        <v>4</v>
      </c>
      <c r="G375" s="81">
        <v>0.5</v>
      </c>
      <c r="H375" s="81" t="s">
        <v>1011</v>
      </c>
      <c r="I375" s="81" t="s">
        <v>1057</v>
      </c>
      <c r="J375" s="81" t="s">
        <v>1002</v>
      </c>
      <c r="K375" s="79"/>
      <c r="L375" s="79"/>
      <c r="M375" s="79"/>
      <c r="N375" s="79"/>
    </row>
    <row r="376" ht="26" spans="1:14">
      <c r="A376" s="81" t="s">
        <v>799</v>
      </c>
      <c r="B376" s="81" t="s">
        <v>205</v>
      </c>
      <c r="C376" s="81" t="s">
        <v>201</v>
      </c>
      <c r="D376" s="81" t="s">
        <v>953</v>
      </c>
      <c r="E376" s="81" t="s">
        <v>199</v>
      </c>
      <c r="F376" s="81">
        <v>4</v>
      </c>
      <c r="G376" s="81">
        <v>0.5</v>
      </c>
      <c r="H376" s="81" t="s">
        <v>1003</v>
      </c>
      <c r="I376" s="81" t="s">
        <v>1057</v>
      </c>
      <c r="J376" s="81" t="s">
        <v>1002</v>
      </c>
      <c r="K376" s="79"/>
      <c r="L376" s="79"/>
      <c r="M376" s="79"/>
      <c r="N376" s="79"/>
    </row>
    <row r="377" ht="26" spans="1:14">
      <c r="A377" s="81" t="s">
        <v>801</v>
      </c>
      <c r="B377" s="81" t="s">
        <v>205</v>
      </c>
      <c r="C377" s="81" t="s">
        <v>203</v>
      </c>
      <c r="D377" s="81" t="s">
        <v>955</v>
      </c>
      <c r="E377" s="81" t="s">
        <v>202</v>
      </c>
      <c r="F377" s="81">
        <v>4</v>
      </c>
      <c r="G377" s="81">
        <v>1</v>
      </c>
      <c r="H377" s="81" t="s">
        <v>1011</v>
      </c>
      <c r="I377" s="81" t="s">
        <v>1057</v>
      </c>
      <c r="J377" s="81" t="s">
        <v>1002</v>
      </c>
      <c r="K377" s="79"/>
      <c r="L377" s="79"/>
      <c r="M377" s="79"/>
      <c r="N377" s="79"/>
    </row>
    <row r="378" ht="26" spans="1:14">
      <c r="A378" s="81" t="s">
        <v>803</v>
      </c>
      <c r="B378" s="81" t="s">
        <v>205</v>
      </c>
      <c r="C378" s="81" t="s">
        <v>203</v>
      </c>
      <c r="D378" s="81" t="s">
        <v>956</v>
      </c>
      <c r="E378" s="81" t="s">
        <v>200</v>
      </c>
      <c r="F378" s="81">
        <v>4</v>
      </c>
      <c r="G378" s="81">
        <v>0.5</v>
      </c>
      <c r="H378" s="81" t="s">
        <v>1011</v>
      </c>
      <c r="I378" s="81" t="s">
        <v>1057</v>
      </c>
      <c r="J378" s="81" t="s">
        <v>1013</v>
      </c>
      <c r="K378" s="79"/>
      <c r="L378" s="79"/>
      <c r="M378" s="79"/>
      <c r="N378" s="79"/>
    </row>
    <row r="379" ht="26" spans="1:14">
      <c r="A379" s="81" t="s">
        <v>806</v>
      </c>
      <c r="B379" s="81" t="s">
        <v>205</v>
      </c>
      <c r="C379" s="81" t="s">
        <v>203</v>
      </c>
      <c r="D379" s="81" t="s">
        <v>957</v>
      </c>
      <c r="E379" s="81" t="s">
        <v>200</v>
      </c>
      <c r="F379" s="81">
        <v>4</v>
      </c>
      <c r="G379" s="81">
        <v>0.5</v>
      </c>
      <c r="H379" s="81" t="s">
        <v>1011</v>
      </c>
      <c r="I379" s="81" t="s">
        <v>1057</v>
      </c>
      <c r="J379" s="81" t="s">
        <v>1002</v>
      </c>
      <c r="K379" s="79"/>
      <c r="L379" s="79"/>
      <c r="M379" s="79"/>
      <c r="N379" s="79"/>
    </row>
    <row r="380" ht="26" spans="1:14">
      <c r="A380" s="81" t="s">
        <v>807</v>
      </c>
      <c r="B380" s="81" t="s">
        <v>205</v>
      </c>
      <c r="C380" s="81" t="s">
        <v>203</v>
      </c>
      <c r="D380" s="81" t="s">
        <v>958</v>
      </c>
      <c r="E380" s="81" t="s">
        <v>200</v>
      </c>
      <c r="F380" s="81">
        <v>4</v>
      </c>
      <c r="G380" s="81">
        <v>0.5</v>
      </c>
      <c r="H380" s="81" t="s">
        <v>1011</v>
      </c>
      <c r="I380" s="81" t="s">
        <v>1057</v>
      </c>
      <c r="J380" s="81" t="s">
        <v>1013</v>
      </c>
      <c r="K380" s="79"/>
      <c r="L380" s="79"/>
      <c r="M380" s="79"/>
      <c r="N380" s="79"/>
    </row>
    <row r="381" ht="26" spans="1:14">
      <c r="A381" s="81" t="s">
        <v>809</v>
      </c>
      <c r="B381" s="81" t="s">
        <v>205</v>
      </c>
      <c r="C381" s="81" t="s">
        <v>203</v>
      </c>
      <c r="D381" s="81" t="s">
        <v>959</v>
      </c>
      <c r="E381" s="81" t="s">
        <v>200</v>
      </c>
      <c r="F381" s="81">
        <v>4</v>
      </c>
      <c r="G381" s="81">
        <v>0.5</v>
      </c>
      <c r="H381" s="81" t="s">
        <v>1011</v>
      </c>
      <c r="I381" s="81" t="s">
        <v>1057</v>
      </c>
      <c r="J381" s="81" t="s">
        <v>1002</v>
      </c>
      <c r="K381" s="79"/>
      <c r="L381" s="79"/>
      <c r="M381" s="79"/>
      <c r="N381" s="79"/>
    </row>
    <row r="382" ht="26" spans="1:14">
      <c r="A382" s="81" t="s">
        <v>811</v>
      </c>
      <c r="B382" s="81" t="s">
        <v>205</v>
      </c>
      <c r="C382" s="81" t="s">
        <v>203</v>
      </c>
      <c r="D382" s="81" t="s">
        <v>960</v>
      </c>
      <c r="E382" s="81" t="s">
        <v>200</v>
      </c>
      <c r="F382" s="81">
        <v>4</v>
      </c>
      <c r="G382" s="81">
        <v>0.5</v>
      </c>
      <c r="H382" s="81" t="s">
        <v>1003</v>
      </c>
      <c r="I382" s="81" t="s">
        <v>1057</v>
      </c>
      <c r="J382" s="81" t="s">
        <v>1002</v>
      </c>
      <c r="K382" s="79"/>
      <c r="L382" s="79"/>
      <c r="M382" s="79"/>
      <c r="N382" s="79"/>
    </row>
    <row r="383" ht="26" spans="1:14">
      <c r="A383" s="81" t="s">
        <v>814</v>
      </c>
      <c r="B383" s="81" t="s">
        <v>205</v>
      </c>
      <c r="C383" s="81" t="s">
        <v>203</v>
      </c>
      <c r="D383" s="81" t="s">
        <v>955</v>
      </c>
      <c r="E383" s="81" t="s">
        <v>202</v>
      </c>
      <c r="F383" s="81">
        <v>4</v>
      </c>
      <c r="G383" s="81">
        <v>1</v>
      </c>
      <c r="H383" s="81" t="s">
        <v>1011</v>
      </c>
      <c r="I383" s="81" t="s">
        <v>1057</v>
      </c>
      <c r="J383" s="81" t="s">
        <v>1002</v>
      </c>
      <c r="K383" s="79"/>
      <c r="L383" s="79"/>
      <c r="M383" s="79"/>
      <c r="N383" s="79"/>
    </row>
    <row r="384" ht="26" spans="1:14">
      <c r="A384" s="81" t="s">
        <v>815</v>
      </c>
      <c r="B384" s="81" t="s">
        <v>205</v>
      </c>
      <c r="C384" s="81" t="s">
        <v>201</v>
      </c>
      <c r="D384" s="81" t="s">
        <v>961</v>
      </c>
      <c r="E384" s="81" t="s">
        <v>200</v>
      </c>
      <c r="F384" s="81">
        <v>4</v>
      </c>
      <c r="G384" s="81">
        <v>0.5</v>
      </c>
      <c r="H384" s="81" t="s">
        <v>1011</v>
      </c>
      <c r="I384" s="81" t="s">
        <v>1057</v>
      </c>
      <c r="J384" s="81" t="s">
        <v>1013</v>
      </c>
      <c r="K384" s="79"/>
      <c r="L384" s="79"/>
      <c r="M384" s="79"/>
      <c r="N384" s="79"/>
    </row>
    <row r="385" ht="26" spans="1:14">
      <c r="A385" s="81" t="s">
        <v>817</v>
      </c>
      <c r="B385" s="81" t="s">
        <v>205</v>
      </c>
      <c r="C385" s="81" t="s">
        <v>203</v>
      </c>
      <c r="D385" s="81" t="s">
        <v>962</v>
      </c>
      <c r="E385" s="81" t="s">
        <v>200</v>
      </c>
      <c r="F385" s="81">
        <v>4</v>
      </c>
      <c r="G385" s="81">
        <v>0.5</v>
      </c>
      <c r="H385" s="81" t="s">
        <v>1011</v>
      </c>
      <c r="I385" s="81" t="s">
        <v>1057</v>
      </c>
      <c r="J385" s="81" t="s">
        <v>1013</v>
      </c>
      <c r="K385" s="79"/>
      <c r="L385" s="79"/>
      <c r="M385" s="79"/>
      <c r="N385" s="79"/>
    </row>
    <row r="386" ht="26" spans="1:14">
      <c r="A386" s="81" t="s">
        <v>819</v>
      </c>
      <c r="B386" s="81" t="s">
        <v>205</v>
      </c>
      <c r="C386" s="81" t="s">
        <v>203</v>
      </c>
      <c r="D386" s="81" t="s">
        <v>963</v>
      </c>
      <c r="E386" s="81" t="s">
        <v>202</v>
      </c>
      <c r="F386" s="81">
        <v>4</v>
      </c>
      <c r="G386" s="81">
        <v>1</v>
      </c>
      <c r="H386" s="81" t="s">
        <v>1011</v>
      </c>
      <c r="I386" s="81" t="s">
        <v>1057</v>
      </c>
      <c r="J386" s="81" t="s">
        <v>1002</v>
      </c>
      <c r="K386" s="79"/>
      <c r="L386" s="79"/>
      <c r="M386" s="79"/>
      <c r="N386" s="79"/>
    </row>
    <row r="387" ht="26" spans="1:14">
      <c r="A387" s="81" t="s">
        <v>820</v>
      </c>
      <c r="B387" s="81" t="s">
        <v>205</v>
      </c>
      <c r="C387" s="81" t="s">
        <v>203</v>
      </c>
      <c r="D387" s="81" t="s">
        <v>964</v>
      </c>
      <c r="E387" s="81" t="s">
        <v>202</v>
      </c>
      <c r="F387" s="81">
        <v>4</v>
      </c>
      <c r="G387" s="81">
        <v>1</v>
      </c>
      <c r="H387" s="81" t="s">
        <v>1011</v>
      </c>
      <c r="I387" s="81" t="s">
        <v>1057</v>
      </c>
      <c r="J387" s="81" t="s">
        <v>1013</v>
      </c>
      <c r="K387" s="79"/>
      <c r="L387" s="79"/>
      <c r="M387" s="79"/>
      <c r="N387" s="79"/>
    </row>
    <row r="388" ht="26" spans="1:14">
      <c r="A388" s="81" t="s">
        <v>822</v>
      </c>
      <c r="B388" s="81" t="s">
        <v>205</v>
      </c>
      <c r="C388" s="81" t="s">
        <v>203</v>
      </c>
      <c r="D388" s="81" t="s">
        <v>965</v>
      </c>
      <c r="E388" s="81" t="s">
        <v>200</v>
      </c>
      <c r="F388" s="81">
        <v>4</v>
      </c>
      <c r="G388" s="81">
        <v>0.5</v>
      </c>
      <c r="H388" s="81" t="s">
        <v>1003</v>
      </c>
      <c r="I388" s="81" t="s">
        <v>1057</v>
      </c>
      <c r="J388" s="81" t="s">
        <v>1002</v>
      </c>
      <c r="K388" s="79"/>
      <c r="L388" s="79"/>
      <c r="M388" s="79"/>
      <c r="N388" s="79"/>
    </row>
    <row r="389" ht="26" spans="1:14">
      <c r="A389" s="81" t="s">
        <v>824</v>
      </c>
      <c r="B389" s="81" t="s">
        <v>205</v>
      </c>
      <c r="C389" s="81" t="s">
        <v>203</v>
      </c>
      <c r="D389" s="81" t="s">
        <v>966</v>
      </c>
      <c r="E389" s="81" t="s">
        <v>200</v>
      </c>
      <c r="F389" s="81">
        <v>4</v>
      </c>
      <c r="G389" s="81">
        <v>0.5</v>
      </c>
      <c r="H389" s="81" t="s">
        <v>1003</v>
      </c>
      <c r="I389" s="81" t="s">
        <v>1057</v>
      </c>
      <c r="J389" s="81" t="s">
        <v>1002</v>
      </c>
      <c r="K389" s="79"/>
      <c r="L389" s="79"/>
      <c r="M389" s="79"/>
      <c r="N389" s="79"/>
    </row>
    <row r="390" ht="26" spans="1:14">
      <c r="A390" s="81" t="s">
        <v>826</v>
      </c>
      <c r="B390" s="81" t="s">
        <v>205</v>
      </c>
      <c r="C390" s="81" t="s">
        <v>203</v>
      </c>
      <c r="D390" s="81" t="s">
        <v>963</v>
      </c>
      <c r="E390" s="81" t="s">
        <v>202</v>
      </c>
      <c r="F390" s="81">
        <v>4</v>
      </c>
      <c r="G390" s="81">
        <v>1</v>
      </c>
      <c r="H390" s="81" t="s">
        <v>1011</v>
      </c>
      <c r="I390" s="81" t="s">
        <v>1057</v>
      </c>
      <c r="J390" s="81" t="s">
        <v>1002</v>
      </c>
      <c r="K390" s="79"/>
      <c r="L390" s="79"/>
      <c r="M390" s="79"/>
      <c r="N390" s="79"/>
    </row>
    <row r="391" ht="26" spans="1:14">
      <c r="A391" s="81" t="s">
        <v>827</v>
      </c>
      <c r="B391" s="81" t="s">
        <v>205</v>
      </c>
      <c r="C391" s="81" t="s">
        <v>203</v>
      </c>
      <c r="D391" s="81" t="s">
        <v>964</v>
      </c>
      <c r="E391" s="81" t="s">
        <v>202</v>
      </c>
      <c r="F391" s="81">
        <v>4</v>
      </c>
      <c r="G391" s="81">
        <v>1</v>
      </c>
      <c r="H391" s="81" t="s">
        <v>1011</v>
      </c>
      <c r="I391" s="81" t="s">
        <v>1057</v>
      </c>
      <c r="J391" s="81" t="s">
        <v>1013</v>
      </c>
      <c r="K391" s="79"/>
      <c r="L391" s="79"/>
      <c r="M391" s="79"/>
      <c r="N391" s="79"/>
    </row>
    <row r="392" ht="26" spans="1:14">
      <c r="A392" s="81" t="s">
        <v>829</v>
      </c>
      <c r="B392" s="81" t="s">
        <v>205</v>
      </c>
      <c r="C392" s="81" t="s">
        <v>203</v>
      </c>
      <c r="D392" s="81" t="s">
        <v>964</v>
      </c>
      <c r="E392" s="81" t="s">
        <v>202</v>
      </c>
      <c r="F392" s="81">
        <v>4</v>
      </c>
      <c r="G392" s="81">
        <v>1</v>
      </c>
      <c r="H392" s="81" t="s">
        <v>1011</v>
      </c>
      <c r="I392" s="81" t="s">
        <v>1057</v>
      </c>
      <c r="J392" s="81" t="s">
        <v>1013</v>
      </c>
      <c r="K392" s="79"/>
      <c r="L392" s="79"/>
      <c r="M392" s="79"/>
      <c r="N392" s="79"/>
    </row>
    <row r="393" ht="26" spans="1:14">
      <c r="A393" s="81" t="s">
        <v>831</v>
      </c>
      <c r="B393" s="81" t="s">
        <v>205</v>
      </c>
      <c r="C393" s="81" t="s">
        <v>203</v>
      </c>
      <c r="D393" s="81" t="s">
        <v>965</v>
      </c>
      <c r="E393" s="81" t="s">
        <v>200</v>
      </c>
      <c r="F393" s="81">
        <v>4</v>
      </c>
      <c r="G393" s="81">
        <v>0.5</v>
      </c>
      <c r="H393" s="81" t="s">
        <v>1003</v>
      </c>
      <c r="I393" s="81" t="s">
        <v>1057</v>
      </c>
      <c r="J393" s="81" t="s">
        <v>1002</v>
      </c>
      <c r="K393" s="79"/>
      <c r="L393" s="79"/>
      <c r="M393" s="79"/>
      <c r="N393" s="79"/>
    </row>
    <row r="394" ht="26" spans="1:14">
      <c r="A394" s="81" t="s">
        <v>833</v>
      </c>
      <c r="B394" s="81" t="s">
        <v>205</v>
      </c>
      <c r="C394" s="81" t="s">
        <v>203</v>
      </c>
      <c r="D394" s="81" t="s">
        <v>967</v>
      </c>
      <c r="E394" s="81" t="s">
        <v>200</v>
      </c>
      <c r="F394" s="81">
        <v>4</v>
      </c>
      <c r="G394" s="81">
        <v>0.5</v>
      </c>
      <c r="H394" s="81" t="s">
        <v>1003</v>
      </c>
      <c r="I394" s="81" t="s">
        <v>1057</v>
      </c>
      <c r="J394" s="81" t="s">
        <v>1002</v>
      </c>
      <c r="K394" s="79"/>
      <c r="L394" s="79"/>
      <c r="M394" s="79"/>
      <c r="N394" s="79"/>
    </row>
    <row r="395" ht="26" spans="1:14">
      <c r="A395" s="81" t="s">
        <v>835</v>
      </c>
      <c r="B395" s="81" t="s">
        <v>205</v>
      </c>
      <c r="C395" s="81" t="s">
        <v>203</v>
      </c>
      <c r="D395" s="81" t="s">
        <v>968</v>
      </c>
      <c r="E395" s="81" t="s">
        <v>202</v>
      </c>
      <c r="F395" s="81">
        <v>4</v>
      </c>
      <c r="G395" s="81">
        <v>1</v>
      </c>
      <c r="H395" s="81" t="s">
        <v>1011</v>
      </c>
      <c r="I395" s="81" t="s">
        <v>1057</v>
      </c>
      <c r="J395" s="81" t="s">
        <v>1013</v>
      </c>
      <c r="K395" s="79"/>
      <c r="L395" s="79"/>
      <c r="M395" s="79"/>
      <c r="N395" s="79"/>
    </row>
    <row r="396" ht="26" spans="1:14">
      <c r="A396" s="81" t="s">
        <v>837</v>
      </c>
      <c r="B396" s="81" t="s">
        <v>205</v>
      </c>
      <c r="C396" s="81" t="s">
        <v>203</v>
      </c>
      <c r="D396" s="81" t="s">
        <v>969</v>
      </c>
      <c r="E396" s="81" t="s">
        <v>202</v>
      </c>
      <c r="F396" s="81">
        <v>4</v>
      </c>
      <c r="G396" s="81">
        <v>1</v>
      </c>
      <c r="H396" s="81" t="s">
        <v>1011</v>
      </c>
      <c r="I396" s="81" t="s">
        <v>1057</v>
      </c>
      <c r="J396" s="81" t="s">
        <v>1013</v>
      </c>
      <c r="K396" s="79"/>
      <c r="L396" s="79"/>
      <c r="M396" s="79"/>
      <c r="N396" s="79"/>
    </row>
    <row r="397" ht="26" spans="1:14">
      <c r="A397" s="81" t="s">
        <v>839</v>
      </c>
      <c r="B397" s="81" t="s">
        <v>205</v>
      </c>
      <c r="C397" s="81" t="s">
        <v>203</v>
      </c>
      <c r="D397" s="81" t="s">
        <v>969</v>
      </c>
      <c r="E397" s="81" t="s">
        <v>202</v>
      </c>
      <c r="F397" s="81">
        <v>4</v>
      </c>
      <c r="G397" s="81">
        <v>1</v>
      </c>
      <c r="H397" s="81" t="s">
        <v>1011</v>
      </c>
      <c r="I397" s="81" t="s">
        <v>1057</v>
      </c>
      <c r="J397" s="81" t="s">
        <v>1013</v>
      </c>
      <c r="K397" s="79"/>
      <c r="L397" s="79"/>
      <c r="M397" s="79"/>
      <c r="N397" s="79"/>
    </row>
    <row r="398" ht="26" spans="1:14">
      <c r="A398" s="81" t="s">
        <v>842</v>
      </c>
      <c r="B398" s="81" t="s">
        <v>205</v>
      </c>
      <c r="C398" s="81" t="s">
        <v>203</v>
      </c>
      <c r="D398" s="81" t="s">
        <v>970</v>
      </c>
      <c r="E398" s="81" t="s">
        <v>200</v>
      </c>
      <c r="F398" s="81">
        <v>4</v>
      </c>
      <c r="G398" s="81">
        <v>0.5</v>
      </c>
      <c r="H398" s="81" t="s">
        <v>1003</v>
      </c>
      <c r="I398" s="81" t="s">
        <v>1057</v>
      </c>
      <c r="J398" s="81" t="s">
        <v>1002</v>
      </c>
      <c r="K398" s="79"/>
      <c r="L398" s="79"/>
      <c r="M398" s="79"/>
      <c r="N398" s="79"/>
    </row>
    <row r="399" ht="26" spans="1:14">
      <c r="A399" s="81" t="s">
        <v>844</v>
      </c>
      <c r="B399" s="81" t="s">
        <v>205</v>
      </c>
      <c r="C399" s="81" t="s">
        <v>203</v>
      </c>
      <c r="D399" s="81" t="s">
        <v>971</v>
      </c>
      <c r="E399" s="81" t="s">
        <v>202</v>
      </c>
      <c r="F399" s="81">
        <v>4</v>
      </c>
      <c r="G399" s="81">
        <v>1</v>
      </c>
      <c r="H399" s="81" t="s">
        <v>1011</v>
      </c>
      <c r="I399" s="81" t="s">
        <v>1057</v>
      </c>
      <c r="J399" s="81" t="s">
        <v>1002</v>
      </c>
      <c r="K399" s="79"/>
      <c r="L399" s="79"/>
      <c r="M399" s="79"/>
      <c r="N399" s="79"/>
    </row>
    <row r="400" ht="26" spans="1:14">
      <c r="A400" s="81" t="s">
        <v>845</v>
      </c>
      <c r="B400" s="81" t="s">
        <v>205</v>
      </c>
      <c r="C400" s="81" t="s">
        <v>203</v>
      </c>
      <c r="D400" s="81" t="s">
        <v>972</v>
      </c>
      <c r="E400" s="81" t="s">
        <v>202</v>
      </c>
      <c r="F400" s="81">
        <v>4</v>
      </c>
      <c r="G400" s="81">
        <v>1</v>
      </c>
      <c r="H400" s="81" t="s">
        <v>1011</v>
      </c>
      <c r="I400" s="81" t="s">
        <v>1057</v>
      </c>
      <c r="J400" s="81" t="s">
        <v>1013</v>
      </c>
      <c r="K400" s="79"/>
      <c r="L400" s="79"/>
      <c r="M400" s="79"/>
      <c r="N400" s="79"/>
    </row>
    <row r="401" ht="26" spans="1:14">
      <c r="A401" s="81" t="s">
        <v>847</v>
      </c>
      <c r="B401" s="81" t="s">
        <v>205</v>
      </c>
      <c r="C401" s="81" t="s">
        <v>203</v>
      </c>
      <c r="D401" s="81" t="s">
        <v>972</v>
      </c>
      <c r="E401" s="81" t="s">
        <v>202</v>
      </c>
      <c r="F401" s="81">
        <v>4</v>
      </c>
      <c r="G401" s="81">
        <v>1</v>
      </c>
      <c r="H401" s="81" t="s">
        <v>1011</v>
      </c>
      <c r="I401" s="81" t="s">
        <v>1057</v>
      </c>
      <c r="J401" s="81" t="s">
        <v>1013</v>
      </c>
      <c r="K401" s="79"/>
      <c r="L401" s="79"/>
      <c r="M401" s="79"/>
      <c r="N401" s="79"/>
    </row>
    <row r="402" ht="26" spans="1:14">
      <c r="A402" s="81" t="s">
        <v>849</v>
      </c>
      <c r="B402" s="81" t="s">
        <v>205</v>
      </c>
      <c r="C402" s="81" t="s">
        <v>203</v>
      </c>
      <c r="D402" s="81" t="s">
        <v>973</v>
      </c>
      <c r="E402" s="81" t="s">
        <v>200</v>
      </c>
      <c r="F402" s="81">
        <v>4</v>
      </c>
      <c r="G402" s="81">
        <v>0.5</v>
      </c>
      <c r="H402" s="81" t="s">
        <v>1003</v>
      </c>
      <c r="I402" s="81" t="s">
        <v>1057</v>
      </c>
      <c r="J402" s="81" t="s">
        <v>1002</v>
      </c>
      <c r="K402" s="79"/>
      <c r="L402" s="79"/>
      <c r="M402" s="79"/>
      <c r="N402" s="79"/>
    </row>
    <row r="403" ht="26" spans="1:14">
      <c r="A403" s="81" t="s">
        <v>851</v>
      </c>
      <c r="B403" s="81" t="s">
        <v>205</v>
      </c>
      <c r="C403" s="81" t="s">
        <v>203</v>
      </c>
      <c r="D403" s="81" t="s">
        <v>974</v>
      </c>
      <c r="E403" s="81" t="s">
        <v>202</v>
      </c>
      <c r="F403" s="81">
        <v>4</v>
      </c>
      <c r="G403" s="81">
        <v>1</v>
      </c>
      <c r="H403" s="81" t="s">
        <v>1011</v>
      </c>
      <c r="I403" s="81" t="s">
        <v>1057</v>
      </c>
      <c r="J403" s="81" t="s">
        <v>1002</v>
      </c>
      <c r="K403" s="79"/>
      <c r="L403" s="79"/>
      <c r="M403" s="79"/>
      <c r="N403" s="79"/>
    </row>
    <row r="404" ht="26" spans="1:14">
      <c r="A404" s="81" t="s">
        <v>852</v>
      </c>
      <c r="B404" s="81" t="s">
        <v>205</v>
      </c>
      <c r="C404" s="81" t="s">
        <v>203</v>
      </c>
      <c r="D404" s="81" t="s">
        <v>975</v>
      </c>
      <c r="E404" s="81" t="s">
        <v>202</v>
      </c>
      <c r="F404" s="81">
        <v>4</v>
      </c>
      <c r="G404" s="81">
        <v>1</v>
      </c>
      <c r="H404" s="81" t="s">
        <v>1011</v>
      </c>
      <c r="I404" s="81" t="s">
        <v>1057</v>
      </c>
      <c r="J404" s="81" t="s">
        <v>1013</v>
      </c>
      <c r="K404" s="79"/>
      <c r="L404" s="79"/>
      <c r="M404" s="79"/>
      <c r="N404" s="79"/>
    </row>
    <row r="405" ht="26" spans="1:14">
      <c r="A405" s="81" t="s">
        <v>854</v>
      </c>
      <c r="B405" s="81" t="s">
        <v>205</v>
      </c>
      <c r="C405" s="81" t="s">
        <v>203</v>
      </c>
      <c r="D405" s="81" t="s">
        <v>976</v>
      </c>
      <c r="E405" s="81" t="s">
        <v>202</v>
      </c>
      <c r="F405" s="81">
        <v>4</v>
      </c>
      <c r="G405" s="81">
        <v>1</v>
      </c>
      <c r="H405" s="81" t="s">
        <v>1011</v>
      </c>
      <c r="I405" s="81" t="s">
        <v>1057</v>
      </c>
      <c r="J405" s="81" t="s">
        <v>1002</v>
      </c>
      <c r="K405" s="79"/>
      <c r="L405" s="79"/>
      <c r="M405" s="79"/>
      <c r="N405" s="79"/>
    </row>
    <row r="406" ht="26" spans="1:14">
      <c r="A406" s="81" t="s">
        <v>855</v>
      </c>
      <c r="B406" s="81" t="s">
        <v>205</v>
      </c>
      <c r="C406" s="81" t="s">
        <v>203</v>
      </c>
      <c r="D406" s="81" t="s">
        <v>977</v>
      </c>
      <c r="E406" s="81" t="s">
        <v>202</v>
      </c>
      <c r="F406" s="81">
        <v>4</v>
      </c>
      <c r="G406" s="81">
        <v>1</v>
      </c>
      <c r="H406" s="81" t="s">
        <v>1011</v>
      </c>
      <c r="I406" s="81" t="s">
        <v>1057</v>
      </c>
      <c r="J406" s="81" t="s">
        <v>1013</v>
      </c>
      <c r="K406" s="79"/>
      <c r="L406" s="79"/>
      <c r="M406" s="79"/>
      <c r="N406" s="79"/>
    </row>
    <row r="407" ht="26" spans="1:14">
      <c r="A407" s="81" t="s">
        <v>857</v>
      </c>
      <c r="B407" s="81" t="s">
        <v>205</v>
      </c>
      <c r="C407" s="81" t="s">
        <v>203</v>
      </c>
      <c r="D407" s="81" t="s">
        <v>978</v>
      </c>
      <c r="E407" s="81" t="s">
        <v>200</v>
      </c>
      <c r="F407" s="81">
        <v>4</v>
      </c>
      <c r="G407" s="81">
        <v>0.5</v>
      </c>
      <c r="H407" s="81" t="s">
        <v>1003</v>
      </c>
      <c r="I407" s="81" t="s">
        <v>1057</v>
      </c>
      <c r="J407" s="81" t="s">
        <v>1002</v>
      </c>
      <c r="K407" s="79"/>
      <c r="L407" s="79"/>
      <c r="M407" s="79"/>
      <c r="N407" s="79"/>
    </row>
    <row r="408" ht="26" spans="1:14">
      <c r="A408" s="81" t="s">
        <v>860</v>
      </c>
      <c r="B408" s="81" t="s">
        <v>205</v>
      </c>
      <c r="C408" s="81" t="s">
        <v>203</v>
      </c>
      <c r="D408" s="81" t="s">
        <v>979</v>
      </c>
      <c r="E408" s="81" t="s">
        <v>202</v>
      </c>
      <c r="F408" s="81">
        <v>4</v>
      </c>
      <c r="G408" s="81">
        <v>1</v>
      </c>
      <c r="H408" s="81" t="s">
        <v>1011</v>
      </c>
      <c r="I408" s="81" t="s">
        <v>1057</v>
      </c>
      <c r="J408" s="81" t="s">
        <v>1013</v>
      </c>
      <c r="K408" s="79"/>
      <c r="L408" s="79"/>
      <c r="M408" s="79"/>
      <c r="N408" s="79"/>
    </row>
    <row r="409" ht="26" spans="1:14">
      <c r="A409" s="81" t="s">
        <v>862</v>
      </c>
      <c r="B409" s="81" t="s">
        <v>205</v>
      </c>
      <c r="C409" s="81" t="s">
        <v>203</v>
      </c>
      <c r="D409" s="81" t="s">
        <v>980</v>
      </c>
      <c r="E409" s="81" t="s">
        <v>202</v>
      </c>
      <c r="F409" s="81">
        <v>4</v>
      </c>
      <c r="G409" s="81">
        <v>1</v>
      </c>
      <c r="H409" s="81" t="s">
        <v>1011</v>
      </c>
      <c r="I409" s="81" t="s">
        <v>1057</v>
      </c>
      <c r="J409" s="81" t="s">
        <v>1002</v>
      </c>
      <c r="K409" s="79"/>
      <c r="L409" s="79"/>
      <c r="M409" s="79"/>
      <c r="N409" s="79"/>
    </row>
    <row r="410" ht="26" spans="1:14">
      <c r="A410" s="81" t="s">
        <v>864</v>
      </c>
      <c r="B410" s="81" t="s">
        <v>205</v>
      </c>
      <c r="C410" s="81" t="s">
        <v>203</v>
      </c>
      <c r="D410" s="81" t="s">
        <v>979</v>
      </c>
      <c r="E410" s="81" t="s">
        <v>202</v>
      </c>
      <c r="F410" s="81">
        <v>4</v>
      </c>
      <c r="G410" s="81">
        <v>1</v>
      </c>
      <c r="H410" s="81" t="s">
        <v>1011</v>
      </c>
      <c r="I410" s="81" t="s">
        <v>1057</v>
      </c>
      <c r="J410" s="81" t="s">
        <v>1013</v>
      </c>
      <c r="K410" s="79"/>
      <c r="L410" s="79"/>
      <c r="M410" s="79"/>
      <c r="N410" s="79"/>
    </row>
    <row r="411" ht="26" spans="1:14">
      <c r="A411" s="81" t="s">
        <v>866</v>
      </c>
      <c r="B411" s="81" t="s">
        <v>205</v>
      </c>
      <c r="C411" s="81" t="s">
        <v>203</v>
      </c>
      <c r="D411" s="81" t="s">
        <v>980</v>
      </c>
      <c r="E411" s="81" t="s">
        <v>202</v>
      </c>
      <c r="F411" s="81">
        <v>4</v>
      </c>
      <c r="G411" s="81">
        <v>1</v>
      </c>
      <c r="H411" s="81" t="s">
        <v>1011</v>
      </c>
      <c r="I411" s="81" t="s">
        <v>1057</v>
      </c>
      <c r="J411" s="81" t="s">
        <v>1002</v>
      </c>
      <c r="K411" s="79"/>
      <c r="L411" s="79"/>
      <c r="M411" s="79"/>
      <c r="N411" s="79"/>
    </row>
    <row r="412" ht="26" spans="1:14">
      <c r="A412" s="81" t="s">
        <v>868</v>
      </c>
      <c r="B412" s="81" t="s">
        <v>205</v>
      </c>
      <c r="C412" s="81" t="s">
        <v>203</v>
      </c>
      <c r="D412" s="81" t="s">
        <v>981</v>
      </c>
      <c r="E412" s="81" t="s">
        <v>200</v>
      </c>
      <c r="F412" s="81">
        <v>4</v>
      </c>
      <c r="G412" s="81">
        <v>0.5</v>
      </c>
      <c r="H412" s="81" t="s">
        <v>1003</v>
      </c>
      <c r="I412" s="81" t="s">
        <v>1057</v>
      </c>
      <c r="J412" s="81" t="s">
        <v>1002</v>
      </c>
      <c r="K412" s="79"/>
      <c r="L412" s="79"/>
      <c r="M412" s="79"/>
      <c r="N412" s="79"/>
    </row>
    <row r="413" ht="26" spans="1:14">
      <c r="A413" s="81" t="s">
        <v>870</v>
      </c>
      <c r="B413" s="81" t="s">
        <v>205</v>
      </c>
      <c r="C413" s="81" t="s">
        <v>205</v>
      </c>
      <c r="D413" s="81" t="s">
        <v>982</v>
      </c>
      <c r="E413" s="81" t="s">
        <v>202</v>
      </c>
      <c r="F413" s="81">
        <v>4</v>
      </c>
      <c r="G413" s="81">
        <v>1</v>
      </c>
      <c r="H413" s="81" t="s">
        <v>1011</v>
      </c>
      <c r="I413" s="81" t="s">
        <v>1057</v>
      </c>
      <c r="J413" s="81" t="s">
        <v>1013</v>
      </c>
      <c r="K413" s="79"/>
      <c r="L413" s="79"/>
      <c r="M413" s="79"/>
      <c r="N413" s="79"/>
    </row>
    <row r="414" ht="26" spans="1:14">
      <c r="A414" s="81" t="s">
        <v>872</v>
      </c>
      <c r="B414" s="81" t="s">
        <v>205</v>
      </c>
      <c r="C414" s="81" t="s">
        <v>205</v>
      </c>
      <c r="D414" s="81" t="s">
        <v>982</v>
      </c>
      <c r="E414" s="81" t="s">
        <v>202</v>
      </c>
      <c r="F414" s="81">
        <v>4</v>
      </c>
      <c r="G414" s="81">
        <v>1</v>
      </c>
      <c r="H414" s="81" t="s">
        <v>1011</v>
      </c>
      <c r="I414" s="81" t="s">
        <v>1057</v>
      </c>
      <c r="J414" s="81" t="s">
        <v>1013</v>
      </c>
      <c r="K414" s="79"/>
      <c r="L414" s="79"/>
      <c r="M414" s="79"/>
      <c r="N414" s="79"/>
    </row>
    <row r="415" ht="26" spans="1:14">
      <c r="A415" s="81" t="s">
        <v>874</v>
      </c>
      <c r="B415" s="81" t="s">
        <v>205</v>
      </c>
      <c r="C415" s="81" t="s">
        <v>205</v>
      </c>
      <c r="D415" s="81" t="s">
        <v>982</v>
      </c>
      <c r="E415" s="81" t="s">
        <v>202</v>
      </c>
      <c r="F415" s="81">
        <v>4</v>
      </c>
      <c r="G415" s="81">
        <v>1</v>
      </c>
      <c r="H415" s="81" t="s">
        <v>1011</v>
      </c>
      <c r="I415" s="81" t="s">
        <v>1057</v>
      </c>
      <c r="J415" s="81" t="s">
        <v>1013</v>
      </c>
      <c r="K415" s="79"/>
      <c r="L415" s="79"/>
      <c r="M415" s="79"/>
      <c r="N415" s="79"/>
    </row>
    <row r="416" ht="26" spans="1:14">
      <c r="A416" s="81" t="s">
        <v>876</v>
      </c>
      <c r="B416" s="81" t="s">
        <v>205</v>
      </c>
      <c r="C416" s="81" t="s">
        <v>205</v>
      </c>
      <c r="D416" s="81" t="s">
        <v>983</v>
      </c>
      <c r="E416" s="81" t="s">
        <v>200</v>
      </c>
      <c r="F416" s="81">
        <v>4</v>
      </c>
      <c r="G416" s="81">
        <v>0.5</v>
      </c>
      <c r="H416" s="81" t="s">
        <v>1003</v>
      </c>
      <c r="I416" s="81" t="s">
        <v>1057</v>
      </c>
      <c r="J416" s="81" t="s">
        <v>1002</v>
      </c>
      <c r="K416" s="79"/>
      <c r="L416" s="79"/>
      <c r="M416" s="79"/>
      <c r="N416" s="79"/>
    </row>
  </sheetData>
  <mergeCells count="1">
    <mergeCell ref="A1:N1"/>
  </mergeCells>
  <conditionalFormatting sqref="E4:E416">
    <cfRule type="expression" dxfId="12" priority="1">
      <formula>$E4="Extreme High"</formula>
    </cfRule>
    <cfRule type="expression" dxfId="13" priority="2">
      <formula>$E4="High"</formula>
    </cfRule>
    <cfRule type="expression" dxfId="8" priority="3">
      <formula>$E4="Medium"</formula>
    </cfRule>
    <cfRule type="expression" dxfId="6" priority="4">
      <formula>$E4="Low"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3"/>
  <sheetViews>
    <sheetView showGridLines="0" workbookViewId="0">
      <selection activeCell="A1" sqref="A1:N1"/>
    </sheetView>
  </sheetViews>
  <sheetFormatPr defaultColWidth="9" defaultRowHeight="14.5"/>
  <cols>
    <col min="1" max="15" width="18" customWidth="1"/>
  </cols>
  <sheetData>
    <row r="1" ht="21" spans="1:15">
      <c r="A1" s="78" t="s">
        <v>1058</v>
      </c>
      <c r="O1" s="79"/>
    </row>
    <row r="2" spans="1:1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ht="29" spans="1:15">
      <c r="A3" s="83" t="s">
        <v>72</v>
      </c>
      <c r="B3" s="83" t="s">
        <v>76</v>
      </c>
      <c r="C3" s="83" t="s">
        <v>74</v>
      </c>
      <c r="D3" s="83" t="s">
        <v>161</v>
      </c>
      <c r="E3" s="83" t="s">
        <v>164</v>
      </c>
      <c r="F3" s="83" t="s">
        <v>167</v>
      </c>
      <c r="G3" s="83" t="s">
        <v>170</v>
      </c>
      <c r="H3" s="83" t="s">
        <v>173</v>
      </c>
      <c r="I3" s="83" t="s">
        <v>176</v>
      </c>
      <c r="J3" s="83" t="s">
        <v>178</v>
      </c>
      <c r="K3" s="83" t="s">
        <v>162</v>
      </c>
      <c r="L3" s="83" t="s">
        <v>165</v>
      </c>
      <c r="M3" s="83" t="s">
        <v>171</v>
      </c>
      <c r="N3" s="83" t="s">
        <v>174</v>
      </c>
      <c r="O3" s="83" t="s">
        <v>1019</v>
      </c>
    </row>
    <row r="4" ht="39" spans="1:15">
      <c r="A4" s="79" t="s">
        <v>236</v>
      </c>
      <c r="B4" s="79" t="s">
        <v>77</v>
      </c>
      <c r="C4" s="79" t="s">
        <v>883</v>
      </c>
      <c r="D4" s="79"/>
      <c r="E4" s="79"/>
      <c r="F4" s="79"/>
      <c r="G4" s="79"/>
      <c r="H4" s="79"/>
      <c r="I4" s="79"/>
      <c r="J4" s="79"/>
      <c r="K4" s="79">
        <f t="shared" ref="K4:K67" si="0">IFERROR((E4-F4)/MAX(1,(I4-J4)/365),"")</f>
        <v>0</v>
      </c>
      <c r="L4" s="79">
        <f t="shared" ref="L4:L67" si="1">IFERROR((H4-F4)/MAX(1,(I4-J4)/365),"")</f>
        <v>0</v>
      </c>
      <c r="M4" s="79" t="str">
        <f t="shared" ref="M4:M67" si="2">IFERROR((F4-G4)/MAX(K4,L4),"")</f>
        <v/>
      </c>
      <c r="N4" s="79" t="str">
        <f t="shared" ref="N4:N67" si="3">IF(M4="","",IF(M4&lt;=4,5,IF(M4&lt;=6,4,IF(M4&lt;=8,3,IF(M4&lt;=10,2,1)))))</f>
        <v/>
      </c>
      <c r="O4" s="79" t="s">
        <v>1059</v>
      </c>
    </row>
    <row r="5" ht="39" spans="1:15">
      <c r="A5" s="79" t="s">
        <v>244</v>
      </c>
      <c r="B5" s="79" t="s">
        <v>77</v>
      </c>
      <c r="C5" s="79" t="s">
        <v>883</v>
      </c>
      <c r="D5" s="79"/>
      <c r="E5" s="79"/>
      <c r="F5" s="79"/>
      <c r="G5" s="79"/>
      <c r="H5" s="79"/>
      <c r="I5" s="79"/>
      <c r="J5" s="79"/>
      <c r="K5" s="79">
        <f t="shared" si="0"/>
        <v>0</v>
      </c>
      <c r="L5" s="79">
        <f t="shared" si="1"/>
        <v>0</v>
      </c>
      <c r="M5" s="79" t="str">
        <f t="shared" si="2"/>
        <v/>
      </c>
      <c r="N5" s="79" t="str">
        <f t="shared" si="3"/>
        <v/>
      </c>
      <c r="O5" s="79" t="s">
        <v>1059</v>
      </c>
    </row>
    <row r="6" ht="39" spans="1:15">
      <c r="A6" s="79" t="s">
        <v>247</v>
      </c>
      <c r="B6" s="79" t="s">
        <v>77</v>
      </c>
      <c r="C6" s="79" t="s">
        <v>883</v>
      </c>
      <c r="D6" s="79"/>
      <c r="E6" s="79"/>
      <c r="F6" s="79"/>
      <c r="G6" s="79"/>
      <c r="H6" s="79"/>
      <c r="I6" s="79"/>
      <c r="J6" s="79"/>
      <c r="K6" s="79">
        <f t="shared" si="0"/>
        <v>0</v>
      </c>
      <c r="L6" s="79">
        <f t="shared" si="1"/>
        <v>0</v>
      </c>
      <c r="M6" s="79" t="str">
        <f t="shared" si="2"/>
        <v/>
      </c>
      <c r="N6" s="79" t="str">
        <f t="shared" si="3"/>
        <v/>
      </c>
      <c r="O6" s="79" t="s">
        <v>1059</v>
      </c>
    </row>
    <row r="7" ht="39" spans="1:15">
      <c r="A7" s="79" t="s">
        <v>250</v>
      </c>
      <c r="B7" s="79" t="s">
        <v>77</v>
      </c>
      <c r="C7" s="79" t="s">
        <v>883</v>
      </c>
      <c r="D7" s="79"/>
      <c r="E7" s="79"/>
      <c r="F7" s="79"/>
      <c r="G7" s="79"/>
      <c r="H7" s="79"/>
      <c r="I7" s="79"/>
      <c r="J7" s="79"/>
      <c r="K7" s="79">
        <f t="shared" si="0"/>
        <v>0</v>
      </c>
      <c r="L7" s="79">
        <f t="shared" si="1"/>
        <v>0</v>
      </c>
      <c r="M7" s="79" t="str">
        <f t="shared" si="2"/>
        <v/>
      </c>
      <c r="N7" s="79" t="str">
        <f t="shared" si="3"/>
        <v/>
      </c>
      <c r="O7" s="79" t="s">
        <v>1059</v>
      </c>
    </row>
    <row r="8" ht="39" spans="1:15">
      <c r="A8" s="79" t="s">
        <v>255</v>
      </c>
      <c r="B8" s="79" t="s">
        <v>77</v>
      </c>
      <c r="C8" s="79" t="s">
        <v>883</v>
      </c>
      <c r="D8" s="79"/>
      <c r="E8" s="79"/>
      <c r="F8" s="79"/>
      <c r="G8" s="79"/>
      <c r="H8" s="79"/>
      <c r="I8" s="79"/>
      <c r="J8" s="79"/>
      <c r="K8" s="79">
        <f t="shared" si="0"/>
        <v>0</v>
      </c>
      <c r="L8" s="79">
        <f t="shared" si="1"/>
        <v>0</v>
      </c>
      <c r="M8" s="79" t="str">
        <f t="shared" si="2"/>
        <v/>
      </c>
      <c r="N8" s="79" t="str">
        <f t="shared" si="3"/>
        <v/>
      </c>
      <c r="O8" s="79" t="s">
        <v>1059</v>
      </c>
    </row>
    <row r="9" ht="39" spans="1:15">
      <c r="A9" s="79" t="s">
        <v>258</v>
      </c>
      <c r="B9" s="79" t="s">
        <v>77</v>
      </c>
      <c r="C9" s="79" t="s">
        <v>883</v>
      </c>
      <c r="D9" s="79"/>
      <c r="E9" s="79"/>
      <c r="F9" s="79"/>
      <c r="G9" s="79"/>
      <c r="H9" s="79"/>
      <c r="I9" s="79"/>
      <c r="J9" s="79"/>
      <c r="K9" s="79">
        <f t="shared" si="0"/>
        <v>0</v>
      </c>
      <c r="L9" s="79">
        <f t="shared" si="1"/>
        <v>0</v>
      </c>
      <c r="M9" s="79" t="str">
        <f t="shared" si="2"/>
        <v/>
      </c>
      <c r="N9" s="79" t="str">
        <f t="shared" si="3"/>
        <v/>
      </c>
      <c r="O9" s="79" t="s">
        <v>1059</v>
      </c>
    </row>
    <row r="10" ht="39" spans="1:15">
      <c r="A10" s="79" t="s">
        <v>259</v>
      </c>
      <c r="B10" s="79" t="s">
        <v>77</v>
      </c>
      <c r="C10" s="79" t="s">
        <v>885</v>
      </c>
      <c r="D10" s="79"/>
      <c r="E10" s="79"/>
      <c r="F10" s="79"/>
      <c r="G10" s="79"/>
      <c r="H10" s="79"/>
      <c r="I10" s="79"/>
      <c r="J10" s="79"/>
      <c r="K10" s="79">
        <f t="shared" si="0"/>
        <v>0</v>
      </c>
      <c r="L10" s="79">
        <f t="shared" si="1"/>
        <v>0</v>
      </c>
      <c r="M10" s="79" t="str">
        <f t="shared" si="2"/>
        <v/>
      </c>
      <c r="N10" s="79" t="str">
        <f t="shared" si="3"/>
        <v/>
      </c>
      <c r="O10" s="79" t="s">
        <v>1059</v>
      </c>
    </row>
    <row r="11" ht="39" spans="1:15">
      <c r="A11" s="79" t="s">
        <v>261</v>
      </c>
      <c r="B11" s="79" t="s">
        <v>77</v>
      </c>
      <c r="C11" s="79" t="s">
        <v>885</v>
      </c>
      <c r="D11" s="79"/>
      <c r="E11" s="79"/>
      <c r="F11" s="79"/>
      <c r="G11" s="79"/>
      <c r="H11" s="79"/>
      <c r="I11" s="79"/>
      <c r="J11" s="79"/>
      <c r="K11" s="79">
        <f t="shared" si="0"/>
        <v>0</v>
      </c>
      <c r="L11" s="79">
        <f t="shared" si="1"/>
        <v>0</v>
      </c>
      <c r="M11" s="79" t="str">
        <f t="shared" si="2"/>
        <v/>
      </c>
      <c r="N11" s="79" t="str">
        <f t="shared" si="3"/>
        <v/>
      </c>
      <c r="O11" s="79" t="s">
        <v>1059</v>
      </c>
    </row>
    <row r="12" ht="39" spans="1:15">
      <c r="A12" s="79" t="s">
        <v>262</v>
      </c>
      <c r="B12" s="79" t="s">
        <v>77</v>
      </c>
      <c r="C12" s="79" t="s">
        <v>885</v>
      </c>
      <c r="D12" s="79"/>
      <c r="E12" s="79"/>
      <c r="F12" s="79"/>
      <c r="G12" s="79"/>
      <c r="H12" s="79"/>
      <c r="I12" s="79"/>
      <c r="J12" s="79"/>
      <c r="K12" s="79">
        <f t="shared" si="0"/>
        <v>0</v>
      </c>
      <c r="L12" s="79">
        <f t="shared" si="1"/>
        <v>0</v>
      </c>
      <c r="M12" s="79" t="str">
        <f t="shared" si="2"/>
        <v/>
      </c>
      <c r="N12" s="79" t="str">
        <f t="shared" si="3"/>
        <v/>
      </c>
      <c r="O12" s="79" t="s">
        <v>1059</v>
      </c>
    </row>
    <row r="13" ht="39" spans="1:15">
      <c r="A13" s="79" t="s">
        <v>263</v>
      </c>
      <c r="B13" s="79" t="s">
        <v>77</v>
      </c>
      <c r="C13" s="79" t="s">
        <v>885</v>
      </c>
      <c r="D13" s="79"/>
      <c r="E13" s="79"/>
      <c r="F13" s="79"/>
      <c r="G13" s="79"/>
      <c r="H13" s="79"/>
      <c r="I13" s="79"/>
      <c r="J13" s="79"/>
      <c r="K13" s="79">
        <f t="shared" si="0"/>
        <v>0</v>
      </c>
      <c r="L13" s="79">
        <f t="shared" si="1"/>
        <v>0</v>
      </c>
      <c r="M13" s="79" t="str">
        <f t="shared" si="2"/>
        <v/>
      </c>
      <c r="N13" s="79" t="str">
        <f t="shared" si="3"/>
        <v/>
      </c>
      <c r="O13" s="79" t="s">
        <v>1059</v>
      </c>
    </row>
    <row r="14" ht="39" spans="1:15">
      <c r="A14" s="79" t="s">
        <v>264</v>
      </c>
      <c r="B14" s="79" t="s">
        <v>77</v>
      </c>
      <c r="C14" s="79" t="s">
        <v>885</v>
      </c>
      <c r="D14" s="79"/>
      <c r="E14" s="79"/>
      <c r="F14" s="79"/>
      <c r="G14" s="79"/>
      <c r="H14" s="79"/>
      <c r="I14" s="79"/>
      <c r="J14" s="79"/>
      <c r="K14" s="79">
        <f t="shared" si="0"/>
        <v>0</v>
      </c>
      <c r="L14" s="79">
        <f t="shared" si="1"/>
        <v>0</v>
      </c>
      <c r="M14" s="79" t="str">
        <f t="shared" si="2"/>
        <v/>
      </c>
      <c r="N14" s="79" t="str">
        <f t="shared" si="3"/>
        <v/>
      </c>
      <c r="O14" s="79" t="s">
        <v>1059</v>
      </c>
    </row>
    <row r="15" ht="39" spans="1:15">
      <c r="A15" s="79" t="s">
        <v>265</v>
      </c>
      <c r="B15" s="79" t="s">
        <v>77</v>
      </c>
      <c r="C15" s="79" t="s">
        <v>885</v>
      </c>
      <c r="D15" s="79"/>
      <c r="E15" s="79"/>
      <c r="F15" s="79"/>
      <c r="G15" s="79"/>
      <c r="H15" s="79"/>
      <c r="I15" s="79"/>
      <c r="J15" s="79"/>
      <c r="K15" s="79">
        <f t="shared" si="0"/>
        <v>0</v>
      </c>
      <c r="L15" s="79">
        <f t="shared" si="1"/>
        <v>0</v>
      </c>
      <c r="M15" s="79" t="str">
        <f t="shared" si="2"/>
        <v/>
      </c>
      <c r="N15" s="79" t="str">
        <f t="shared" si="3"/>
        <v/>
      </c>
      <c r="O15" s="79" t="s">
        <v>1059</v>
      </c>
    </row>
    <row r="16" ht="39" spans="1:15">
      <c r="A16" s="79" t="s">
        <v>266</v>
      </c>
      <c r="B16" s="79" t="s">
        <v>77</v>
      </c>
      <c r="C16" s="79" t="s">
        <v>885</v>
      </c>
      <c r="D16" s="79"/>
      <c r="E16" s="79"/>
      <c r="F16" s="79"/>
      <c r="G16" s="79"/>
      <c r="H16" s="79"/>
      <c r="I16" s="79"/>
      <c r="J16" s="79"/>
      <c r="K16" s="79">
        <f t="shared" si="0"/>
        <v>0</v>
      </c>
      <c r="L16" s="79">
        <f t="shared" si="1"/>
        <v>0</v>
      </c>
      <c r="M16" s="79" t="str">
        <f t="shared" si="2"/>
        <v/>
      </c>
      <c r="N16" s="79" t="str">
        <f t="shared" si="3"/>
        <v/>
      </c>
      <c r="O16" s="79" t="s">
        <v>1059</v>
      </c>
    </row>
    <row r="17" ht="39" spans="1:15">
      <c r="A17" s="79" t="s">
        <v>268</v>
      </c>
      <c r="B17" s="79" t="s">
        <v>77</v>
      </c>
      <c r="C17" s="79" t="s">
        <v>885</v>
      </c>
      <c r="D17" s="79"/>
      <c r="E17" s="79"/>
      <c r="F17" s="79"/>
      <c r="G17" s="79"/>
      <c r="H17" s="79"/>
      <c r="I17" s="79"/>
      <c r="J17" s="79"/>
      <c r="K17" s="79">
        <f t="shared" si="0"/>
        <v>0</v>
      </c>
      <c r="L17" s="79">
        <f t="shared" si="1"/>
        <v>0</v>
      </c>
      <c r="M17" s="79" t="str">
        <f t="shared" si="2"/>
        <v/>
      </c>
      <c r="N17" s="79" t="str">
        <f t="shared" si="3"/>
        <v/>
      </c>
      <c r="O17" s="79" t="s">
        <v>1059</v>
      </c>
    </row>
    <row r="18" ht="39" spans="1:15">
      <c r="A18" s="79" t="s">
        <v>269</v>
      </c>
      <c r="B18" s="79" t="s">
        <v>77</v>
      </c>
      <c r="C18" s="79" t="s">
        <v>885</v>
      </c>
      <c r="D18" s="79"/>
      <c r="E18" s="79"/>
      <c r="F18" s="79"/>
      <c r="G18" s="79"/>
      <c r="H18" s="79"/>
      <c r="I18" s="79"/>
      <c r="J18" s="79"/>
      <c r="K18" s="79">
        <f t="shared" si="0"/>
        <v>0</v>
      </c>
      <c r="L18" s="79">
        <f t="shared" si="1"/>
        <v>0</v>
      </c>
      <c r="M18" s="79" t="str">
        <f t="shared" si="2"/>
        <v/>
      </c>
      <c r="N18" s="79" t="str">
        <f t="shared" si="3"/>
        <v/>
      </c>
      <c r="O18" s="79" t="s">
        <v>1059</v>
      </c>
    </row>
    <row r="19" ht="39" spans="1:15">
      <c r="A19" s="79" t="s">
        <v>270</v>
      </c>
      <c r="B19" s="79" t="s">
        <v>77</v>
      </c>
      <c r="C19" s="79" t="s">
        <v>885</v>
      </c>
      <c r="D19" s="79"/>
      <c r="E19" s="79"/>
      <c r="F19" s="79"/>
      <c r="G19" s="79"/>
      <c r="H19" s="79"/>
      <c r="I19" s="79"/>
      <c r="J19" s="79"/>
      <c r="K19" s="79">
        <f t="shared" si="0"/>
        <v>0</v>
      </c>
      <c r="L19" s="79">
        <f t="shared" si="1"/>
        <v>0</v>
      </c>
      <c r="M19" s="79" t="str">
        <f t="shared" si="2"/>
        <v/>
      </c>
      <c r="N19" s="79" t="str">
        <f t="shared" si="3"/>
        <v/>
      </c>
      <c r="O19" s="79" t="s">
        <v>1059</v>
      </c>
    </row>
    <row r="20" ht="39" spans="1:15">
      <c r="A20" s="79" t="s">
        <v>271</v>
      </c>
      <c r="B20" s="79" t="s">
        <v>77</v>
      </c>
      <c r="C20" s="79" t="s">
        <v>885</v>
      </c>
      <c r="D20" s="79"/>
      <c r="E20" s="79"/>
      <c r="F20" s="79"/>
      <c r="G20" s="79"/>
      <c r="H20" s="79"/>
      <c r="I20" s="79"/>
      <c r="J20" s="79"/>
      <c r="K20" s="79">
        <f t="shared" si="0"/>
        <v>0</v>
      </c>
      <c r="L20" s="79">
        <f t="shared" si="1"/>
        <v>0</v>
      </c>
      <c r="M20" s="79" t="str">
        <f t="shared" si="2"/>
        <v/>
      </c>
      <c r="N20" s="79" t="str">
        <f t="shared" si="3"/>
        <v/>
      </c>
      <c r="O20" s="79" t="s">
        <v>1059</v>
      </c>
    </row>
    <row r="21" ht="39" spans="1:15">
      <c r="A21" s="79" t="s">
        <v>272</v>
      </c>
      <c r="B21" s="79" t="s">
        <v>77</v>
      </c>
      <c r="C21" s="79" t="s">
        <v>885</v>
      </c>
      <c r="D21" s="79"/>
      <c r="E21" s="79"/>
      <c r="F21" s="79"/>
      <c r="G21" s="79"/>
      <c r="H21" s="79"/>
      <c r="I21" s="79"/>
      <c r="J21" s="79"/>
      <c r="K21" s="79">
        <f t="shared" si="0"/>
        <v>0</v>
      </c>
      <c r="L21" s="79">
        <f t="shared" si="1"/>
        <v>0</v>
      </c>
      <c r="M21" s="79" t="str">
        <f t="shared" si="2"/>
        <v/>
      </c>
      <c r="N21" s="79" t="str">
        <f t="shared" si="3"/>
        <v/>
      </c>
      <c r="O21" s="79" t="s">
        <v>1059</v>
      </c>
    </row>
    <row r="22" ht="39" spans="1:15">
      <c r="A22" s="79" t="s">
        <v>273</v>
      </c>
      <c r="B22" s="79" t="s">
        <v>77</v>
      </c>
      <c r="C22" s="79" t="s">
        <v>885</v>
      </c>
      <c r="D22" s="79"/>
      <c r="E22" s="79"/>
      <c r="F22" s="79"/>
      <c r="G22" s="79"/>
      <c r="H22" s="79"/>
      <c r="I22" s="79"/>
      <c r="J22" s="79"/>
      <c r="K22" s="79">
        <f t="shared" si="0"/>
        <v>0</v>
      </c>
      <c r="L22" s="79">
        <f t="shared" si="1"/>
        <v>0</v>
      </c>
      <c r="M22" s="79" t="str">
        <f t="shared" si="2"/>
        <v/>
      </c>
      <c r="N22" s="79" t="str">
        <f t="shared" si="3"/>
        <v/>
      </c>
      <c r="O22" s="79" t="s">
        <v>1059</v>
      </c>
    </row>
    <row r="23" ht="39" spans="1:15">
      <c r="A23" s="79" t="s">
        <v>277</v>
      </c>
      <c r="B23" s="79" t="s">
        <v>77</v>
      </c>
      <c r="C23" s="79" t="s">
        <v>885</v>
      </c>
      <c r="D23" s="79"/>
      <c r="E23" s="79"/>
      <c r="F23" s="79"/>
      <c r="G23" s="79"/>
      <c r="H23" s="79"/>
      <c r="I23" s="79"/>
      <c r="J23" s="79"/>
      <c r="K23" s="79">
        <f t="shared" si="0"/>
        <v>0</v>
      </c>
      <c r="L23" s="79">
        <f t="shared" si="1"/>
        <v>0</v>
      </c>
      <c r="M23" s="79" t="str">
        <f t="shared" si="2"/>
        <v/>
      </c>
      <c r="N23" s="79" t="str">
        <f t="shared" si="3"/>
        <v/>
      </c>
      <c r="O23" s="79" t="s">
        <v>1059</v>
      </c>
    </row>
    <row r="24" ht="39" spans="1:15">
      <c r="A24" s="79" t="s">
        <v>279</v>
      </c>
      <c r="B24" s="79" t="s">
        <v>77</v>
      </c>
      <c r="C24" s="79" t="s">
        <v>885</v>
      </c>
      <c r="D24" s="79"/>
      <c r="E24" s="79"/>
      <c r="F24" s="79"/>
      <c r="G24" s="79"/>
      <c r="H24" s="79"/>
      <c r="I24" s="79"/>
      <c r="J24" s="79"/>
      <c r="K24" s="79">
        <f t="shared" si="0"/>
        <v>0</v>
      </c>
      <c r="L24" s="79">
        <f t="shared" si="1"/>
        <v>0</v>
      </c>
      <c r="M24" s="79" t="str">
        <f t="shared" si="2"/>
        <v/>
      </c>
      <c r="N24" s="79" t="str">
        <f t="shared" si="3"/>
        <v/>
      </c>
      <c r="O24" s="79" t="s">
        <v>1059</v>
      </c>
    </row>
    <row r="25" ht="39" spans="1:15">
      <c r="A25" s="79" t="s">
        <v>280</v>
      </c>
      <c r="B25" s="79" t="s">
        <v>77</v>
      </c>
      <c r="C25" s="79" t="s">
        <v>885</v>
      </c>
      <c r="D25" s="79"/>
      <c r="E25" s="79"/>
      <c r="F25" s="79"/>
      <c r="G25" s="79"/>
      <c r="H25" s="79"/>
      <c r="I25" s="79"/>
      <c r="J25" s="79"/>
      <c r="K25" s="79">
        <f t="shared" si="0"/>
        <v>0</v>
      </c>
      <c r="L25" s="79">
        <f t="shared" si="1"/>
        <v>0</v>
      </c>
      <c r="M25" s="79" t="str">
        <f t="shared" si="2"/>
        <v/>
      </c>
      <c r="N25" s="79" t="str">
        <f t="shared" si="3"/>
        <v/>
      </c>
      <c r="O25" s="79" t="s">
        <v>1059</v>
      </c>
    </row>
    <row r="26" ht="39" spans="1:15">
      <c r="A26" s="79" t="s">
        <v>281</v>
      </c>
      <c r="B26" s="79" t="s">
        <v>77</v>
      </c>
      <c r="C26" s="79" t="s">
        <v>885</v>
      </c>
      <c r="D26" s="79"/>
      <c r="E26" s="79"/>
      <c r="F26" s="79"/>
      <c r="G26" s="79"/>
      <c r="H26" s="79"/>
      <c r="I26" s="79"/>
      <c r="J26" s="79"/>
      <c r="K26" s="79">
        <f t="shared" si="0"/>
        <v>0</v>
      </c>
      <c r="L26" s="79">
        <f t="shared" si="1"/>
        <v>0</v>
      </c>
      <c r="M26" s="79" t="str">
        <f t="shared" si="2"/>
        <v/>
      </c>
      <c r="N26" s="79" t="str">
        <f t="shared" si="3"/>
        <v/>
      </c>
      <c r="O26" s="79" t="s">
        <v>1059</v>
      </c>
    </row>
    <row r="27" ht="39" spans="1:15">
      <c r="A27" s="79" t="s">
        <v>282</v>
      </c>
      <c r="B27" s="79" t="s">
        <v>77</v>
      </c>
      <c r="C27" s="79" t="s">
        <v>885</v>
      </c>
      <c r="D27" s="79"/>
      <c r="E27" s="79"/>
      <c r="F27" s="79"/>
      <c r="G27" s="79"/>
      <c r="H27" s="79"/>
      <c r="I27" s="79"/>
      <c r="J27" s="79"/>
      <c r="K27" s="79">
        <f t="shared" si="0"/>
        <v>0</v>
      </c>
      <c r="L27" s="79">
        <f t="shared" si="1"/>
        <v>0</v>
      </c>
      <c r="M27" s="79" t="str">
        <f t="shared" si="2"/>
        <v/>
      </c>
      <c r="N27" s="79" t="str">
        <f t="shared" si="3"/>
        <v/>
      </c>
      <c r="O27" s="79" t="s">
        <v>1059</v>
      </c>
    </row>
    <row r="28" ht="39" spans="1:15">
      <c r="A28" s="79" t="s">
        <v>283</v>
      </c>
      <c r="B28" s="79" t="s">
        <v>77</v>
      </c>
      <c r="C28" s="79" t="s">
        <v>885</v>
      </c>
      <c r="D28" s="79"/>
      <c r="E28" s="79"/>
      <c r="F28" s="79"/>
      <c r="G28" s="79"/>
      <c r="H28" s="79"/>
      <c r="I28" s="79"/>
      <c r="J28" s="79"/>
      <c r="K28" s="79">
        <f t="shared" si="0"/>
        <v>0</v>
      </c>
      <c r="L28" s="79">
        <f t="shared" si="1"/>
        <v>0</v>
      </c>
      <c r="M28" s="79" t="str">
        <f t="shared" si="2"/>
        <v/>
      </c>
      <c r="N28" s="79" t="str">
        <f t="shared" si="3"/>
        <v/>
      </c>
      <c r="O28" s="79" t="s">
        <v>1059</v>
      </c>
    </row>
    <row r="29" ht="39" spans="1:15">
      <c r="A29" s="79" t="s">
        <v>284</v>
      </c>
      <c r="B29" s="79" t="s">
        <v>77</v>
      </c>
      <c r="C29" s="79" t="s">
        <v>885</v>
      </c>
      <c r="D29" s="79"/>
      <c r="E29" s="79"/>
      <c r="F29" s="79"/>
      <c r="G29" s="79"/>
      <c r="H29" s="79"/>
      <c r="I29" s="79"/>
      <c r="J29" s="79"/>
      <c r="K29" s="79">
        <f t="shared" si="0"/>
        <v>0</v>
      </c>
      <c r="L29" s="79">
        <f t="shared" si="1"/>
        <v>0</v>
      </c>
      <c r="M29" s="79" t="str">
        <f t="shared" si="2"/>
        <v/>
      </c>
      <c r="N29" s="79" t="str">
        <f t="shared" si="3"/>
        <v/>
      </c>
      <c r="O29" s="79" t="s">
        <v>1059</v>
      </c>
    </row>
    <row r="30" ht="39" spans="1:15">
      <c r="A30" s="79" t="s">
        <v>287</v>
      </c>
      <c r="B30" s="79" t="s">
        <v>77</v>
      </c>
      <c r="C30" s="79" t="s">
        <v>885</v>
      </c>
      <c r="D30" s="79"/>
      <c r="E30" s="79"/>
      <c r="F30" s="79"/>
      <c r="G30" s="79"/>
      <c r="H30" s="79"/>
      <c r="I30" s="79"/>
      <c r="J30" s="79"/>
      <c r="K30" s="79">
        <f t="shared" si="0"/>
        <v>0</v>
      </c>
      <c r="L30" s="79">
        <f t="shared" si="1"/>
        <v>0</v>
      </c>
      <c r="M30" s="79" t="str">
        <f t="shared" si="2"/>
        <v/>
      </c>
      <c r="N30" s="79" t="str">
        <f t="shared" si="3"/>
        <v/>
      </c>
      <c r="O30" s="79" t="s">
        <v>1059</v>
      </c>
    </row>
    <row r="31" ht="39" spans="1:15">
      <c r="A31" s="79" t="s">
        <v>288</v>
      </c>
      <c r="B31" s="79" t="s">
        <v>77</v>
      </c>
      <c r="C31" s="79" t="s">
        <v>885</v>
      </c>
      <c r="D31" s="79"/>
      <c r="E31" s="79"/>
      <c r="F31" s="79"/>
      <c r="G31" s="79"/>
      <c r="H31" s="79"/>
      <c r="I31" s="79"/>
      <c r="J31" s="79"/>
      <c r="K31" s="79">
        <f t="shared" si="0"/>
        <v>0</v>
      </c>
      <c r="L31" s="79">
        <f t="shared" si="1"/>
        <v>0</v>
      </c>
      <c r="M31" s="79" t="str">
        <f t="shared" si="2"/>
        <v/>
      </c>
      <c r="N31" s="79" t="str">
        <f t="shared" si="3"/>
        <v/>
      </c>
      <c r="O31" s="79" t="s">
        <v>1059</v>
      </c>
    </row>
    <row r="32" ht="39" spans="1:15">
      <c r="A32" s="79" t="s">
        <v>289</v>
      </c>
      <c r="B32" s="79" t="s">
        <v>77</v>
      </c>
      <c r="C32" s="79" t="s">
        <v>885</v>
      </c>
      <c r="D32" s="79"/>
      <c r="E32" s="79"/>
      <c r="F32" s="79"/>
      <c r="G32" s="79"/>
      <c r="H32" s="79"/>
      <c r="I32" s="79"/>
      <c r="J32" s="79"/>
      <c r="K32" s="79">
        <f t="shared" si="0"/>
        <v>0</v>
      </c>
      <c r="L32" s="79">
        <f t="shared" si="1"/>
        <v>0</v>
      </c>
      <c r="M32" s="79" t="str">
        <f t="shared" si="2"/>
        <v/>
      </c>
      <c r="N32" s="79" t="str">
        <f t="shared" si="3"/>
        <v/>
      </c>
      <c r="O32" s="79" t="s">
        <v>1059</v>
      </c>
    </row>
    <row r="33" ht="39" spans="1:15">
      <c r="A33" s="79" t="s">
        <v>290</v>
      </c>
      <c r="B33" s="79" t="s">
        <v>77</v>
      </c>
      <c r="C33" s="79" t="s">
        <v>885</v>
      </c>
      <c r="D33" s="79"/>
      <c r="E33" s="79"/>
      <c r="F33" s="79"/>
      <c r="G33" s="79"/>
      <c r="H33" s="79"/>
      <c r="I33" s="79"/>
      <c r="J33" s="79"/>
      <c r="K33" s="79">
        <f t="shared" si="0"/>
        <v>0</v>
      </c>
      <c r="L33" s="79">
        <f t="shared" si="1"/>
        <v>0</v>
      </c>
      <c r="M33" s="79" t="str">
        <f t="shared" si="2"/>
        <v/>
      </c>
      <c r="N33" s="79" t="str">
        <f t="shared" si="3"/>
        <v/>
      </c>
      <c r="O33" s="79" t="s">
        <v>1059</v>
      </c>
    </row>
    <row r="34" ht="39" spans="1:15">
      <c r="A34" s="79" t="s">
        <v>292</v>
      </c>
      <c r="B34" s="79" t="s">
        <v>77</v>
      </c>
      <c r="C34" s="79" t="s">
        <v>885</v>
      </c>
      <c r="D34" s="79"/>
      <c r="E34" s="79"/>
      <c r="F34" s="79"/>
      <c r="G34" s="79"/>
      <c r="H34" s="79"/>
      <c r="I34" s="79"/>
      <c r="J34" s="79"/>
      <c r="K34" s="79">
        <f t="shared" si="0"/>
        <v>0</v>
      </c>
      <c r="L34" s="79">
        <f t="shared" si="1"/>
        <v>0</v>
      </c>
      <c r="M34" s="79" t="str">
        <f t="shared" si="2"/>
        <v/>
      </c>
      <c r="N34" s="79" t="str">
        <f t="shared" si="3"/>
        <v/>
      </c>
      <c r="O34" s="79" t="s">
        <v>1059</v>
      </c>
    </row>
    <row r="35" ht="39" spans="1:15">
      <c r="A35" s="79" t="s">
        <v>293</v>
      </c>
      <c r="B35" s="79" t="s">
        <v>77</v>
      </c>
      <c r="C35" s="79" t="s">
        <v>885</v>
      </c>
      <c r="D35" s="79"/>
      <c r="E35" s="79"/>
      <c r="F35" s="79"/>
      <c r="G35" s="79"/>
      <c r="H35" s="79"/>
      <c r="I35" s="79"/>
      <c r="J35" s="79"/>
      <c r="K35" s="79">
        <f t="shared" si="0"/>
        <v>0</v>
      </c>
      <c r="L35" s="79">
        <f t="shared" si="1"/>
        <v>0</v>
      </c>
      <c r="M35" s="79" t="str">
        <f t="shared" si="2"/>
        <v/>
      </c>
      <c r="N35" s="79" t="str">
        <f t="shared" si="3"/>
        <v/>
      </c>
      <c r="O35" s="79" t="s">
        <v>1059</v>
      </c>
    </row>
    <row r="36" ht="39" spans="1:15">
      <c r="A36" s="79" t="s">
        <v>294</v>
      </c>
      <c r="B36" s="79" t="s">
        <v>77</v>
      </c>
      <c r="C36" s="79" t="s">
        <v>885</v>
      </c>
      <c r="D36" s="79"/>
      <c r="E36" s="79"/>
      <c r="F36" s="79"/>
      <c r="G36" s="79"/>
      <c r="H36" s="79"/>
      <c r="I36" s="79"/>
      <c r="J36" s="79"/>
      <c r="K36" s="79">
        <f t="shared" si="0"/>
        <v>0</v>
      </c>
      <c r="L36" s="79">
        <f t="shared" si="1"/>
        <v>0</v>
      </c>
      <c r="M36" s="79" t="str">
        <f t="shared" si="2"/>
        <v/>
      </c>
      <c r="N36" s="79" t="str">
        <f t="shared" si="3"/>
        <v/>
      </c>
      <c r="O36" s="79" t="s">
        <v>1059</v>
      </c>
    </row>
    <row r="37" ht="39" spans="1:15">
      <c r="A37" s="79" t="s">
        <v>295</v>
      </c>
      <c r="B37" s="79" t="s">
        <v>77</v>
      </c>
      <c r="C37" s="79" t="s">
        <v>885</v>
      </c>
      <c r="D37" s="79"/>
      <c r="E37" s="79"/>
      <c r="F37" s="79"/>
      <c r="G37" s="79"/>
      <c r="H37" s="79"/>
      <c r="I37" s="79"/>
      <c r="J37" s="79"/>
      <c r="K37" s="79">
        <f t="shared" si="0"/>
        <v>0</v>
      </c>
      <c r="L37" s="79">
        <f t="shared" si="1"/>
        <v>0</v>
      </c>
      <c r="M37" s="79" t="str">
        <f t="shared" si="2"/>
        <v/>
      </c>
      <c r="N37" s="79" t="str">
        <f t="shared" si="3"/>
        <v/>
      </c>
      <c r="O37" s="79" t="s">
        <v>1059</v>
      </c>
    </row>
    <row r="38" ht="39" spans="1:15">
      <c r="A38" s="79" t="s">
        <v>296</v>
      </c>
      <c r="B38" s="79" t="s">
        <v>77</v>
      </c>
      <c r="C38" s="79" t="s">
        <v>885</v>
      </c>
      <c r="D38" s="79"/>
      <c r="E38" s="79"/>
      <c r="F38" s="79"/>
      <c r="G38" s="79"/>
      <c r="H38" s="79"/>
      <c r="I38" s="79"/>
      <c r="J38" s="79"/>
      <c r="K38" s="79">
        <f t="shared" si="0"/>
        <v>0</v>
      </c>
      <c r="L38" s="79">
        <f t="shared" si="1"/>
        <v>0</v>
      </c>
      <c r="M38" s="79" t="str">
        <f t="shared" si="2"/>
        <v/>
      </c>
      <c r="N38" s="79" t="str">
        <f t="shared" si="3"/>
        <v/>
      </c>
      <c r="O38" s="79" t="s">
        <v>1059</v>
      </c>
    </row>
    <row r="39" ht="39" spans="1:15">
      <c r="A39" s="79" t="s">
        <v>299</v>
      </c>
      <c r="B39" s="79" t="s">
        <v>77</v>
      </c>
      <c r="C39" s="79" t="s">
        <v>885</v>
      </c>
      <c r="D39" s="79"/>
      <c r="E39" s="79"/>
      <c r="F39" s="79"/>
      <c r="G39" s="79"/>
      <c r="H39" s="79"/>
      <c r="I39" s="79"/>
      <c r="J39" s="79"/>
      <c r="K39" s="79">
        <f t="shared" si="0"/>
        <v>0</v>
      </c>
      <c r="L39" s="79">
        <f t="shared" si="1"/>
        <v>0</v>
      </c>
      <c r="M39" s="79" t="str">
        <f t="shared" si="2"/>
        <v/>
      </c>
      <c r="N39" s="79" t="str">
        <f t="shared" si="3"/>
        <v/>
      </c>
      <c r="O39" s="79" t="s">
        <v>1059</v>
      </c>
    </row>
    <row r="40" ht="39" spans="1:15">
      <c r="A40" s="79" t="s">
        <v>300</v>
      </c>
      <c r="B40" s="79" t="s">
        <v>77</v>
      </c>
      <c r="C40" s="79" t="s">
        <v>885</v>
      </c>
      <c r="D40" s="79"/>
      <c r="E40" s="79"/>
      <c r="F40" s="79"/>
      <c r="G40" s="79"/>
      <c r="H40" s="79"/>
      <c r="I40" s="79"/>
      <c r="J40" s="79"/>
      <c r="K40" s="79">
        <f t="shared" si="0"/>
        <v>0</v>
      </c>
      <c r="L40" s="79">
        <f t="shared" si="1"/>
        <v>0</v>
      </c>
      <c r="M40" s="79" t="str">
        <f t="shared" si="2"/>
        <v/>
      </c>
      <c r="N40" s="79" t="str">
        <f t="shared" si="3"/>
        <v/>
      </c>
      <c r="O40" s="79" t="s">
        <v>1059</v>
      </c>
    </row>
    <row r="41" ht="39" spans="1:15">
      <c r="A41" s="79" t="s">
        <v>301</v>
      </c>
      <c r="B41" s="79" t="s">
        <v>77</v>
      </c>
      <c r="C41" s="79" t="s">
        <v>885</v>
      </c>
      <c r="D41" s="79"/>
      <c r="E41" s="79"/>
      <c r="F41" s="79"/>
      <c r="G41" s="79"/>
      <c r="H41" s="79"/>
      <c r="I41" s="79"/>
      <c r="J41" s="79"/>
      <c r="K41" s="79">
        <f t="shared" si="0"/>
        <v>0</v>
      </c>
      <c r="L41" s="79">
        <f t="shared" si="1"/>
        <v>0</v>
      </c>
      <c r="M41" s="79" t="str">
        <f t="shared" si="2"/>
        <v/>
      </c>
      <c r="N41" s="79" t="str">
        <f t="shared" si="3"/>
        <v/>
      </c>
      <c r="O41" s="79" t="s">
        <v>1059</v>
      </c>
    </row>
    <row r="42" ht="39" spans="1:15">
      <c r="A42" s="79" t="s">
        <v>302</v>
      </c>
      <c r="B42" s="79" t="s">
        <v>77</v>
      </c>
      <c r="C42" s="79" t="s">
        <v>885</v>
      </c>
      <c r="D42" s="79"/>
      <c r="E42" s="79"/>
      <c r="F42" s="79"/>
      <c r="G42" s="79"/>
      <c r="H42" s="79"/>
      <c r="I42" s="79"/>
      <c r="J42" s="79"/>
      <c r="K42" s="79">
        <f t="shared" si="0"/>
        <v>0</v>
      </c>
      <c r="L42" s="79">
        <f t="shared" si="1"/>
        <v>0</v>
      </c>
      <c r="M42" s="79" t="str">
        <f t="shared" si="2"/>
        <v/>
      </c>
      <c r="N42" s="79" t="str">
        <f t="shared" si="3"/>
        <v/>
      </c>
      <c r="O42" s="79" t="s">
        <v>1059</v>
      </c>
    </row>
    <row r="43" ht="39" spans="1:15">
      <c r="A43" s="79" t="s">
        <v>303</v>
      </c>
      <c r="B43" s="79" t="s">
        <v>77</v>
      </c>
      <c r="C43" s="79" t="s">
        <v>885</v>
      </c>
      <c r="D43" s="79"/>
      <c r="E43" s="79"/>
      <c r="F43" s="79"/>
      <c r="G43" s="79"/>
      <c r="H43" s="79"/>
      <c r="I43" s="79"/>
      <c r="J43" s="79"/>
      <c r="K43" s="79">
        <f t="shared" si="0"/>
        <v>0</v>
      </c>
      <c r="L43" s="79">
        <f t="shared" si="1"/>
        <v>0</v>
      </c>
      <c r="M43" s="79" t="str">
        <f t="shared" si="2"/>
        <v/>
      </c>
      <c r="N43" s="79" t="str">
        <f t="shared" si="3"/>
        <v/>
      </c>
      <c r="O43" s="79" t="s">
        <v>1059</v>
      </c>
    </row>
    <row r="44" ht="39" spans="1:15">
      <c r="A44" s="79" t="s">
        <v>304</v>
      </c>
      <c r="B44" s="79" t="s">
        <v>77</v>
      </c>
      <c r="C44" s="79" t="s">
        <v>883</v>
      </c>
      <c r="D44" s="79"/>
      <c r="E44" s="79"/>
      <c r="F44" s="79"/>
      <c r="G44" s="79"/>
      <c r="H44" s="79"/>
      <c r="I44" s="79"/>
      <c r="J44" s="79"/>
      <c r="K44" s="79">
        <f t="shared" si="0"/>
        <v>0</v>
      </c>
      <c r="L44" s="79">
        <f t="shared" si="1"/>
        <v>0</v>
      </c>
      <c r="M44" s="79" t="str">
        <f t="shared" si="2"/>
        <v/>
      </c>
      <c r="N44" s="79" t="str">
        <f t="shared" si="3"/>
        <v/>
      </c>
      <c r="O44" s="79" t="s">
        <v>1059</v>
      </c>
    </row>
    <row r="45" ht="39" spans="1:15">
      <c r="A45" s="79" t="s">
        <v>306</v>
      </c>
      <c r="B45" s="79" t="s">
        <v>77</v>
      </c>
      <c r="C45" s="79" t="s">
        <v>883</v>
      </c>
      <c r="D45" s="79"/>
      <c r="E45" s="79"/>
      <c r="F45" s="79"/>
      <c r="G45" s="79"/>
      <c r="H45" s="79"/>
      <c r="I45" s="79"/>
      <c r="J45" s="79"/>
      <c r="K45" s="79">
        <f t="shared" si="0"/>
        <v>0</v>
      </c>
      <c r="L45" s="79">
        <f t="shared" si="1"/>
        <v>0</v>
      </c>
      <c r="M45" s="79" t="str">
        <f t="shared" si="2"/>
        <v/>
      </c>
      <c r="N45" s="79" t="str">
        <f t="shared" si="3"/>
        <v/>
      </c>
      <c r="O45" s="79" t="s">
        <v>1059</v>
      </c>
    </row>
    <row r="46" ht="39" spans="1:15">
      <c r="A46" s="79" t="s">
        <v>307</v>
      </c>
      <c r="B46" s="79" t="s">
        <v>77</v>
      </c>
      <c r="C46" s="79" t="s">
        <v>883</v>
      </c>
      <c r="D46" s="79"/>
      <c r="E46" s="79"/>
      <c r="F46" s="79"/>
      <c r="G46" s="79"/>
      <c r="H46" s="79"/>
      <c r="I46" s="79"/>
      <c r="J46" s="79"/>
      <c r="K46" s="79">
        <f t="shared" si="0"/>
        <v>0</v>
      </c>
      <c r="L46" s="79">
        <f t="shared" si="1"/>
        <v>0</v>
      </c>
      <c r="M46" s="79" t="str">
        <f t="shared" si="2"/>
        <v/>
      </c>
      <c r="N46" s="79" t="str">
        <f t="shared" si="3"/>
        <v/>
      </c>
      <c r="O46" s="79" t="s">
        <v>1059</v>
      </c>
    </row>
    <row r="47" ht="39" spans="1:15">
      <c r="A47" s="79" t="s">
        <v>308</v>
      </c>
      <c r="B47" s="79" t="s">
        <v>77</v>
      </c>
      <c r="C47" s="79" t="s">
        <v>883</v>
      </c>
      <c r="D47" s="79"/>
      <c r="E47" s="79"/>
      <c r="F47" s="79"/>
      <c r="G47" s="79"/>
      <c r="H47" s="79"/>
      <c r="I47" s="79"/>
      <c r="J47" s="79"/>
      <c r="K47" s="79">
        <f t="shared" si="0"/>
        <v>0</v>
      </c>
      <c r="L47" s="79">
        <f t="shared" si="1"/>
        <v>0</v>
      </c>
      <c r="M47" s="79" t="str">
        <f t="shared" si="2"/>
        <v/>
      </c>
      <c r="N47" s="79" t="str">
        <f t="shared" si="3"/>
        <v/>
      </c>
      <c r="O47" s="79" t="s">
        <v>1059</v>
      </c>
    </row>
    <row r="48" ht="39" spans="1:15">
      <c r="A48" s="79" t="s">
        <v>309</v>
      </c>
      <c r="B48" s="79" t="s">
        <v>77</v>
      </c>
      <c r="C48" s="79" t="s">
        <v>883</v>
      </c>
      <c r="D48" s="79"/>
      <c r="E48" s="79"/>
      <c r="F48" s="79"/>
      <c r="G48" s="79"/>
      <c r="H48" s="79"/>
      <c r="I48" s="79"/>
      <c r="J48" s="79"/>
      <c r="K48" s="79">
        <f t="shared" si="0"/>
        <v>0</v>
      </c>
      <c r="L48" s="79">
        <f t="shared" si="1"/>
        <v>0</v>
      </c>
      <c r="M48" s="79" t="str">
        <f t="shared" si="2"/>
        <v/>
      </c>
      <c r="N48" s="79" t="str">
        <f t="shared" si="3"/>
        <v/>
      </c>
      <c r="O48" s="79" t="s">
        <v>1059</v>
      </c>
    </row>
    <row r="49" ht="39" spans="1:15">
      <c r="A49" s="79" t="s">
        <v>310</v>
      </c>
      <c r="B49" s="79" t="s">
        <v>77</v>
      </c>
      <c r="C49" s="79" t="s">
        <v>883</v>
      </c>
      <c r="D49" s="79"/>
      <c r="E49" s="79"/>
      <c r="F49" s="79"/>
      <c r="G49" s="79"/>
      <c r="H49" s="79"/>
      <c r="I49" s="79"/>
      <c r="J49" s="79"/>
      <c r="K49" s="79">
        <f t="shared" si="0"/>
        <v>0</v>
      </c>
      <c r="L49" s="79">
        <f t="shared" si="1"/>
        <v>0</v>
      </c>
      <c r="M49" s="79" t="str">
        <f t="shared" si="2"/>
        <v/>
      </c>
      <c r="N49" s="79" t="str">
        <f t="shared" si="3"/>
        <v/>
      </c>
      <c r="O49" s="79" t="s">
        <v>1059</v>
      </c>
    </row>
    <row r="50" ht="39" spans="1:15">
      <c r="A50" s="79" t="s">
        <v>311</v>
      </c>
      <c r="B50" s="79" t="s">
        <v>77</v>
      </c>
      <c r="C50" s="79" t="s">
        <v>883</v>
      </c>
      <c r="D50" s="79"/>
      <c r="E50" s="79"/>
      <c r="F50" s="79"/>
      <c r="G50" s="79"/>
      <c r="H50" s="79"/>
      <c r="I50" s="79"/>
      <c r="J50" s="79"/>
      <c r="K50" s="79">
        <f t="shared" si="0"/>
        <v>0</v>
      </c>
      <c r="L50" s="79">
        <f t="shared" si="1"/>
        <v>0</v>
      </c>
      <c r="M50" s="79" t="str">
        <f t="shared" si="2"/>
        <v/>
      </c>
      <c r="N50" s="79" t="str">
        <f t="shared" si="3"/>
        <v/>
      </c>
      <c r="O50" s="79" t="s">
        <v>1059</v>
      </c>
    </row>
    <row r="51" ht="39" spans="1:15">
      <c r="A51" s="79" t="s">
        <v>313</v>
      </c>
      <c r="B51" s="79" t="s">
        <v>77</v>
      </c>
      <c r="C51" s="79" t="s">
        <v>883</v>
      </c>
      <c r="D51" s="79"/>
      <c r="E51" s="79"/>
      <c r="F51" s="79"/>
      <c r="G51" s="79"/>
      <c r="H51" s="79"/>
      <c r="I51" s="79"/>
      <c r="J51" s="79"/>
      <c r="K51" s="79">
        <f t="shared" si="0"/>
        <v>0</v>
      </c>
      <c r="L51" s="79">
        <f t="shared" si="1"/>
        <v>0</v>
      </c>
      <c r="M51" s="79" t="str">
        <f t="shared" si="2"/>
        <v/>
      </c>
      <c r="N51" s="79" t="str">
        <f t="shared" si="3"/>
        <v/>
      </c>
      <c r="O51" s="79" t="s">
        <v>1059</v>
      </c>
    </row>
    <row r="52" ht="39" spans="1:15">
      <c r="A52" s="79" t="s">
        <v>314</v>
      </c>
      <c r="B52" s="79" t="s">
        <v>77</v>
      </c>
      <c r="C52" s="79" t="s">
        <v>883</v>
      </c>
      <c r="D52" s="79"/>
      <c r="E52" s="79"/>
      <c r="F52" s="79"/>
      <c r="G52" s="79"/>
      <c r="H52" s="79"/>
      <c r="I52" s="79"/>
      <c r="J52" s="79"/>
      <c r="K52" s="79">
        <f t="shared" si="0"/>
        <v>0</v>
      </c>
      <c r="L52" s="79">
        <f t="shared" si="1"/>
        <v>0</v>
      </c>
      <c r="M52" s="79" t="str">
        <f t="shared" si="2"/>
        <v/>
      </c>
      <c r="N52" s="79" t="str">
        <f t="shared" si="3"/>
        <v/>
      </c>
      <c r="O52" s="79" t="s">
        <v>1059</v>
      </c>
    </row>
    <row r="53" ht="39" spans="1:15">
      <c r="A53" s="79" t="s">
        <v>315</v>
      </c>
      <c r="B53" s="79" t="s">
        <v>77</v>
      </c>
      <c r="C53" s="79" t="s">
        <v>883</v>
      </c>
      <c r="D53" s="79"/>
      <c r="E53" s="79"/>
      <c r="F53" s="79"/>
      <c r="G53" s="79"/>
      <c r="H53" s="79"/>
      <c r="I53" s="79"/>
      <c r="J53" s="79"/>
      <c r="K53" s="79">
        <f t="shared" si="0"/>
        <v>0</v>
      </c>
      <c r="L53" s="79">
        <f t="shared" si="1"/>
        <v>0</v>
      </c>
      <c r="M53" s="79" t="str">
        <f t="shared" si="2"/>
        <v/>
      </c>
      <c r="N53" s="79" t="str">
        <f t="shared" si="3"/>
        <v/>
      </c>
      <c r="O53" s="79" t="s">
        <v>1059</v>
      </c>
    </row>
    <row r="54" ht="39" spans="1:15">
      <c r="A54" s="79" t="s">
        <v>316</v>
      </c>
      <c r="B54" s="79" t="s">
        <v>77</v>
      </c>
      <c r="C54" s="79" t="s">
        <v>883</v>
      </c>
      <c r="D54" s="79"/>
      <c r="E54" s="79"/>
      <c r="F54" s="79"/>
      <c r="G54" s="79"/>
      <c r="H54" s="79"/>
      <c r="I54" s="79"/>
      <c r="J54" s="79"/>
      <c r="K54" s="79">
        <f t="shared" si="0"/>
        <v>0</v>
      </c>
      <c r="L54" s="79">
        <f t="shared" si="1"/>
        <v>0</v>
      </c>
      <c r="M54" s="79" t="str">
        <f t="shared" si="2"/>
        <v/>
      </c>
      <c r="N54" s="79" t="str">
        <f t="shared" si="3"/>
        <v/>
      </c>
      <c r="O54" s="79" t="s">
        <v>1059</v>
      </c>
    </row>
    <row r="55" ht="39" spans="1:15">
      <c r="A55" s="79" t="s">
        <v>317</v>
      </c>
      <c r="B55" s="79" t="s">
        <v>77</v>
      </c>
      <c r="C55" s="79" t="s">
        <v>885</v>
      </c>
      <c r="D55" s="79"/>
      <c r="E55" s="79"/>
      <c r="F55" s="79"/>
      <c r="G55" s="79"/>
      <c r="H55" s="79"/>
      <c r="I55" s="79"/>
      <c r="J55" s="79"/>
      <c r="K55" s="79">
        <f t="shared" si="0"/>
        <v>0</v>
      </c>
      <c r="L55" s="79">
        <f t="shared" si="1"/>
        <v>0</v>
      </c>
      <c r="M55" s="79" t="str">
        <f t="shared" si="2"/>
        <v/>
      </c>
      <c r="N55" s="79" t="str">
        <f t="shared" si="3"/>
        <v/>
      </c>
      <c r="O55" s="79" t="s">
        <v>1059</v>
      </c>
    </row>
    <row r="56" ht="39" spans="1:15">
      <c r="A56" s="79" t="s">
        <v>320</v>
      </c>
      <c r="B56" s="79" t="s">
        <v>77</v>
      </c>
      <c r="C56" s="79" t="s">
        <v>885</v>
      </c>
      <c r="D56" s="79"/>
      <c r="E56" s="79"/>
      <c r="F56" s="79"/>
      <c r="G56" s="79"/>
      <c r="H56" s="79"/>
      <c r="I56" s="79"/>
      <c r="J56" s="79"/>
      <c r="K56" s="79">
        <f t="shared" si="0"/>
        <v>0</v>
      </c>
      <c r="L56" s="79">
        <f t="shared" si="1"/>
        <v>0</v>
      </c>
      <c r="M56" s="79" t="str">
        <f t="shared" si="2"/>
        <v/>
      </c>
      <c r="N56" s="79" t="str">
        <f t="shared" si="3"/>
        <v/>
      </c>
      <c r="O56" s="79" t="s">
        <v>1059</v>
      </c>
    </row>
    <row r="57" ht="39" spans="1:15">
      <c r="A57" s="79" t="s">
        <v>321</v>
      </c>
      <c r="B57" s="79" t="s">
        <v>77</v>
      </c>
      <c r="C57" s="79" t="s">
        <v>885</v>
      </c>
      <c r="D57" s="79"/>
      <c r="E57" s="79"/>
      <c r="F57" s="79"/>
      <c r="G57" s="79"/>
      <c r="H57" s="79"/>
      <c r="I57" s="79"/>
      <c r="J57" s="79"/>
      <c r="K57" s="79">
        <f t="shared" si="0"/>
        <v>0</v>
      </c>
      <c r="L57" s="79">
        <f t="shared" si="1"/>
        <v>0</v>
      </c>
      <c r="M57" s="79" t="str">
        <f t="shared" si="2"/>
        <v/>
      </c>
      <c r="N57" s="79" t="str">
        <f t="shared" si="3"/>
        <v/>
      </c>
      <c r="O57" s="79" t="s">
        <v>1059</v>
      </c>
    </row>
    <row r="58" ht="39" spans="1:15">
      <c r="A58" s="79" t="s">
        <v>322</v>
      </c>
      <c r="B58" s="79" t="s">
        <v>77</v>
      </c>
      <c r="C58" s="79" t="s">
        <v>885</v>
      </c>
      <c r="D58" s="79"/>
      <c r="E58" s="79"/>
      <c r="F58" s="79"/>
      <c r="G58" s="79"/>
      <c r="H58" s="79"/>
      <c r="I58" s="79"/>
      <c r="J58" s="79"/>
      <c r="K58" s="79">
        <f t="shared" si="0"/>
        <v>0</v>
      </c>
      <c r="L58" s="79">
        <f t="shared" si="1"/>
        <v>0</v>
      </c>
      <c r="M58" s="79" t="str">
        <f t="shared" si="2"/>
        <v/>
      </c>
      <c r="N58" s="79" t="str">
        <f t="shared" si="3"/>
        <v/>
      </c>
      <c r="O58" s="79" t="s">
        <v>1059</v>
      </c>
    </row>
    <row r="59" ht="39" spans="1:15">
      <c r="A59" s="79" t="s">
        <v>323</v>
      </c>
      <c r="B59" s="79" t="s">
        <v>77</v>
      </c>
      <c r="C59" s="79" t="s">
        <v>885</v>
      </c>
      <c r="D59" s="79"/>
      <c r="E59" s="79"/>
      <c r="F59" s="79"/>
      <c r="G59" s="79"/>
      <c r="H59" s="79"/>
      <c r="I59" s="79"/>
      <c r="J59" s="79"/>
      <c r="K59" s="79">
        <f t="shared" si="0"/>
        <v>0</v>
      </c>
      <c r="L59" s="79">
        <f t="shared" si="1"/>
        <v>0</v>
      </c>
      <c r="M59" s="79" t="str">
        <f t="shared" si="2"/>
        <v/>
      </c>
      <c r="N59" s="79" t="str">
        <f t="shared" si="3"/>
        <v/>
      </c>
      <c r="O59" s="79" t="s">
        <v>1059</v>
      </c>
    </row>
    <row r="60" ht="39" spans="1:15">
      <c r="A60" s="79" t="s">
        <v>324</v>
      </c>
      <c r="B60" s="79" t="s">
        <v>77</v>
      </c>
      <c r="C60" s="79" t="s">
        <v>885</v>
      </c>
      <c r="D60" s="79"/>
      <c r="E60" s="79"/>
      <c r="F60" s="79"/>
      <c r="G60" s="79"/>
      <c r="H60" s="79"/>
      <c r="I60" s="79"/>
      <c r="J60" s="79"/>
      <c r="K60" s="79">
        <f t="shared" si="0"/>
        <v>0</v>
      </c>
      <c r="L60" s="79">
        <f t="shared" si="1"/>
        <v>0</v>
      </c>
      <c r="M60" s="79" t="str">
        <f t="shared" si="2"/>
        <v/>
      </c>
      <c r="N60" s="79" t="str">
        <f t="shared" si="3"/>
        <v/>
      </c>
      <c r="O60" s="79" t="s">
        <v>1059</v>
      </c>
    </row>
    <row r="61" ht="39" spans="1:15">
      <c r="A61" s="79" t="s">
        <v>326</v>
      </c>
      <c r="B61" s="79" t="s">
        <v>77</v>
      </c>
      <c r="C61" s="79" t="s">
        <v>885</v>
      </c>
      <c r="D61" s="79"/>
      <c r="E61" s="79"/>
      <c r="F61" s="79"/>
      <c r="G61" s="79"/>
      <c r="H61" s="79"/>
      <c r="I61" s="79"/>
      <c r="J61" s="79"/>
      <c r="K61" s="79">
        <f t="shared" si="0"/>
        <v>0</v>
      </c>
      <c r="L61" s="79">
        <f t="shared" si="1"/>
        <v>0</v>
      </c>
      <c r="M61" s="79" t="str">
        <f t="shared" si="2"/>
        <v/>
      </c>
      <c r="N61" s="79" t="str">
        <f t="shared" si="3"/>
        <v/>
      </c>
      <c r="O61" s="79" t="s">
        <v>1059</v>
      </c>
    </row>
    <row r="62" ht="39" spans="1:15">
      <c r="A62" s="79" t="s">
        <v>327</v>
      </c>
      <c r="B62" s="79" t="s">
        <v>77</v>
      </c>
      <c r="C62" s="79" t="s">
        <v>885</v>
      </c>
      <c r="D62" s="79"/>
      <c r="E62" s="79"/>
      <c r="F62" s="79"/>
      <c r="G62" s="79"/>
      <c r="H62" s="79"/>
      <c r="I62" s="79"/>
      <c r="J62" s="79"/>
      <c r="K62" s="79">
        <f t="shared" si="0"/>
        <v>0</v>
      </c>
      <c r="L62" s="79">
        <f t="shared" si="1"/>
        <v>0</v>
      </c>
      <c r="M62" s="79" t="str">
        <f t="shared" si="2"/>
        <v/>
      </c>
      <c r="N62" s="79" t="str">
        <f t="shared" si="3"/>
        <v/>
      </c>
      <c r="O62" s="79" t="s">
        <v>1059</v>
      </c>
    </row>
    <row r="63" ht="39" spans="1:15">
      <c r="A63" s="79" t="s">
        <v>328</v>
      </c>
      <c r="B63" s="79" t="s">
        <v>77</v>
      </c>
      <c r="C63" s="79" t="s">
        <v>885</v>
      </c>
      <c r="D63" s="79"/>
      <c r="E63" s="79"/>
      <c r="F63" s="79"/>
      <c r="G63" s="79"/>
      <c r="H63" s="79"/>
      <c r="I63" s="79"/>
      <c r="J63" s="79"/>
      <c r="K63" s="79">
        <f t="shared" si="0"/>
        <v>0</v>
      </c>
      <c r="L63" s="79">
        <f t="shared" si="1"/>
        <v>0</v>
      </c>
      <c r="M63" s="79" t="str">
        <f t="shared" si="2"/>
        <v/>
      </c>
      <c r="N63" s="79" t="str">
        <f t="shared" si="3"/>
        <v/>
      </c>
      <c r="O63" s="79" t="s">
        <v>1059</v>
      </c>
    </row>
    <row r="64" ht="39" spans="1:15">
      <c r="A64" s="79" t="s">
        <v>329</v>
      </c>
      <c r="B64" s="79" t="s">
        <v>77</v>
      </c>
      <c r="C64" s="79" t="s">
        <v>885</v>
      </c>
      <c r="D64" s="79"/>
      <c r="E64" s="79"/>
      <c r="F64" s="79"/>
      <c r="G64" s="79"/>
      <c r="H64" s="79"/>
      <c r="I64" s="79"/>
      <c r="J64" s="79"/>
      <c r="K64" s="79">
        <f t="shared" si="0"/>
        <v>0</v>
      </c>
      <c r="L64" s="79">
        <f t="shared" si="1"/>
        <v>0</v>
      </c>
      <c r="M64" s="79" t="str">
        <f t="shared" si="2"/>
        <v/>
      </c>
      <c r="N64" s="79" t="str">
        <f t="shared" si="3"/>
        <v/>
      </c>
      <c r="O64" s="79" t="s">
        <v>1059</v>
      </c>
    </row>
    <row r="65" ht="39" spans="1:15">
      <c r="A65" s="79" t="s">
        <v>330</v>
      </c>
      <c r="B65" s="79" t="s">
        <v>77</v>
      </c>
      <c r="C65" s="79" t="s">
        <v>885</v>
      </c>
      <c r="D65" s="79"/>
      <c r="E65" s="79"/>
      <c r="F65" s="79"/>
      <c r="G65" s="79"/>
      <c r="H65" s="79"/>
      <c r="I65" s="79"/>
      <c r="J65" s="79"/>
      <c r="K65" s="79">
        <f t="shared" si="0"/>
        <v>0</v>
      </c>
      <c r="L65" s="79">
        <f t="shared" si="1"/>
        <v>0</v>
      </c>
      <c r="M65" s="79" t="str">
        <f t="shared" si="2"/>
        <v/>
      </c>
      <c r="N65" s="79" t="str">
        <f t="shared" si="3"/>
        <v/>
      </c>
      <c r="O65" s="79" t="s">
        <v>1059</v>
      </c>
    </row>
    <row r="66" ht="39" spans="1:15">
      <c r="A66" s="79" t="s">
        <v>334</v>
      </c>
      <c r="B66" s="79" t="s">
        <v>77</v>
      </c>
      <c r="C66" s="79" t="s">
        <v>886</v>
      </c>
      <c r="D66" s="79"/>
      <c r="E66" s="79"/>
      <c r="F66" s="79"/>
      <c r="G66" s="79"/>
      <c r="H66" s="79"/>
      <c r="I66" s="79"/>
      <c r="J66" s="79"/>
      <c r="K66" s="79">
        <f t="shared" si="0"/>
        <v>0</v>
      </c>
      <c r="L66" s="79">
        <f t="shared" si="1"/>
        <v>0</v>
      </c>
      <c r="M66" s="79" t="str">
        <f t="shared" si="2"/>
        <v/>
      </c>
      <c r="N66" s="79" t="str">
        <f t="shared" si="3"/>
        <v/>
      </c>
      <c r="O66" s="79" t="s">
        <v>1059</v>
      </c>
    </row>
    <row r="67" ht="39" spans="1:15">
      <c r="A67" s="79" t="s">
        <v>342</v>
      </c>
      <c r="B67" s="79" t="s">
        <v>77</v>
      </c>
      <c r="C67" s="79" t="s">
        <v>886</v>
      </c>
      <c r="D67" s="79"/>
      <c r="E67" s="79"/>
      <c r="F67" s="79"/>
      <c r="G67" s="79"/>
      <c r="H67" s="79"/>
      <c r="I67" s="79"/>
      <c r="J67" s="79"/>
      <c r="K67" s="79">
        <f t="shared" si="0"/>
        <v>0</v>
      </c>
      <c r="L67" s="79">
        <f t="shared" si="1"/>
        <v>0</v>
      </c>
      <c r="M67" s="79" t="str">
        <f t="shared" si="2"/>
        <v/>
      </c>
      <c r="N67" s="79" t="str">
        <f t="shared" si="3"/>
        <v/>
      </c>
      <c r="O67" s="79" t="s">
        <v>1059</v>
      </c>
    </row>
    <row r="68" ht="39" spans="1:15">
      <c r="A68" s="79" t="s">
        <v>343</v>
      </c>
      <c r="B68" s="79" t="s">
        <v>77</v>
      </c>
      <c r="C68" s="79" t="s">
        <v>888</v>
      </c>
      <c r="D68" s="79"/>
      <c r="E68" s="79"/>
      <c r="F68" s="79"/>
      <c r="G68" s="79"/>
      <c r="H68" s="79"/>
      <c r="I68" s="79"/>
      <c r="J68" s="79"/>
      <c r="K68" s="79">
        <f t="shared" ref="K68:K131" si="4">IFERROR((E68-F68)/MAX(1,(I68-J68)/365),"")</f>
        <v>0</v>
      </c>
      <c r="L68" s="79">
        <f t="shared" ref="L68:L131" si="5">IFERROR((H68-F68)/MAX(1,(I68-J68)/365),"")</f>
        <v>0</v>
      </c>
      <c r="M68" s="79" t="str">
        <f t="shared" ref="M68:M131" si="6">IFERROR((F68-G68)/MAX(K68,L68),"")</f>
        <v/>
      </c>
      <c r="N68" s="79" t="str">
        <f t="shared" ref="N68:N131" si="7">IF(M68="","",IF(M68&lt;=4,5,IF(M68&lt;=6,4,IF(M68&lt;=8,3,IF(M68&lt;=10,2,1)))))</f>
        <v/>
      </c>
      <c r="O68" s="79" t="s">
        <v>1059</v>
      </c>
    </row>
    <row r="69" ht="39" spans="1:15">
      <c r="A69" s="79" t="s">
        <v>347</v>
      </c>
      <c r="B69" s="79" t="s">
        <v>77</v>
      </c>
      <c r="C69" s="79" t="s">
        <v>888</v>
      </c>
      <c r="D69" s="79"/>
      <c r="E69" s="79"/>
      <c r="F69" s="79"/>
      <c r="G69" s="79"/>
      <c r="H69" s="79"/>
      <c r="I69" s="79"/>
      <c r="J69" s="79"/>
      <c r="K69" s="79">
        <f t="shared" si="4"/>
        <v>0</v>
      </c>
      <c r="L69" s="79">
        <f t="shared" si="5"/>
        <v>0</v>
      </c>
      <c r="M69" s="79" t="str">
        <f t="shared" si="6"/>
        <v/>
      </c>
      <c r="N69" s="79" t="str">
        <f t="shared" si="7"/>
        <v/>
      </c>
      <c r="O69" s="79" t="s">
        <v>1059</v>
      </c>
    </row>
    <row r="70" ht="39" spans="1:15">
      <c r="A70" s="79" t="s">
        <v>348</v>
      </c>
      <c r="B70" s="79" t="s">
        <v>77</v>
      </c>
      <c r="C70" s="79" t="s">
        <v>888</v>
      </c>
      <c r="D70" s="79"/>
      <c r="E70" s="79"/>
      <c r="F70" s="79"/>
      <c r="G70" s="79"/>
      <c r="H70" s="79"/>
      <c r="I70" s="79"/>
      <c r="J70" s="79"/>
      <c r="K70" s="79">
        <f t="shared" si="4"/>
        <v>0</v>
      </c>
      <c r="L70" s="79">
        <f t="shared" si="5"/>
        <v>0</v>
      </c>
      <c r="M70" s="79" t="str">
        <f t="shared" si="6"/>
        <v/>
      </c>
      <c r="N70" s="79" t="str">
        <f t="shared" si="7"/>
        <v/>
      </c>
      <c r="O70" s="79" t="s">
        <v>1059</v>
      </c>
    </row>
    <row r="71" ht="39" spans="1:15">
      <c r="A71" s="79" t="s">
        <v>349</v>
      </c>
      <c r="B71" s="79" t="s">
        <v>77</v>
      </c>
      <c r="C71" s="79" t="s">
        <v>888</v>
      </c>
      <c r="D71" s="79"/>
      <c r="E71" s="79"/>
      <c r="F71" s="79"/>
      <c r="G71" s="79"/>
      <c r="H71" s="79"/>
      <c r="I71" s="79"/>
      <c r="J71" s="79"/>
      <c r="K71" s="79">
        <f t="shared" si="4"/>
        <v>0</v>
      </c>
      <c r="L71" s="79">
        <f t="shared" si="5"/>
        <v>0</v>
      </c>
      <c r="M71" s="79" t="str">
        <f t="shared" si="6"/>
        <v/>
      </c>
      <c r="N71" s="79" t="str">
        <f t="shared" si="7"/>
        <v/>
      </c>
      <c r="O71" s="79" t="s">
        <v>1059</v>
      </c>
    </row>
    <row r="72" ht="39" spans="1:15">
      <c r="A72" s="79" t="s">
        <v>350</v>
      </c>
      <c r="B72" s="79" t="s">
        <v>77</v>
      </c>
      <c r="C72" s="79" t="s">
        <v>888</v>
      </c>
      <c r="D72" s="79"/>
      <c r="E72" s="79"/>
      <c r="F72" s="79"/>
      <c r="G72" s="79"/>
      <c r="H72" s="79"/>
      <c r="I72" s="79"/>
      <c r="J72" s="79"/>
      <c r="K72" s="79">
        <f t="shared" si="4"/>
        <v>0</v>
      </c>
      <c r="L72" s="79">
        <f t="shared" si="5"/>
        <v>0</v>
      </c>
      <c r="M72" s="79" t="str">
        <f t="shared" si="6"/>
        <v/>
      </c>
      <c r="N72" s="79" t="str">
        <f t="shared" si="7"/>
        <v/>
      </c>
      <c r="O72" s="79" t="s">
        <v>1059</v>
      </c>
    </row>
    <row r="73" ht="39" spans="1:15">
      <c r="A73" s="79" t="s">
        <v>351</v>
      </c>
      <c r="B73" s="79" t="s">
        <v>77</v>
      </c>
      <c r="C73" s="79" t="s">
        <v>889</v>
      </c>
      <c r="D73" s="79"/>
      <c r="E73" s="79"/>
      <c r="F73" s="79"/>
      <c r="G73" s="79"/>
      <c r="H73" s="79"/>
      <c r="I73" s="79"/>
      <c r="J73" s="79"/>
      <c r="K73" s="79">
        <f t="shared" si="4"/>
        <v>0</v>
      </c>
      <c r="L73" s="79">
        <f t="shared" si="5"/>
        <v>0</v>
      </c>
      <c r="M73" s="79" t="str">
        <f t="shared" si="6"/>
        <v/>
      </c>
      <c r="N73" s="79" t="str">
        <f t="shared" si="7"/>
        <v/>
      </c>
      <c r="O73" s="79" t="s">
        <v>1059</v>
      </c>
    </row>
    <row r="74" ht="39" spans="1:15">
      <c r="A74" s="79" t="s">
        <v>353</v>
      </c>
      <c r="B74" s="79" t="s">
        <v>77</v>
      </c>
      <c r="C74" s="79" t="s">
        <v>889</v>
      </c>
      <c r="D74" s="79"/>
      <c r="E74" s="79"/>
      <c r="F74" s="79"/>
      <c r="G74" s="79"/>
      <c r="H74" s="79"/>
      <c r="I74" s="79"/>
      <c r="J74" s="79"/>
      <c r="K74" s="79">
        <f t="shared" si="4"/>
        <v>0</v>
      </c>
      <c r="L74" s="79">
        <f t="shared" si="5"/>
        <v>0</v>
      </c>
      <c r="M74" s="79" t="str">
        <f t="shared" si="6"/>
        <v/>
      </c>
      <c r="N74" s="79" t="str">
        <f t="shared" si="7"/>
        <v/>
      </c>
      <c r="O74" s="79" t="s">
        <v>1059</v>
      </c>
    </row>
    <row r="75" ht="39" spans="1:15">
      <c r="A75" s="79" t="s">
        <v>354</v>
      </c>
      <c r="B75" s="79" t="s">
        <v>77</v>
      </c>
      <c r="C75" s="79" t="s">
        <v>889</v>
      </c>
      <c r="D75" s="79"/>
      <c r="E75" s="79"/>
      <c r="F75" s="79"/>
      <c r="G75" s="79"/>
      <c r="H75" s="79"/>
      <c r="I75" s="79"/>
      <c r="J75" s="79"/>
      <c r="K75" s="79">
        <f t="shared" si="4"/>
        <v>0</v>
      </c>
      <c r="L75" s="79">
        <f t="shared" si="5"/>
        <v>0</v>
      </c>
      <c r="M75" s="79" t="str">
        <f t="shared" si="6"/>
        <v/>
      </c>
      <c r="N75" s="79" t="str">
        <f t="shared" si="7"/>
        <v/>
      </c>
      <c r="O75" s="79" t="s">
        <v>1059</v>
      </c>
    </row>
    <row r="76" ht="39" spans="1:15">
      <c r="A76" s="79" t="s">
        <v>355</v>
      </c>
      <c r="B76" s="79" t="s">
        <v>77</v>
      </c>
      <c r="C76" s="79" t="s">
        <v>889</v>
      </c>
      <c r="D76" s="79"/>
      <c r="E76" s="79"/>
      <c r="F76" s="79"/>
      <c r="G76" s="79"/>
      <c r="H76" s="79"/>
      <c r="I76" s="79"/>
      <c r="J76" s="79"/>
      <c r="K76" s="79">
        <f t="shared" si="4"/>
        <v>0</v>
      </c>
      <c r="L76" s="79">
        <f t="shared" si="5"/>
        <v>0</v>
      </c>
      <c r="M76" s="79" t="str">
        <f t="shared" si="6"/>
        <v/>
      </c>
      <c r="N76" s="79" t="str">
        <f t="shared" si="7"/>
        <v/>
      </c>
      <c r="O76" s="79" t="s">
        <v>1059</v>
      </c>
    </row>
    <row r="77" ht="39" spans="1:15">
      <c r="A77" s="79" t="s">
        <v>356</v>
      </c>
      <c r="B77" s="79" t="s">
        <v>77</v>
      </c>
      <c r="C77" s="79" t="s">
        <v>889</v>
      </c>
      <c r="D77" s="79"/>
      <c r="E77" s="79"/>
      <c r="F77" s="79"/>
      <c r="G77" s="79"/>
      <c r="H77" s="79"/>
      <c r="I77" s="79"/>
      <c r="J77" s="79"/>
      <c r="K77" s="79">
        <f t="shared" si="4"/>
        <v>0</v>
      </c>
      <c r="L77" s="79">
        <f t="shared" si="5"/>
        <v>0</v>
      </c>
      <c r="M77" s="79" t="str">
        <f t="shared" si="6"/>
        <v/>
      </c>
      <c r="N77" s="79" t="str">
        <f t="shared" si="7"/>
        <v/>
      </c>
      <c r="O77" s="79" t="s">
        <v>1059</v>
      </c>
    </row>
    <row r="78" ht="39" spans="1:15">
      <c r="A78" s="79" t="s">
        <v>357</v>
      </c>
      <c r="B78" s="79" t="s">
        <v>77</v>
      </c>
      <c r="C78" s="79" t="s">
        <v>890</v>
      </c>
      <c r="D78" s="79"/>
      <c r="E78" s="79"/>
      <c r="F78" s="79"/>
      <c r="G78" s="79"/>
      <c r="H78" s="79"/>
      <c r="I78" s="79"/>
      <c r="J78" s="79"/>
      <c r="K78" s="79">
        <f t="shared" si="4"/>
        <v>0</v>
      </c>
      <c r="L78" s="79">
        <f t="shared" si="5"/>
        <v>0</v>
      </c>
      <c r="M78" s="79" t="str">
        <f t="shared" si="6"/>
        <v/>
      </c>
      <c r="N78" s="79" t="str">
        <f t="shared" si="7"/>
        <v/>
      </c>
      <c r="O78" s="79" t="s">
        <v>1059</v>
      </c>
    </row>
    <row r="79" ht="39" spans="1:15">
      <c r="A79" s="79" t="s">
        <v>359</v>
      </c>
      <c r="B79" s="79" t="s">
        <v>77</v>
      </c>
      <c r="C79" s="79" t="s">
        <v>885</v>
      </c>
      <c r="D79" s="79"/>
      <c r="E79" s="79"/>
      <c r="F79" s="79"/>
      <c r="G79" s="79"/>
      <c r="H79" s="79"/>
      <c r="I79" s="79"/>
      <c r="J79" s="79"/>
      <c r="K79" s="79">
        <f t="shared" si="4"/>
        <v>0</v>
      </c>
      <c r="L79" s="79">
        <f t="shared" si="5"/>
        <v>0</v>
      </c>
      <c r="M79" s="79" t="str">
        <f t="shared" si="6"/>
        <v/>
      </c>
      <c r="N79" s="79" t="str">
        <f t="shared" si="7"/>
        <v/>
      </c>
      <c r="O79" s="79" t="s">
        <v>1059</v>
      </c>
    </row>
    <row r="80" ht="52" spans="1:15">
      <c r="A80" s="79" t="s">
        <v>361</v>
      </c>
      <c r="B80" s="79" t="s">
        <v>77</v>
      </c>
      <c r="C80" s="79" t="s">
        <v>891</v>
      </c>
      <c r="D80" s="79"/>
      <c r="E80" s="79"/>
      <c r="F80" s="79"/>
      <c r="G80" s="79"/>
      <c r="H80" s="79"/>
      <c r="I80" s="79"/>
      <c r="J80" s="79"/>
      <c r="K80" s="79">
        <f t="shared" si="4"/>
        <v>0</v>
      </c>
      <c r="L80" s="79">
        <f t="shared" si="5"/>
        <v>0</v>
      </c>
      <c r="M80" s="79" t="str">
        <f t="shared" si="6"/>
        <v/>
      </c>
      <c r="N80" s="79" t="str">
        <f t="shared" si="7"/>
        <v/>
      </c>
      <c r="O80" s="79" t="s">
        <v>1059</v>
      </c>
    </row>
    <row r="81" ht="52" spans="1:15">
      <c r="A81" s="79" t="s">
        <v>370</v>
      </c>
      <c r="B81" s="79" t="s">
        <v>77</v>
      </c>
      <c r="C81" s="79" t="s">
        <v>891</v>
      </c>
      <c r="D81" s="79"/>
      <c r="E81" s="79"/>
      <c r="F81" s="79"/>
      <c r="G81" s="79"/>
      <c r="H81" s="79"/>
      <c r="I81" s="79"/>
      <c r="J81" s="79"/>
      <c r="K81" s="79">
        <f t="shared" si="4"/>
        <v>0</v>
      </c>
      <c r="L81" s="79">
        <f t="shared" si="5"/>
        <v>0</v>
      </c>
      <c r="M81" s="79" t="str">
        <f t="shared" si="6"/>
        <v/>
      </c>
      <c r="N81" s="79" t="str">
        <f t="shared" si="7"/>
        <v/>
      </c>
      <c r="O81" s="79" t="s">
        <v>1059</v>
      </c>
    </row>
    <row r="82" ht="52" spans="1:15">
      <c r="A82" s="79" t="s">
        <v>371</v>
      </c>
      <c r="B82" s="79" t="s">
        <v>77</v>
      </c>
      <c r="C82" s="79" t="s">
        <v>891</v>
      </c>
      <c r="D82" s="79"/>
      <c r="E82" s="79"/>
      <c r="F82" s="79"/>
      <c r="G82" s="79"/>
      <c r="H82" s="79"/>
      <c r="I82" s="79"/>
      <c r="J82" s="79"/>
      <c r="K82" s="79">
        <f t="shared" si="4"/>
        <v>0</v>
      </c>
      <c r="L82" s="79">
        <f t="shared" si="5"/>
        <v>0</v>
      </c>
      <c r="M82" s="79" t="str">
        <f t="shared" si="6"/>
        <v/>
      </c>
      <c r="N82" s="79" t="str">
        <f t="shared" si="7"/>
        <v/>
      </c>
      <c r="O82" s="79" t="s">
        <v>1059</v>
      </c>
    </row>
    <row r="83" ht="52" spans="1:15">
      <c r="A83" s="79" t="s">
        <v>372</v>
      </c>
      <c r="B83" s="79" t="s">
        <v>77</v>
      </c>
      <c r="C83" s="79" t="s">
        <v>891</v>
      </c>
      <c r="D83" s="79"/>
      <c r="E83" s="79"/>
      <c r="F83" s="79"/>
      <c r="G83" s="79"/>
      <c r="H83" s="79"/>
      <c r="I83" s="79"/>
      <c r="J83" s="79"/>
      <c r="K83" s="79">
        <f t="shared" si="4"/>
        <v>0</v>
      </c>
      <c r="L83" s="79">
        <f t="shared" si="5"/>
        <v>0</v>
      </c>
      <c r="M83" s="79" t="str">
        <f t="shared" si="6"/>
        <v/>
      </c>
      <c r="N83" s="79" t="str">
        <f t="shared" si="7"/>
        <v/>
      </c>
      <c r="O83" s="79" t="s">
        <v>1059</v>
      </c>
    </row>
    <row r="84" ht="39" spans="1:15">
      <c r="A84" s="79" t="s">
        <v>373</v>
      </c>
      <c r="B84" s="79" t="s">
        <v>77</v>
      </c>
      <c r="C84" s="79" t="s">
        <v>886</v>
      </c>
      <c r="D84" s="79"/>
      <c r="E84" s="79"/>
      <c r="F84" s="79"/>
      <c r="G84" s="79"/>
      <c r="H84" s="79"/>
      <c r="I84" s="79"/>
      <c r="J84" s="79"/>
      <c r="K84" s="79">
        <f t="shared" si="4"/>
        <v>0</v>
      </c>
      <c r="L84" s="79">
        <f t="shared" si="5"/>
        <v>0</v>
      </c>
      <c r="M84" s="79" t="str">
        <f t="shared" si="6"/>
        <v/>
      </c>
      <c r="N84" s="79" t="str">
        <f t="shared" si="7"/>
        <v/>
      </c>
      <c r="O84" s="79" t="s">
        <v>1059</v>
      </c>
    </row>
    <row r="85" ht="39" spans="1:15">
      <c r="A85" s="79" t="s">
        <v>374</v>
      </c>
      <c r="B85" s="79" t="s">
        <v>77</v>
      </c>
      <c r="C85" s="79" t="s">
        <v>890</v>
      </c>
      <c r="D85" s="79"/>
      <c r="E85" s="79"/>
      <c r="F85" s="79"/>
      <c r="G85" s="79"/>
      <c r="H85" s="79"/>
      <c r="I85" s="79"/>
      <c r="J85" s="79"/>
      <c r="K85" s="79">
        <f t="shared" si="4"/>
        <v>0</v>
      </c>
      <c r="L85" s="79">
        <f t="shared" si="5"/>
        <v>0</v>
      </c>
      <c r="M85" s="79" t="str">
        <f t="shared" si="6"/>
        <v/>
      </c>
      <c r="N85" s="79" t="str">
        <f t="shared" si="7"/>
        <v/>
      </c>
      <c r="O85" s="79" t="s">
        <v>1059</v>
      </c>
    </row>
    <row r="86" ht="39" spans="1:15">
      <c r="A86" s="79" t="s">
        <v>376</v>
      </c>
      <c r="B86" s="79" t="s">
        <v>77</v>
      </c>
      <c r="C86" s="79" t="s">
        <v>890</v>
      </c>
      <c r="D86" s="79"/>
      <c r="E86" s="79"/>
      <c r="F86" s="79"/>
      <c r="G86" s="79"/>
      <c r="H86" s="79"/>
      <c r="I86" s="79"/>
      <c r="J86" s="79"/>
      <c r="K86" s="79">
        <f t="shared" si="4"/>
        <v>0</v>
      </c>
      <c r="L86" s="79">
        <f t="shared" si="5"/>
        <v>0</v>
      </c>
      <c r="M86" s="79" t="str">
        <f t="shared" si="6"/>
        <v/>
      </c>
      <c r="N86" s="79" t="str">
        <f t="shared" si="7"/>
        <v/>
      </c>
      <c r="O86" s="79" t="s">
        <v>1059</v>
      </c>
    </row>
    <row r="87" ht="39" spans="1:15">
      <c r="A87" s="79" t="s">
        <v>377</v>
      </c>
      <c r="B87" s="79" t="s">
        <v>77</v>
      </c>
      <c r="C87" s="79" t="s">
        <v>890</v>
      </c>
      <c r="D87" s="79"/>
      <c r="E87" s="79"/>
      <c r="F87" s="79"/>
      <c r="G87" s="79"/>
      <c r="H87" s="79"/>
      <c r="I87" s="79"/>
      <c r="J87" s="79"/>
      <c r="K87" s="79">
        <f t="shared" si="4"/>
        <v>0</v>
      </c>
      <c r="L87" s="79">
        <f t="shared" si="5"/>
        <v>0</v>
      </c>
      <c r="M87" s="79" t="str">
        <f t="shared" si="6"/>
        <v/>
      </c>
      <c r="N87" s="79" t="str">
        <f t="shared" si="7"/>
        <v/>
      </c>
      <c r="O87" s="79" t="s">
        <v>1059</v>
      </c>
    </row>
    <row r="88" ht="39" spans="1:15">
      <c r="A88" s="79" t="s">
        <v>378</v>
      </c>
      <c r="B88" s="79" t="s">
        <v>77</v>
      </c>
      <c r="C88" s="79" t="s">
        <v>890</v>
      </c>
      <c r="D88" s="79"/>
      <c r="E88" s="79"/>
      <c r="F88" s="79"/>
      <c r="G88" s="79"/>
      <c r="H88" s="79"/>
      <c r="I88" s="79"/>
      <c r="J88" s="79"/>
      <c r="K88" s="79">
        <f t="shared" si="4"/>
        <v>0</v>
      </c>
      <c r="L88" s="79">
        <f t="shared" si="5"/>
        <v>0</v>
      </c>
      <c r="M88" s="79" t="str">
        <f t="shared" si="6"/>
        <v/>
      </c>
      <c r="N88" s="79" t="str">
        <f t="shared" si="7"/>
        <v/>
      </c>
      <c r="O88" s="79" t="s">
        <v>1059</v>
      </c>
    </row>
    <row r="89" ht="39" spans="1:15">
      <c r="A89" s="79" t="s">
        <v>379</v>
      </c>
      <c r="B89" s="79" t="s">
        <v>77</v>
      </c>
      <c r="C89" s="79" t="s">
        <v>890</v>
      </c>
      <c r="D89" s="79"/>
      <c r="E89" s="79"/>
      <c r="F89" s="79"/>
      <c r="G89" s="79"/>
      <c r="H89" s="79"/>
      <c r="I89" s="79"/>
      <c r="J89" s="79"/>
      <c r="K89" s="79">
        <f t="shared" si="4"/>
        <v>0</v>
      </c>
      <c r="L89" s="79">
        <f t="shared" si="5"/>
        <v>0</v>
      </c>
      <c r="M89" s="79" t="str">
        <f t="shared" si="6"/>
        <v/>
      </c>
      <c r="N89" s="79" t="str">
        <f t="shared" si="7"/>
        <v/>
      </c>
      <c r="O89" s="79" t="s">
        <v>1059</v>
      </c>
    </row>
    <row r="90" ht="39" spans="1:15">
      <c r="A90" s="79" t="s">
        <v>380</v>
      </c>
      <c r="B90" s="79" t="s">
        <v>77</v>
      </c>
      <c r="C90" s="79" t="s">
        <v>890</v>
      </c>
      <c r="D90" s="79"/>
      <c r="E90" s="79"/>
      <c r="F90" s="79"/>
      <c r="G90" s="79"/>
      <c r="H90" s="79"/>
      <c r="I90" s="79"/>
      <c r="J90" s="79"/>
      <c r="K90" s="79">
        <f t="shared" si="4"/>
        <v>0</v>
      </c>
      <c r="L90" s="79">
        <f t="shared" si="5"/>
        <v>0</v>
      </c>
      <c r="M90" s="79" t="str">
        <f t="shared" si="6"/>
        <v/>
      </c>
      <c r="N90" s="79" t="str">
        <f t="shared" si="7"/>
        <v/>
      </c>
      <c r="O90" s="79" t="s">
        <v>1059</v>
      </c>
    </row>
    <row r="91" ht="39" spans="1:15">
      <c r="A91" s="79" t="s">
        <v>381</v>
      </c>
      <c r="B91" s="79" t="s">
        <v>77</v>
      </c>
      <c r="C91" s="79" t="s">
        <v>890</v>
      </c>
      <c r="D91" s="79"/>
      <c r="E91" s="79"/>
      <c r="F91" s="79"/>
      <c r="G91" s="79"/>
      <c r="H91" s="79"/>
      <c r="I91" s="79"/>
      <c r="J91" s="79"/>
      <c r="K91" s="79">
        <f t="shared" si="4"/>
        <v>0</v>
      </c>
      <c r="L91" s="79">
        <f t="shared" si="5"/>
        <v>0</v>
      </c>
      <c r="M91" s="79" t="str">
        <f t="shared" si="6"/>
        <v/>
      </c>
      <c r="N91" s="79" t="str">
        <f t="shared" si="7"/>
        <v/>
      </c>
      <c r="O91" s="79" t="s">
        <v>1059</v>
      </c>
    </row>
    <row r="92" ht="39" spans="1:15">
      <c r="A92" s="79" t="s">
        <v>382</v>
      </c>
      <c r="B92" s="79" t="s">
        <v>77</v>
      </c>
      <c r="C92" s="79" t="s">
        <v>890</v>
      </c>
      <c r="D92" s="79"/>
      <c r="E92" s="79"/>
      <c r="F92" s="79"/>
      <c r="G92" s="79"/>
      <c r="H92" s="79"/>
      <c r="I92" s="79"/>
      <c r="J92" s="79"/>
      <c r="K92" s="79">
        <f t="shared" si="4"/>
        <v>0</v>
      </c>
      <c r="L92" s="79">
        <f t="shared" si="5"/>
        <v>0</v>
      </c>
      <c r="M92" s="79" t="str">
        <f t="shared" si="6"/>
        <v/>
      </c>
      <c r="N92" s="79" t="str">
        <f t="shared" si="7"/>
        <v/>
      </c>
      <c r="O92" s="79" t="s">
        <v>1059</v>
      </c>
    </row>
    <row r="93" ht="39" spans="1:15">
      <c r="A93" s="79" t="s">
        <v>383</v>
      </c>
      <c r="B93" s="79" t="s">
        <v>77</v>
      </c>
      <c r="C93" s="79" t="s">
        <v>890</v>
      </c>
      <c r="D93" s="79"/>
      <c r="E93" s="79"/>
      <c r="F93" s="79"/>
      <c r="G93" s="79"/>
      <c r="H93" s="79"/>
      <c r="I93" s="79"/>
      <c r="J93" s="79"/>
      <c r="K93" s="79">
        <f t="shared" si="4"/>
        <v>0</v>
      </c>
      <c r="L93" s="79">
        <f t="shared" si="5"/>
        <v>0</v>
      </c>
      <c r="M93" s="79" t="str">
        <f t="shared" si="6"/>
        <v/>
      </c>
      <c r="N93" s="79" t="str">
        <f t="shared" si="7"/>
        <v/>
      </c>
      <c r="O93" s="79" t="s">
        <v>1059</v>
      </c>
    </row>
    <row r="94" ht="39" spans="1:15">
      <c r="A94" s="79" t="s">
        <v>384</v>
      </c>
      <c r="B94" s="79" t="s">
        <v>77</v>
      </c>
      <c r="C94" s="79" t="s">
        <v>893</v>
      </c>
      <c r="D94" s="79"/>
      <c r="E94" s="79"/>
      <c r="F94" s="79"/>
      <c r="G94" s="79"/>
      <c r="H94" s="79"/>
      <c r="I94" s="79"/>
      <c r="J94" s="79"/>
      <c r="K94" s="79">
        <f t="shared" si="4"/>
        <v>0</v>
      </c>
      <c r="L94" s="79">
        <f t="shared" si="5"/>
        <v>0</v>
      </c>
      <c r="M94" s="79" t="str">
        <f t="shared" si="6"/>
        <v/>
      </c>
      <c r="N94" s="79" t="str">
        <f t="shared" si="7"/>
        <v/>
      </c>
      <c r="O94" s="79" t="s">
        <v>1059</v>
      </c>
    </row>
    <row r="95" ht="39" spans="1:15">
      <c r="A95" s="79" t="s">
        <v>385</v>
      </c>
      <c r="B95" s="79" t="s">
        <v>77</v>
      </c>
      <c r="C95" s="79" t="s">
        <v>893</v>
      </c>
      <c r="D95" s="79"/>
      <c r="E95" s="79"/>
      <c r="F95" s="79"/>
      <c r="G95" s="79"/>
      <c r="H95" s="79"/>
      <c r="I95" s="79"/>
      <c r="J95" s="79"/>
      <c r="K95" s="79">
        <f t="shared" si="4"/>
        <v>0</v>
      </c>
      <c r="L95" s="79">
        <f t="shared" si="5"/>
        <v>0</v>
      </c>
      <c r="M95" s="79" t="str">
        <f t="shared" si="6"/>
        <v/>
      </c>
      <c r="N95" s="79" t="str">
        <f t="shared" si="7"/>
        <v/>
      </c>
      <c r="O95" s="79" t="s">
        <v>1059</v>
      </c>
    </row>
    <row r="96" ht="39" spans="1:15">
      <c r="A96" s="79" t="s">
        <v>386</v>
      </c>
      <c r="B96" s="79" t="s">
        <v>77</v>
      </c>
      <c r="C96" s="79" t="s">
        <v>893</v>
      </c>
      <c r="D96" s="79"/>
      <c r="E96" s="79"/>
      <c r="F96" s="79"/>
      <c r="G96" s="79"/>
      <c r="H96" s="79"/>
      <c r="I96" s="79"/>
      <c r="J96" s="79"/>
      <c r="K96" s="79">
        <f t="shared" si="4"/>
        <v>0</v>
      </c>
      <c r="L96" s="79">
        <f t="shared" si="5"/>
        <v>0</v>
      </c>
      <c r="M96" s="79" t="str">
        <f t="shared" si="6"/>
        <v/>
      </c>
      <c r="N96" s="79" t="str">
        <f t="shared" si="7"/>
        <v/>
      </c>
      <c r="O96" s="79" t="s">
        <v>1059</v>
      </c>
    </row>
    <row r="97" ht="39" spans="1:15">
      <c r="A97" s="79" t="s">
        <v>387</v>
      </c>
      <c r="B97" s="79" t="s">
        <v>77</v>
      </c>
      <c r="C97" s="79" t="s">
        <v>893</v>
      </c>
      <c r="D97" s="79"/>
      <c r="E97" s="79"/>
      <c r="F97" s="79"/>
      <c r="G97" s="79"/>
      <c r="H97" s="79"/>
      <c r="I97" s="79"/>
      <c r="J97" s="79"/>
      <c r="K97" s="79">
        <f t="shared" si="4"/>
        <v>0</v>
      </c>
      <c r="L97" s="79">
        <f t="shared" si="5"/>
        <v>0</v>
      </c>
      <c r="M97" s="79" t="str">
        <f t="shared" si="6"/>
        <v/>
      </c>
      <c r="N97" s="79" t="str">
        <f t="shared" si="7"/>
        <v/>
      </c>
      <c r="O97" s="79" t="s">
        <v>1059</v>
      </c>
    </row>
    <row r="98" ht="39" spans="1:15">
      <c r="A98" s="79" t="s">
        <v>389</v>
      </c>
      <c r="B98" s="79" t="s">
        <v>77</v>
      </c>
      <c r="C98" s="79" t="s">
        <v>885</v>
      </c>
      <c r="D98" s="79"/>
      <c r="E98" s="79"/>
      <c r="F98" s="79"/>
      <c r="G98" s="79"/>
      <c r="H98" s="79"/>
      <c r="I98" s="79"/>
      <c r="J98" s="79"/>
      <c r="K98" s="79">
        <f t="shared" si="4"/>
        <v>0</v>
      </c>
      <c r="L98" s="79">
        <f t="shared" si="5"/>
        <v>0</v>
      </c>
      <c r="M98" s="79" t="str">
        <f t="shared" si="6"/>
        <v/>
      </c>
      <c r="N98" s="79" t="str">
        <f t="shared" si="7"/>
        <v/>
      </c>
      <c r="O98" s="79" t="s">
        <v>1059</v>
      </c>
    </row>
    <row r="99" ht="39" spans="1:15">
      <c r="A99" s="79" t="s">
        <v>391</v>
      </c>
      <c r="B99" s="79" t="s">
        <v>77</v>
      </c>
      <c r="C99" s="79" t="s">
        <v>894</v>
      </c>
      <c r="D99" s="79"/>
      <c r="E99" s="79"/>
      <c r="F99" s="79"/>
      <c r="G99" s="79"/>
      <c r="H99" s="79"/>
      <c r="I99" s="79"/>
      <c r="J99" s="79"/>
      <c r="K99" s="79">
        <f t="shared" si="4"/>
        <v>0</v>
      </c>
      <c r="L99" s="79">
        <f t="shared" si="5"/>
        <v>0</v>
      </c>
      <c r="M99" s="79" t="str">
        <f t="shared" si="6"/>
        <v/>
      </c>
      <c r="N99" s="79" t="str">
        <f t="shared" si="7"/>
        <v/>
      </c>
      <c r="O99" s="79" t="s">
        <v>1059</v>
      </c>
    </row>
    <row r="100" ht="39" spans="1:15">
      <c r="A100" s="79" t="s">
        <v>396</v>
      </c>
      <c r="B100" s="79" t="s">
        <v>77</v>
      </c>
      <c r="C100" s="79" t="s">
        <v>894</v>
      </c>
      <c r="D100" s="79"/>
      <c r="E100" s="79"/>
      <c r="F100" s="79"/>
      <c r="G100" s="79"/>
      <c r="H100" s="79"/>
      <c r="I100" s="79"/>
      <c r="J100" s="79"/>
      <c r="K100" s="79">
        <f t="shared" si="4"/>
        <v>0</v>
      </c>
      <c r="L100" s="79">
        <f t="shared" si="5"/>
        <v>0</v>
      </c>
      <c r="M100" s="79" t="str">
        <f t="shared" si="6"/>
        <v/>
      </c>
      <c r="N100" s="79" t="str">
        <f t="shared" si="7"/>
        <v/>
      </c>
      <c r="O100" s="79" t="s">
        <v>1059</v>
      </c>
    </row>
    <row r="101" ht="39" spans="1:15">
      <c r="A101" s="79" t="s">
        <v>397</v>
      </c>
      <c r="B101" s="79" t="s">
        <v>77</v>
      </c>
      <c r="C101" s="79" t="s">
        <v>894</v>
      </c>
      <c r="D101" s="79"/>
      <c r="E101" s="79"/>
      <c r="F101" s="79"/>
      <c r="G101" s="79"/>
      <c r="H101" s="79"/>
      <c r="I101" s="79"/>
      <c r="J101" s="79"/>
      <c r="K101" s="79">
        <f t="shared" si="4"/>
        <v>0</v>
      </c>
      <c r="L101" s="79">
        <f t="shared" si="5"/>
        <v>0</v>
      </c>
      <c r="M101" s="79" t="str">
        <f t="shared" si="6"/>
        <v/>
      </c>
      <c r="N101" s="79" t="str">
        <f t="shared" si="7"/>
        <v/>
      </c>
      <c r="O101" s="79" t="s">
        <v>1059</v>
      </c>
    </row>
    <row r="102" ht="39" spans="1:15">
      <c r="A102" s="79" t="s">
        <v>398</v>
      </c>
      <c r="B102" s="79" t="s">
        <v>77</v>
      </c>
      <c r="C102" s="79" t="s">
        <v>895</v>
      </c>
      <c r="D102" s="79"/>
      <c r="E102" s="79"/>
      <c r="F102" s="79"/>
      <c r="G102" s="79"/>
      <c r="H102" s="79"/>
      <c r="I102" s="79"/>
      <c r="J102" s="79"/>
      <c r="K102" s="79">
        <f t="shared" si="4"/>
        <v>0</v>
      </c>
      <c r="L102" s="79">
        <f t="shared" si="5"/>
        <v>0</v>
      </c>
      <c r="M102" s="79" t="str">
        <f t="shared" si="6"/>
        <v/>
      </c>
      <c r="N102" s="79" t="str">
        <f t="shared" si="7"/>
        <v/>
      </c>
      <c r="O102" s="79" t="s">
        <v>1059</v>
      </c>
    </row>
    <row r="103" ht="39" spans="1:15">
      <c r="A103" s="79" t="s">
        <v>404</v>
      </c>
      <c r="B103" s="79" t="s">
        <v>77</v>
      </c>
      <c r="C103" s="79" t="s">
        <v>888</v>
      </c>
      <c r="D103" s="79"/>
      <c r="E103" s="79"/>
      <c r="F103" s="79"/>
      <c r="G103" s="79"/>
      <c r="H103" s="79"/>
      <c r="I103" s="79"/>
      <c r="J103" s="79"/>
      <c r="K103" s="79">
        <f t="shared" si="4"/>
        <v>0</v>
      </c>
      <c r="L103" s="79">
        <f t="shared" si="5"/>
        <v>0</v>
      </c>
      <c r="M103" s="79" t="str">
        <f t="shared" si="6"/>
        <v/>
      </c>
      <c r="N103" s="79" t="str">
        <f t="shared" si="7"/>
        <v/>
      </c>
      <c r="O103" s="79" t="s">
        <v>1059</v>
      </c>
    </row>
    <row r="104" ht="39" spans="1:15">
      <c r="A104" s="79" t="s">
        <v>407</v>
      </c>
      <c r="B104" s="79" t="s">
        <v>77</v>
      </c>
      <c r="C104" s="79" t="s">
        <v>896</v>
      </c>
      <c r="D104" s="79"/>
      <c r="E104" s="79"/>
      <c r="F104" s="79"/>
      <c r="G104" s="79"/>
      <c r="H104" s="79"/>
      <c r="I104" s="79"/>
      <c r="J104" s="79"/>
      <c r="K104" s="79">
        <f t="shared" si="4"/>
        <v>0</v>
      </c>
      <c r="L104" s="79">
        <f t="shared" si="5"/>
        <v>0</v>
      </c>
      <c r="M104" s="79" t="str">
        <f t="shared" si="6"/>
        <v/>
      </c>
      <c r="N104" s="79" t="str">
        <f t="shared" si="7"/>
        <v/>
      </c>
      <c r="O104" s="79" t="s">
        <v>1059</v>
      </c>
    </row>
    <row r="105" ht="39" spans="1:15">
      <c r="A105" s="79" t="s">
        <v>408</v>
      </c>
      <c r="B105" s="79" t="s">
        <v>77</v>
      </c>
      <c r="C105" s="79" t="s">
        <v>885</v>
      </c>
      <c r="D105" s="79"/>
      <c r="E105" s="79"/>
      <c r="F105" s="79"/>
      <c r="G105" s="79"/>
      <c r="H105" s="79"/>
      <c r="I105" s="79"/>
      <c r="J105" s="79"/>
      <c r="K105" s="79">
        <f t="shared" si="4"/>
        <v>0</v>
      </c>
      <c r="L105" s="79">
        <f t="shared" si="5"/>
        <v>0</v>
      </c>
      <c r="M105" s="79" t="str">
        <f t="shared" si="6"/>
        <v/>
      </c>
      <c r="N105" s="79" t="str">
        <f t="shared" si="7"/>
        <v/>
      </c>
      <c r="O105" s="79" t="s">
        <v>1059</v>
      </c>
    </row>
    <row r="106" ht="52" spans="1:15">
      <c r="A106" s="79" t="s">
        <v>410</v>
      </c>
      <c r="B106" s="79" t="s">
        <v>77</v>
      </c>
      <c r="C106" s="79" t="s">
        <v>897</v>
      </c>
      <c r="D106" s="79"/>
      <c r="E106" s="79"/>
      <c r="F106" s="79"/>
      <c r="G106" s="79"/>
      <c r="H106" s="79"/>
      <c r="I106" s="79"/>
      <c r="J106" s="79"/>
      <c r="K106" s="79">
        <f t="shared" si="4"/>
        <v>0</v>
      </c>
      <c r="L106" s="79">
        <f t="shared" si="5"/>
        <v>0</v>
      </c>
      <c r="M106" s="79" t="str">
        <f t="shared" si="6"/>
        <v/>
      </c>
      <c r="N106" s="79" t="str">
        <f t="shared" si="7"/>
        <v/>
      </c>
      <c r="O106" s="79" t="s">
        <v>1059</v>
      </c>
    </row>
    <row r="107" ht="52" spans="1:15">
      <c r="A107" s="79" t="s">
        <v>416</v>
      </c>
      <c r="B107" s="79" t="s">
        <v>77</v>
      </c>
      <c r="C107" s="79" t="s">
        <v>897</v>
      </c>
      <c r="D107" s="79"/>
      <c r="E107" s="79"/>
      <c r="F107" s="79"/>
      <c r="G107" s="79"/>
      <c r="H107" s="79"/>
      <c r="I107" s="79"/>
      <c r="J107" s="79"/>
      <c r="K107" s="79">
        <f t="shared" si="4"/>
        <v>0</v>
      </c>
      <c r="L107" s="79">
        <f t="shared" si="5"/>
        <v>0</v>
      </c>
      <c r="M107" s="79" t="str">
        <f t="shared" si="6"/>
        <v/>
      </c>
      <c r="N107" s="79" t="str">
        <f t="shared" si="7"/>
        <v/>
      </c>
      <c r="O107" s="79" t="s">
        <v>1059</v>
      </c>
    </row>
    <row r="108" ht="52" spans="1:15">
      <c r="A108" s="79" t="s">
        <v>418</v>
      </c>
      <c r="B108" s="79" t="s">
        <v>77</v>
      </c>
      <c r="C108" s="79" t="s">
        <v>897</v>
      </c>
      <c r="D108" s="79"/>
      <c r="E108" s="79"/>
      <c r="F108" s="79"/>
      <c r="G108" s="79"/>
      <c r="H108" s="79"/>
      <c r="I108" s="79"/>
      <c r="J108" s="79"/>
      <c r="K108" s="79">
        <f t="shared" si="4"/>
        <v>0</v>
      </c>
      <c r="L108" s="79">
        <f t="shared" si="5"/>
        <v>0</v>
      </c>
      <c r="M108" s="79" t="str">
        <f t="shared" si="6"/>
        <v/>
      </c>
      <c r="N108" s="79" t="str">
        <f t="shared" si="7"/>
        <v/>
      </c>
      <c r="O108" s="79" t="s">
        <v>1059</v>
      </c>
    </row>
    <row r="109" ht="39" spans="1:15">
      <c r="A109" s="79" t="s">
        <v>420</v>
      </c>
      <c r="B109" s="79" t="s">
        <v>77</v>
      </c>
      <c r="C109" s="79" t="s">
        <v>898</v>
      </c>
      <c r="D109" s="79"/>
      <c r="E109" s="79"/>
      <c r="F109" s="79"/>
      <c r="G109" s="79"/>
      <c r="H109" s="79"/>
      <c r="I109" s="79"/>
      <c r="J109" s="79"/>
      <c r="K109" s="79">
        <f t="shared" si="4"/>
        <v>0</v>
      </c>
      <c r="L109" s="79">
        <f t="shared" si="5"/>
        <v>0</v>
      </c>
      <c r="M109" s="79" t="str">
        <f t="shared" si="6"/>
        <v/>
      </c>
      <c r="N109" s="79" t="str">
        <f t="shared" si="7"/>
        <v/>
      </c>
      <c r="O109" s="79" t="s">
        <v>1059</v>
      </c>
    </row>
    <row r="110" ht="39" spans="1:15">
      <c r="A110" s="79" t="s">
        <v>424</v>
      </c>
      <c r="B110" s="79" t="s">
        <v>77</v>
      </c>
      <c r="C110" s="79" t="s">
        <v>899</v>
      </c>
      <c r="D110" s="79"/>
      <c r="E110" s="79"/>
      <c r="F110" s="79"/>
      <c r="G110" s="79"/>
      <c r="H110" s="79"/>
      <c r="I110" s="79"/>
      <c r="J110" s="79"/>
      <c r="K110" s="79">
        <f t="shared" si="4"/>
        <v>0</v>
      </c>
      <c r="L110" s="79">
        <f t="shared" si="5"/>
        <v>0</v>
      </c>
      <c r="M110" s="79" t="str">
        <f t="shared" si="6"/>
        <v/>
      </c>
      <c r="N110" s="79" t="str">
        <f t="shared" si="7"/>
        <v/>
      </c>
      <c r="O110" s="79" t="s">
        <v>1059</v>
      </c>
    </row>
    <row r="111" ht="39" spans="1:15">
      <c r="A111" s="79" t="s">
        <v>426</v>
      </c>
      <c r="B111" s="79" t="s">
        <v>77</v>
      </c>
      <c r="C111" s="79" t="s">
        <v>900</v>
      </c>
      <c r="D111" s="79"/>
      <c r="E111" s="79"/>
      <c r="F111" s="79"/>
      <c r="G111" s="79"/>
      <c r="H111" s="79"/>
      <c r="I111" s="79"/>
      <c r="J111" s="79"/>
      <c r="K111" s="79">
        <f t="shared" si="4"/>
        <v>0</v>
      </c>
      <c r="L111" s="79">
        <f t="shared" si="5"/>
        <v>0</v>
      </c>
      <c r="M111" s="79" t="str">
        <f t="shared" si="6"/>
        <v/>
      </c>
      <c r="N111" s="79" t="str">
        <f t="shared" si="7"/>
        <v/>
      </c>
      <c r="O111" s="79" t="s">
        <v>1059</v>
      </c>
    </row>
    <row r="112" ht="39" spans="1:15">
      <c r="A112" s="79" t="s">
        <v>427</v>
      </c>
      <c r="B112" s="79" t="s">
        <v>77</v>
      </c>
      <c r="C112" s="79" t="s">
        <v>901</v>
      </c>
      <c r="D112" s="79"/>
      <c r="E112" s="79"/>
      <c r="F112" s="79"/>
      <c r="G112" s="79"/>
      <c r="H112" s="79"/>
      <c r="I112" s="79"/>
      <c r="J112" s="79"/>
      <c r="K112" s="79">
        <f t="shared" si="4"/>
        <v>0</v>
      </c>
      <c r="L112" s="79">
        <f t="shared" si="5"/>
        <v>0</v>
      </c>
      <c r="M112" s="79" t="str">
        <f t="shared" si="6"/>
        <v/>
      </c>
      <c r="N112" s="79" t="str">
        <f t="shared" si="7"/>
        <v/>
      </c>
      <c r="O112" s="79" t="s">
        <v>1059</v>
      </c>
    </row>
    <row r="113" ht="39" spans="1:15">
      <c r="A113" s="79" t="s">
        <v>429</v>
      </c>
      <c r="B113" s="79" t="s">
        <v>77</v>
      </c>
      <c r="C113" s="79" t="s">
        <v>902</v>
      </c>
      <c r="D113" s="79"/>
      <c r="E113" s="79"/>
      <c r="F113" s="79"/>
      <c r="G113" s="79"/>
      <c r="H113" s="79"/>
      <c r="I113" s="79"/>
      <c r="J113" s="79"/>
      <c r="K113" s="79">
        <f t="shared" si="4"/>
        <v>0</v>
      </c>
      <c r="L113" s="79">
        <f t="shared" si="5"/>
        <v>0</v>
      </c>
      <c r="M113" s="79" t="str">
        <f t="shared" si="6"/>
        <v/>
      </c>
      <c r="N113" s="79" t="str">
        <f t="shared" si="7"/>
        <v/>
      </c>
      <c r="O113" s="79" t="s">
        <v>1059</v>
      </c>
    </row>
    <row r="114" ht="39" spans="1:15">
      <c r="A114" s="79" t="s">
        <v>432</v>
      </c>
      <c r="B114" s="79" t="s">
        <v>77</v>
      </c>
      <c r="C114" s="79" t="s">
        <v>902</v>
      </c>
      <c r="D114" s="79"/>
      <c r="E114" s="79"/>
      <c r="F114" s="79"/>
      <c r="G114" s="79"/>
      <c r="H114" s="79"/>
      <c r="I114" s="79"/>
      <c r="J114" s="79"/>
      <c r="K114" s="79">
        <f t="shared" si="4"/>
        <v>0</v>
      </c>
      <c r="L114" s="79">
        <f t="shared" si="5"/>
        <v>0</v>
      </c>
      <c r="M114" s="79" t="str">
        <f t="shared" si="6"/>
        <v/>
      </c>
      <c r="N114" s="79" t="str">
        <f t="shared" si="7"/>
        <v/>
      </c>
      <c r="O114" s="79" t="s">
        <v>1059</v>
      </c>
    </row>
    <row r="115" ht="39" spans="1:15">
      <c r="A115" s="79" t="s">
        <v>433</v>
      </c>
      <c r="B115" s="79" t="s">
        <v>77</v>
      </c>
      <c r="C115" s="79" t="s">
        <v>902</v>
      </c>
      <c r="D115" s="79"/>
      <c r="E115" s="79"/>
      <c r="F115" s="79"/>
      <c r="G115" s="79"/>
      <c r="H115" s="79"/>
      <c r="I115" s="79"/>
      <c r="J115" s="79"/>
      <c r="K115" s="79">
        <f t="shared" si="4"/>
        <v>0</v>
      </c>
      <c r="L115" s="79">
        <f t="shared" si="5"/>
        <v>0</v>
      </c>
      <c r="M115" s="79" t="str">
        <f t="shared" si="6"/>
        <v/>
      </c>
      <c r="N115" s="79" t="str">
        <f t="shared" si="7"/>
        <v/>
      </c>
      <c r="O115" s="79" t="s">
        <v>1059</v>
      </c>
    </row>
    <row r="116" ht="39" spans="1:15">
      <c r="A116" s="79" t="s">
        <v>434</v>
      </c>
      <c r="B116" s="79" t="s">
        <v>77</v>
      </c>
      <c r="C116" s="79" t="s">
        <v>903</v>
      </c>
      <c r="D116" s="79"/>
      <c r="E116" s="79"/>
      <c r="F116" s="79"/>
      <c r="G116" s="79"/>
      <c r="H116" s="79"/>
      <c r="I116" s="79"/>
      <c r="J116" s="79"/>
      <c r="K116" s="79">
        <f t="shared" si="4"/>
        <v>0</v>
      </c>
      <c r="L116" s="79">
        <f t="shared" si="5"/>
        <v>0</v>
      </c>
      <c r="M116" s="79" t="str">
        <f t="shared" si="6"/>
        <v/>
      </c>
      <c r="N116" s="79" t="str">
        <f t="shared" si="7"/>
        <v/>
      </c>
      <c r="O116" s="79" t="s">
        <v>1059</v>
      </c>
    </row>
    <row r="117" ht="39" spans="1:15">
      <c r="A117" s="79" t="s">
        <v>439</v>
      </c>
      <c r="B117" s="79" t="s">
        <v>77</v>
      </c>
      <c r="C117" s="79" t="s">
        <v>903</v>
      </c>
      <c r="D117" s="79"/>
      <c r="E117" s="79"/>
      <c r="F117" s="79"/>
      <c r="G117" s="79"/>
      <c r="H117" s="79"/>
      <c r="I117" s="79"/>
      <c r="J117" s="79"/>
      <c r="K117" s="79">
        <f t="shared" si="4"/>
        <v>0</v>
      </c>
      <c r="L117" s="79">
        <f t="shared" si="5"/>
        <v>0</v>
      </c>
      <c r="M117" s="79" t="str">
        <f t="shared" si="6"/>
        <v/>
      </c>
      <c r="N117" s="79" t="str">
        <f t="shared" si="7"/>
        <v/>
      </c>
      <c r="O117" s="79" t="s">
        <v>1059</v>
      </c>
    </row>
    <row r="118" ht="39" spans="1:15">
      <c r="A118" s="79" t="s">
        <v>441</v>
      </c>
      <c r="B118" s="79" t="s">
        <v>77</v>
      </c>
      <c r="C118" s="79" t="s">
        <v>903</v>
      </c>
      <c r="D118" s="79"/>
      <c r="E118" s="79"/>
      <c r="F118" s="79"/>
      <c r="G118" s="79"/>
      <c r="H118" s="79"/>
      <c r="I118" s="79"/>
      <c r="J118" s="79"/>
      <c r="K118" s="79">
        <f t="shared" si="4"/>
        <v>0</v>
      </c>
      <c r="L118" s="79">
        <f t="shared" si="5"/>
        <v>0</v>
      </c>
      <c r="M118" s="79" t="str">
        <f t="shared" si="6"/>
        <v/>
      </c>
      <c r="N118" s="79" t="str">
        <f t="shared" si="7"/>
        <v/>
      </c>
      <c r="O118" s="79" t="s">
        <v>1059</v>
      </c>
    </row>
    <row r="119" ht="39" spans="1:15">
      <c r="A119" s="79" t="s">
        <v>443</v>
      </c>
      <c r="B119" s="79" t="s">
        <v>77</v>
      </c>
      <c r="C119" s="79" t="s">
        <v>903</v>
      </c>
      <c r="D119" s="79"/>
      <c r="E119" s="79"/>
      <c r="F119" s="79"/>
      <c r="G119" s="79"/>
      <c r="H119" s="79"/>
      <c r="I119" s="79"/>
      <c r="J119" s="79"/>
      <c r="K119" s="79">
        <f t="shared" si="4"/>
        <v>0</v>
      </c>
      <c r="L119" s="79">
        <f t="shared" si="5"/>
        <v>0</v>
      </c>
      <c r="M119" s="79" t="str">
        <f t="shared" si="6"/>
        <v/>
      </c>
      <c r="N119" s="79" t="str">
        <f t="shared" si="7"/>
        <v/>
      </c>
      <c r="O119" s="79" t="s">
        <v>1059</v>
      </c>
    </row>
    <row r="120" ht="39" spans="1:15">
      <c r="A120" s="79" t="s">
        <v>444</v>
      </c>
      <c r="B120" s="79" t="s">
        <v>77</v>
      </c>
      <c r="C120" s="79" t="s">
        <v>903</v>
      </c>
      <c r="D120" s="79"/>
      <c r="E120" s="79"/>
      <c r="F120" s="79"/>
      <c r="G120" s="79"/>
      <c r="H120" s="79"/>
      <c r="I120" s="79"/>
      <c r="J120" s="79"/>
      <c r="K120" s="79">
        <f t="shared" si="4"/>
        <v>0</v>
      </c>
      <c r="L120" s="79">
        <f t="shared" si="5"/>
        <v>0</v>
      </c>
      <c r="M120" s="79" t="str">
        <f t="shared" si="6"/>
        <v/>
      </c>
      <c r="N120" s="79" t="str">
        <f t="shared" si="7"/>
        <v/>
      </c>
      <c r="O120" s="79" t="s">
        <v>1059</v>
      </c>
    </row>
    <row r="121" ht="39" spans="1:15">
      <c r="A121" s="79" t="s">
        <v>445</v>
      </c>
      <c r="B121" s="79" t="s">
        <v>77</v>
      </c>
      <c r="C121" s="79" t="s">
        <v>903</v>
      </c>
      <c r="D121" s="79"/>
      <c r="E121" s="79"/>
      <c r="F121" s="79"/>
      <c r="G121" s="79"/>
      <c r="H121" s="79"/>
      <c r="I121" s="79"/>
      <c r="J121" s="79"/>
      <c r="K121" s="79">
        <f t="shared" si="4"/>
        <v>0</v>
      </c>
      <c r="L121" s="79">
        <f t="shared" si="5"/>
        <v>0</v>
      </c>
      <c r="M121" s="79" t="str">
        <f t="shared" si="6"/>
        <v/>
      </c>
      <c r="N121" s="79" t="str">
        <f t="shared" si="7"/>
        <v/>
      </c>
      <c r="O121" s="79" t="s">
        <v>1059</v>
      </c>
    </row>
    <row r="122" ht="39" spans="1:15">
      <c r="A122" s="79" t="s">
        <v>446</v>
      </c>
      <c r="B122" s="79" t="s">
        <v>77</v>
      </c>
      <c r="C122" s="79" t="s">
        <v>904</v>
      </c>
      <c r="D122" s="79"/>
      <c r="E122" s="79"/>
      <c r="F122" s="79"/>
      <c r="G122" s="79"/>
      <c r="H122" s="79"/>
      <c r="I122" s="79"/>
      <c r="J122" s="79"/>
      <c r="K122" s="79">
        <f t="shared" si="4"/>
        <v>0</v>
      </c>
      <c r="L122" s="79">
        <f t="shared" si="5"/>
        <v>0</v>
      </c>
      <c r="M122" s="79" t="str">
        <f t="shared" si="6"/>
        <v/>
      </c>
      <c r="N122" s="79" t="str">
        <f t="shared" si="7"/>
        <v/>
      </c>
      <c r="O122" s="79" t="s">
        <v>1059</v>
      </c>
    </row>
    <row r="123" ht="39" spans="1:15">
      <c r="A123" s="79" t="s">
        <v>447</v>
      </c>
      <c r="B123" s="79" t="s">
        <v>77</v>
      </c>
      <c r="C123" s="79" t="s">
        <v>903</v>
      </c>
      <c r="D123" s="79"/>
      <c r="E123" s="79"/>
      <c r="F123" s="79"/>
      <c r="G123" s="79"/>
      <c r="H123" s="79"/>
      <c r="I123" s="79"/>
      <c r="J123" s="79"/>
      <c r="K123" s="79">
        <f t="shared" si="4"/>
        <v>0</v>
      </c>
      <c r="L123" s="79">
        <f t="shared" si="5"/>
        <v>0</v>
      </c>
      <c r="M123" s="79" t="str">
        <f t="shared" si="6"/>
        <v/>
      </c>
      <c r="N123" s="79" t="str">
        <f t="shared" si="7"/>
        <v/>
      </c>
      <c r="O123" s="79" t="s">
        <v>1059</v>
      </c>
    </row>
    <row r="124" ht="39" spans="1:15">
      <c r="A124" s="79" t="s">
        <v>448</v>
      </c>
      <c r="B124" s="79" t="s">
        <v>77</v>
      </c>
      <c r="C124" s="79" t="s">
        <v>905</v>
      </c>
      <c r="D124" s="79"/>
      <c r="E124" s="79"/>
      <c r="F124" s="79"/>
      <c r="G124" s="79"/>
      <c r="H124" s="79"/>
      <c r="I124" s="79"/>
      <c r="J124" s="79"/>
      <c r="K124" s="79">
        <f t="shared" si="4"/>
        <v>0</v>
      </c>
      <c r="L124" s="79">
        <f t="shared" si="5"/>
        <v>0</v>
      </c>
      <c r="M124" s="79" t="str">
        <f t="shared" si="6"/>
        <v/>
      </c>
      <c r="N124" s="79" t="str">
        <f t="shared" si="7"/>
        <v/>
      </c>
      <c r="O124" s="79" t="s">
        <v>1059</v>
      </c>
    </row>
    <row r="125" ht="39" spans="1:15">
      <c r="A125" s="79" t="s">
        <v>451</v>
      </c>
      <c r="B125" s="79" t="s">
        <v>77</v>
      </c>
      <c r="C125" s="79" t="s">
        <v>906</v>
      </c>
      <c r="D125" s="79"/>
      <c r="E125" s="79"/>
      <c r="F125" s="79"/>
      <c r="G125" s="79"/>
      <c r="H125" s="79"/>
      <c r="I125" s="79"/>
      <c r="J125" s="79"/>
      <c r="K125" s="79">
        <f t="shared" si="4"/>
        <v>0</v>
      </c>
      <c r="L125" s="79">
        <f t="shared" si="5"/>
        <v>0</v>
      </c>
      <c r="M125" s="79" t="str">
        <f t="shared" si="6"/>
        <v/>
      </c>
      <c r="N125" s="79" t="str">
        <f t="shared" si="7"/>
        <v/>
      </c>
      <c r="O125" s="79" t="s">
        <v>1059</v>
      </c>
    </row>
    <row r="126" ht="39" spans="1:15">
      <c r="A126" s="79" t="s">
        <v>452</v>
      </c>
      <c r="B126" s="79" t="s">
        <v>77</v>
      </c>
      <c r="C126" s="79" t="s">
        <v>905</v>
      </c>
      <c r="D126" s="79"/>
      <c r="E126" s="79"/>
      <c r="F126" s="79"/>
      <c r="G126" s="79"/>
      <c r="H126" s="79"/>
      <c r="I126" s="79"/>
      <c r="J126" s="79"/>
      <c r="K126" s="79">
        <f t="shared" si="4"/>
        <v>0</v>
      </c>
      <c r="L126" s="79">
        <f t="shared" si="5"/>
        <v>0</v>
      </c>
      <c r="M126" s="79" t="str">
        <f t="shared" si="6"/>
        <v/>
      </c>
      <c r="N126" s="79" t="str">
        <f t="shared" si="7"/>
        <v/>
      </c>
      <c r="O126" s="79" t="s">
        <v>1059</v>
      </c>
    </row>
    <row r="127" ht="39" spans="1:15">
      <c r="A127" s="79" t="s">
        <v>454</v>
      </c>
      <c r="B127" s="79" t="s">
        <v>77</v>
      </c>
      <c r="C127" s="79" t="s">
        <v>905</v>
      </c>
      <c r="D127" s="79"/>
      <c r="E127" s="79"/>
      <c r="F127" s="79"/>
      <c r="G127" s="79"/>
      <c r="H127" s="79"/>
      <c r="I127" s="79"/>
      <c r="J127" s="79"/>
      <c r="K127" s="79">
        <f t="shared" si="4"/>
        <v>0</v>
      </c>
      <c r="L127" s="79">
        <f t="shared" si="5"/>
        <v>0</v>
      </c>
      <c r="M127" s="79" t="str">
        <f t="shared" si="6"/>
        <v/>
      </c>
      <c r="N127" s="79" t="str">
        <f t="shared" si="7"/>
        <v/>
      </c>
      <c r="O127" s="79" t="s">
        <v>1059</v>
      </c>
    </row>
    <row r="128" ht="39" spans="1:15">
      <c r="A128" s="79" t="s">
        <v>455</v>
      </c>
      <c r="B128" s="79" t="s">
        <v>77</v>
      </c>
      <c r="C128" s="79" t="s">
        <v>907</v>
      </c>
      <c r="D128" s="79"/>
      <c r="E128" s="79"/>
      <c r="F128" s="79"/>
      <c r="G128" s="79"/>
      <c r="H128" s="79"/>
      <c r="I128" s="79"/>
      <c r="J128" s="79"/>
      <c r="K128" s="79">
        <f t="shared" si="4"/>
        <v>0</v>
      </c>
      <c r="L128" s="79">
        <f t="shared" si="5"/>
        <v>0</v>
      </c>
      <c r="M128" s="79" t="str">
        <f t="shared" si="6"/>
        <v/>
      </c>
      <c r="N128" s="79" t="str">
        <f t="shared" si="7"/>
        <v/>
      </c>
      <c r="O128" s="79" t="s">
        <v>1059</v>
      </c>
    </row>
    <row r="129" ht="39" spans="1:15">
      <c r="A129" s="79" t="s">
        <v>457</v>
      </c>
      <c r="B129" s="79" t="s">
        <v>77</v>
      </c>
      <c r="C129" s="79" t="s">
        <v>903</v>
      </c>
      <c r="D129" s="79"/>
      <c r="E129" s="79"/>
      <c r="F129" s="79"/>
      <c r="G129" s="79"/>
      <c r="H129" s="79"/>
      <c r="I129" s="79"/>
      <c r="J129" s="79"/>
      <c r="K129" s="79">
        <f t="shared" si="4"/>
        <v>0</v>
      </c>
      <c r="L129" s="79">
        <f t="shared" si="5"/>
        <v>0</v>
      </c>
      <c r="M129" s="79" t="str">
        <f t="shared" si="6"/>
        <v/>
      </c>
      <c r="N129" s="79" t="str">
        <f t="shared" si="7"/>
        <v/>
      </c>
      <c r="O129" s="79" t="s">
        <v>1059</v>
      </c>
    </row>
    <row r="130" ht="39" spans="1:15">
      <c r="A130" s="79" t="s">
        <v>458</v>
      </c>
      <c r="B130" s="79" t="s">
        <v>77</v>
      </c>
      <c r="C130" s="79" t="s">
        <v>908</v>
      </c>
      <c r="D130" s="79"/>
      <c r="E130" s="79"/>
      <c r="F130" s="79"/>
      <c r="G130" s="79"/>
      <c r="H130" s="79"/>
      <c r="I130" s="79"/>
      <c r="J130" s="79"/>
      <c r="K130" s="79">
        <f t="shared" si="4"/>
        <v>0</v>
      </c>
      <c r="L130" s="79">
        <f t="shared" si="5"/>
        <v>0</v>
      </c>
      <c r="M130" s="79" t="str">
        <f t="shared" si="6"/>
        <v/>
      </c>
      <c r="N130" s="79" t="str">
        <f t="shared" si="7"/>
        <v/>
      </c>
      <c r="O130" s="79" t="s">
        <v>1059</v>
      </c>
    </row>
    <row r="131" ht="39" spans="1:15">
      <c r="A131" s="79" t="s">
        <v>459</v>
      </c>
      <c r="B131" s="79" t="s">
        <v>77</v>
      </c>
      <c r="C131" s="79" t="s">
        <v>903</v>
      </c>
      <c r="D131" s="79"/>
      <c r="E131" s="79"/>
      <c r="F131" s="79"/>
      <c r="G131" s="79"/>
      <c r="H131" s="79"/>
      <c r="I131" s="79"/>
      <c r="J131" s="79"/>
      <c r="K131" s="79">
        <f t="shared" si="4"/>
        <v>0</v>
      </c>
      <c r="L131" s="79">
        <f t="shared" si="5"/>
        <v>0</v>
      </c>
      <c r="M131" s="79" t="str">
        <f t="shared" si="6"/>
        <v/>
      </c>
      <c r="N131" s="79" t="str">
        <f t="shared" si="7"/>
        <v/>
      </c>
      <c r="O131" s="79" t="s">
        <v>1059</v>
      </c>
    </row>
    <row r="132" ht="52" spans="1:15">
      <c r="A132" s="79" t="s">
        <v>461</v>
      </c>
      <c r="B132" s="79" t="s">
        <v>77</v>
      </c>
      <c r="C132" s="79" t="s">
        <v>909</v>
      </c>
      <c r="D132" s="79"/>
      <c r="E132" s="79"/>
      <c r="F132" s="79"/>
      <c r="G132" s="79"/>
      <c r="H132" s="79"/>
      <c r="I132" s="79"/>
      <c r="J132" s="79"/>
      <c r="K132" s="79">
        <f t="shared" ref="K132:K195" si="8">IFERROR((E132-F132)/MAX(1,(I132-J132)/365),"")</f>
        <v>0</v>
      </c>
      <c r="L132" s="79">
        <f t="shared" ref="L132:L195" si="9">IFERROR((H132-F132)/MAX(1,(I132-J132)/365),"")</f>
        <v>0</v>
      </c>
      <c r="M132" s="79" t="str">
        <f t="shared" ref="M132:M195" si="10">IFERROR((F132-G132)/MAX(K132,L132),"")</f>
        <v/>
      </c>
      <c r="N132" s="79" t="str">
        <f t="shared" ref="N132:N195" si="11">IF(M132="","",IF(M132&lt;=4,5,IF(M132&lt;=6,4,IF(M132&lt;=8,3,IF(M132&lt;=10,2,1)))))</f>
        <v/>
      </c>
      <c r="O132" s="79" t="s">
        <v>1059</v>
      </c>
    </row>
    <row r="133" ht="52" spans="1:15">
      <c r="A133" s="79" t="s">
        <v>463</v>
      </c>
      <c r="B133" s="79" t="s">
        <v>77</v>
      </c>
      <c r="C133" s="79" t="s">
        <v>909</v>
      </c>
      <c r="D133" s="79"/>
      <c r="E133" s="79"/>
      <c r="F133" s="79"/>
      <c r="G133" s="79"/>
      <c r="H133" s="79"/>
      <c r="I133" s="79"/>
      <c r="J133" s="79"/>
      <c r="K133" s="79">
        <f t="shared" si="8"/>
        <v>0</v>
      </c>
      <c r="L133" s="79">
        <f t="shared" si="9"/>
        <v>0</v>
      </c>
      <c r="M133" s="79" t="str">
        <f t="shared" si="10"/>
        <v/>
      </c>
      <c r="N133" s="79" t="str">
        <f t="shared" si="11"/>
        <v/>
      </c>
      <c r="O133" s="79" t="s">
        <v>1059</v>
      </c>
    </row>
    <row r="134" ht="52" spans="1:15">
      <c r="A134" s="79" t="s">
        <v>464</v>
      </c>
      <c r="B134" s="79" t="s">
        <v>77</v>
      </c>
      <c r="C134" s="79" t="s">
        <v>909</v>
      </c>
      <c r="D134" s="79"/>
      <c r="E134" s="79"/>
      <c r="F134" s="79"/>
      <c r="G134" s="79"/>
      <c r="H134" s="79"/>
      <c r="I134" s="79"/>
      <c r="J134" s="79"/>
      <c r="K134" s="79">
        <f t="shared" si="8"/>
        <v>0</v>
      </c>
      <c r="L134" s="79">
        <f t="shared" si="9"/>
        <v>0</v>
      </c>
      <c r="M134" s="79" t="str">
        <f t="shared" si="10"/>
        <v/>
      </c>
      <c r="N134" s="79" t="str">
        <f t="shared" si="11"/>
        <v/>
      </c>
      <c r="O134" s="79" t="s">
        <v>1059</v>
      </c>
    </row>
    <row r="135" ht="39" spans="1:15">
      <c r="A135" s="79" t="s">
        <v>465</v>
      </c>
      <c r="B135" s="79" t="s">
        <v>77</v>
      </c>
      <c r="C135" s="79" t="s">
        <v>903</v>
      </c>
      <c r="D135" s="79"/>
      <c r="E135" s="79"/>
      <c r="F135" s="79"/>
      <c r="G135" s="79"/>
      <c r="H135" s="79"/>
      <c r="I135" s="79"/>
      <c r="J135" s="79"/>
      <c r="K135" s="79">
        <f t="shared" si="8"/>
        <v>0</v>
      </c>
      <c r="L135" s="79">
        <f t="shared" si="9"/>
        <v>0</v>
      </c>
      <c r="M135" s="79" t="str">
        <f t="shared" si="10"/>
        <v/>
      </c>
      <c r="N135" s="79" t="str">
        <f t="shared" si="11"/>
        <v/>
      </c>
      <c r="O135" s="79" t="s">
        <v>1059</v>
      </c>
    </row>
    <row r="136" ht="52" spans="1:15">
      <c r="A136" s="79" t="s">
        <v>466</v>
      </c>
      <c r="B136" s="79" t="s">
        <v>77</v>
      </c>
      <c r="C136" s="79" t="s">
        <v>909</v>
      </c>
      <c r="D136" s="79"/>
      <c r="E136" s="79"/>
      <c r="F136" s="79"/>
      <c r="G136" s="79"/>
      <c r="H136" s="79"/>
      <c r="I136" s="79"/>
      <c r="J136" s="79"/>
      <c r="K136" s="79">
        <f t="shared" si="8"/>
        <v>0</v>
      </c>
      <c r="L136" s="79">
        <f t="shared" si="9"/>
        <v>0</v>
      </c>
      <c r="M136" s="79" t="str">
        <f t="shared" si="10"/>
        <v/>
      </c>
      <c r="N136" s="79" t="str">
        <f t="shared" si="11"/>
        <v/>
      </c>
      <c r="O136" s="79" t="s">
        <v>1059</v>
      </c>
    </row>
    <row r="137" ht="39" spans="1:15">
      <c r="A137" s="79" t="s">
        <v>467</v>
      </c>
      <c r="B137" s="79" t="s">
        <v>77</v>
      </c>
      <c r="C137" s="79" t="s">
        <v>905</v>
      </c>
      <c r="D137" s="79"/>
      <c r="E137" s="79"/>
      <c r="F137" s="79"/>
      <c r="G137" s="79"/>
      <c r="H137" s="79"/>
      <c r="I137" s="79"/>
      <c r="J137" s="79"/>
      <c r="K137" s="79">
        <f t="shared" si="8"/>
        <v>0</v>
      </c>
      <c r="L137" s="79">
        <f t="shared" si="9"/>
        <v>0</v>
      </c>
      <c r="M137" s="79" t="str">
        <f t="shared" si="10"/>
        <v/>
      </c>
      <c r="N137" s="79" t="str">
        <f t="shared" si="11"/>
        <v/>
      </c>
      <c r="O137" s="79" t="s">
        <v>1059</v>
      </c>
    </row>
    <row r="138" ht="39" spans="1:15">
      <c r="A138" s="79" t="s">
        <v>468</v>
      </c>
      <c r="B138" s="79" t="s">
        <v>77</v>
      </c>
      <c r="C138" s="79" t="s">
        <v>905</v>
      </c>
      <c r="D138" s="79"/>
      <c r="E138" s="79"/>
      <c r="F138" s="79"/>
      <c r="G138" s="79"/>
      <c r="H138" s="79"/>
      <c r="I138" s="79"/>
      <c r="J138" s="79"/>
      <c r="K138" s="79">
        <f t="shared" si="8"/>
        <v>0</v>
      </c>
      <c r="L138" s="79">
        <f t="shared" si="9"/>
        <v>0</v>
      </c>
      <c r="M138" s="79" t="str">
        <f t="shared" si="10"/>
        <v/>
      </c>
      <c r="N138" s="79" t="str">
        <f t="shared" si="11"/>
        <v/>
      </c>
      <c r="O138" s="79" t="s">
        <v>1059</v>
      </c>
    </row>
    <row r="139" ht="39" spans="1:15">
      <c r="A139" s="79" t="s">
        <v>469</v>
      </c>
      <c r="B139" s="79" t="s">
        <v>77</v>
      </c>
      <c r="C139" s="79" t="s">
        <v>903</v>
      </c>
      <c r="D139" s="79"/>
      <c r="E139" s="79"/>
      <c r="F139" s="79"/>
      <c r="G139" s="79"/>
      <c r="H139" s="79"/>
      <c r="I139" s="79"/>
      <c r="J139" s="79"/>
      <c r="K139" s="79">
        <f t="shared" si="8"/>
        <v>0</v>
      </c>
      <c r="L139" s="79">
        <f t="shared" si="9"/>
        <v>0</v>
      </c>
      <c r="M139" s="79" t="str">
        <f t="shared" si="10"/>
        <v/>
      </c>
      <c r="N139" s="79" t="str">
        <f t="shared" si="11"/>
        <v/>
      </c>
      <c r="O139" s="79" t="s">
        <v>1059</v>
      </c>
    </row>
    <row r="140" ht="39" spans="1:15">
      <c r="A140" s="79" t="s">
        <v>470</v>
      </c>
      <c r="B140" s="79" t="s">
        <v>77</v>
      </c>
      <c r="C140" s="79" t="s">
        <v>903</v>
      </c>
      <c r="D140" s="79"/>
      <c r="E140" s="79"/>
      <c r="F140" s="79"/>
      <c r="G140" s="79"/>
      <c r="H140" s="79"/>
      <c r="I140" s="79"/>
      <c r="J140" s="79"/>
      <c r="K140" s="79">
        <f t="shared" si="8"/>
        <v>0</v>
      </c>
      <c r="L140" s="79">
        <f t="shared" si="9"/>
        <v>0</v>
      </c>
      <c r="M140" s="79" t="str">
        <f t="shared" si="10"/>
        <v/>
      </c>
      <c r="N140" s="79" t="str">
        <f t="shared" si="11"/>
        <v/>
      </c>
      <c r="O140" s="79" t="s">
        <v>1059</v>
      </c>
    </row>
    <row r="141" ht="39" spans="1:15">
      <c r="A141" s="79" t="s">
        <v>471</v>
      </c>
      <c r="B141" s="79" t="s">
        <v>77</v>
      </c>
      <c r="C141" s="79" t="s">
        <v>907</v>
      </c>
      <c r="D141" s="79"/>
      <c r="E141" s="79"/>
      <c r="F141" s="79"/>
      <c r="G141" s="79"/>
      <c r="H141" s="79"/>
      <c r="I141" s="79"/>
      <c r="J141" s="79"/>
      <c r="K141" s="79">
        <f t="shared" si="8"/>
        <v>0</v>
      </c>
      <c r="L141" s="79">
        <f t="shared" si="9"/>
        <v>0</v>
      </c>
      <c r="M141" s="79" t="str">
        <f t="shared" si="10"/>
        <v/>
      </c>
      <c r="N141" s="79" t="str">
        <f t="shared" si="11"/>
        <v/>
      </c>
      <c r="O141" s="79" t="s">
        <v>1059</v>
      </c>
    </row>
    <row r="142" ht="39" spans="1:15">
      <c r="A142" s="79" t="s">
        <v>472</v>
      </c>
      <c r="B142" s="79" t="s">
        <v>77</v>
      </c>
      <c r="C142" s="79" t="s">
        <v>903</v>
      </c>
      <c r="D142" s="79"/>
      <c r="E142" s="79"/>
      <c r="F142" s="79"/>
      <c r="G142" s="79"/>
      <c r="H142" s="79"/>
      <c r="I142" s="79"/>
      <c r="J142" s="79"/>
      <c r="K142" s="79">
        <f t="shared" si="8"/>
        <v>0</v>
      </c>
      <c r="L142" s="79">
        <f t="shared" si="9"/>
        <v>0</v>
      </c>
      <c r="M142" s="79" t="str">
        <f t="shared" si="10"/>
        <v/>
      </c>
      <c r="N142" s="79" t="str">
        <f t="shared" si="11"/>
        <v/>
      </c>
      <c r="O142" s="79" t="s">
        <v>1059</v>
      </c>
    </row>
    <row r="143" ht="39" spans="1:15">
      <c r="A143" s="79" t="s">
        <v>473</v>
      </c>
      <c r="B143" s="79" t="s">
        <v>77</v>
      </c>
      <c r="C143" s="79" t="s">
        <v>903</v>
      </c>
      <c r="D143" s="79"/>
      <c r="E143" s="79"/>
      <c r="F143" s="79"/>
      <c r="G143" s="79"/>
      <c r="H143" s="79"/>
      <c r="I143" s="79"/>
      <c r="J143" s="79"/>
      <c r="K143" s="79">
        <f t="shared" si="8"/>
        <v>0</v>
      </c>
      <c r="L143" s="79">
        <f t="shared" si="9"/>
        <v>0</v>
      </c>
      <c r="M143" s="79" t="str">
        <f t="shared" si="10"/>
        <v/>
      </c>
      <c r="N143" s="79" t="str">
        <f t="shared" si="11"/>
        <v/>
      </c>
      <c r="O143" s="79" t="s">
        <v>1059</v>
      </c>
    </row>
    <row r="144" ht="52" spans="1:15">
      <c r="A144" s="79" t="s">
        <v>474</v>
      </c>
      <c r="B144" s="79" t="s">
        <v>77</v>
      </c>
      <c r="C144" s="79" t="s">
        <v>909</v>
      </c>
      <c r="D144" s="79"/>
      <c r="E144" s="79"/>
      <c r="F144" s="79"/>
      <c r="G144" s="79"/>
      <c r="H144" s="79"/>
      <c r="I144" s="79"/>
      <c r="J144" s="79"/>
      <c r="K144" s="79">
        <f t="shared" si="8"/>
        <v>0</v>
      </c>
      <c r="L144" s="79">
        <f t="shared" si="9"/>
        <v>0</v>
      </c>
      <c r="M144" s="79" t="str">
        <f t="shared" si="10"/>
        <v/>
      </c>
      <c r="N144" s="79" t="str">
        <f t="shared" si="11"/>
        <v/>
      </c>
      <c r="O144" s="79" t="s">
        <v>1059</v>
      </c>
    </row>
    <row r="145" ht="52" spans="1:15">
      <c r="A145" s="79" t="s">
        <v>476</v>
      </c>
      <c r="B145" s="79" t="s">
        <v>77</v>
      </c>
      <c r="C145" s="79" t="s">
        <v>909</v>
      </c>
      <c r="D145" s="79"/>
      <c r="E145" s="79"/>
      <c r="F145" s="79"/>
      <c r="G145" s="79"/>
      <c r="H145" s="79"/>
      <c r="I145" s="79"/>
      <c r="J145" s="79"/>
      <c r="K145" s="79">
        <f t="shared" si="8"/>
        <v>0</v>
      </c>
      <c r="L145" s="79">
        <f t="shared" si="9"/>
        <v>0</v>
      </c>
      <c r="M145" s="79" t="str">
        <f t="shared" si="10"/>
        <v/>
      </c>
      <c r="N145" s="79" t="str">
        <f t="shared" si="11"/>
        <v/>
      </c>
      <c r="O145" s="79" t="s">
        <v>1059</v>
      </c>
    </row>
    <row r="146" ht="52" spans="1:15">
      <c r="A146" s="79" t="s">
        <v>477</v>
      </c>
      <c r="B146" s="79" t="s">
        <v>77</v>
      </c>
      <c r="C146" s="79" t="s">
        <v>909</v>
      </c>
      <c r="D146" s="79"/>
      <c r="E146" s="79"/>
      <c r="F146" s="79"/>
      <c r="G146" s="79"/>
      <c r="H146" s="79"/>
      <c r="I146" s="79"/>
      <c r="J146" s="79"/>
      <c r="K146" s="79">
        <f t="shared" si="8"/>
        <v>0</v>
      </c>
      <c r="L146" s="79">
        <f t="shared" si="9"/>
        <v>0</v>
      </c>
      <c r="M146" s="79" t="str">
        <f t="shared" si="10"/>
        <v/>
      </c>
      <c r="N146" s="79" t="str">
        <f t="shared" si="11"/>
        <v/>
      </c>
      <c r="O146" s="79" t="s">
        <v>1059</v>
      </c>
    </row>
    <row r="147" ht="52" spans="1:15">
      <c r="A147" s="79" t="s">
        <v>478</v>
      </c>
      <c r="B147" s="79" t="s">
        <v>77</v>
      </c>
      <c r="C147" s="79" t="s">
        <v>909</v>
      </c>
      <c r="D147" s="79"/>
      <c r="E147" s="79"/>
      <c r="F147" s="79"/>
      <c r="G147" s="79"/>
      <c r="H147" s="79"/>
      <c r="I147" s="79"/>
      <c r="J147" s="79"/>
      <c r="K147" s="79">
        <f t="shared" si="8"/>
        <v>0</v>
      </c>
      <c r="L147" s="79">
        <f t="shared" si="9"/>
        <v>0</v>
      </c>
      <c r="M147" s="79" t="str">
        <f t="shared" si="10"/>
        <v/>
      </c>
      <c r="N147" s="79" t="str">
        <f t="shared" si="11"/>
        <v/>
      </c>
      <c r="O147" s="79" t="s">
        <v>1059</v>
      </c>
    </row>
    <row r="148" ht="39" spans="1:15">
      <c r="A148" s="79" t="s">
        <v>479</v>
      </c>
      <c r="B148" s="79" t="s">
        <v>77</v>
      </c>
      <c r="C148" s="79" t="s">
        <v>903</v>
      </c>
      <c r="D148" s="79"/>
      <c r="E148" s="79"/>
      <c r="F148" s="79"/>
      <c r="G148" s="79"/>
      <c r="H148" s="79"/>
      <c r="I148" s="79"/>
      <c r="J148" s="79"/>
      <c r="K148" s="79">
        <f t="shared" si="8"/>
        <v>0</v>
      </c>
      <c r="L148" s="79">
        <f t="shared" si="9"/>
        <v>0</v>
      </c>
      <c r="M148" s="79" t="str">
        <f t="shared" si="10"/>
        <v/>
      </c>
      <c r="N148" s="79" t="str">
        <f t="shared" si="11"/>
        <v/>
      </c>
      <c r="O148" s="79" t="s">
        <v>1059</v>
      </c>
    </row>
    <row r="149" ht="39" spans="1:15">
      <c r="A149" s="79" t="s">
        <v>481</v>
      </c>
      <c r="B149" s="79" t="s">
        <v>77</v>
      </c>
      <c r="C149" s="79" t="s">
        <v>903</v>
      </c>
      <c r="D149" s="79"/>
      <c r="E149" s="79"/>
      <c r="F149" s="79"/>
      <c r="G149" s="79"/>
      <c r="H149" s="79"/>
      <c r="I149" s="79"/>
      <c r="J149" s="79"/>
      <c r="K149" s="79">
        <f t="shared" si="8"/>
        <v>0</v>
      </c>
      <c r="L149" s="79">
        <f t="shared" si="9"/>
        <v>0</v>
      </c>
      <c r="M149" s="79" t="str">
        <f t="shared" si="10"/>
        <v/>
      </c>
      <c r="N149" s="79" t="str">
        <f t="shared" si="11"/>
        <v/>
      </c>
      <c r="O149" s="79" t="s">
        <v>1059</v>
      </c>
    </row>
    <row r="150" ht="39" spans="1:15">
      <c r="A150" s="79" t="s">
        <v>482</v>
      </c>
      <c r="B150" s="79" t="s">
        <v>77</v>
      </c>
      <c r="C150" s="79" t="s">
        <v>910</v>
      </c>
      <c r="D150" s="79"/>
      <c r="E150" s="79"/>
      <c r="F150" s="79"/>
      <c r="G150" s="79"/>
      <c r="H150" s="79"/>
      <c r="I150" s="79"/>
      <c r="J150" s="79"/>
      <c r="K150" s="79">
        <f t="shared" si="8"/>
        <v>0</v>
      </c>
      <c r="L150" s="79">
        <f t="shared" si="9"/>
        <v>0</v>
      </c>
      <c r="M150" s="79" t="str">
        <f t="shared" si="10"/>
        <v/>
      </c>
      <c r="N150" s="79" t="str">
        <f t="shared" si="11"/>
        <v/>
      </c>
      <c r="O150" s="79" t="s">
        <v>1059</v>
      </c>
    </row>
    <row r="151" ht="39" spans="1:15">
      <c r="A151" s="79" t="s">
        <v>486</v>
      </c>
      <c r="B151" s="79" t="s">
        <v>77</v>
      </c>
      <c r="C151" s="79" t="s">
        <v>910</v>
      </c>
      <c r="D151" s="79"/>
      <c r="E151" s="79"/>
      <c r="F151" s="79"/>
      <c r="G151" s="79"/>
      <c r="H151" s="79"/>
      <c r="I151" s="79"/>
      <c r="J151" s="79"/>
      <c r="K151" s="79">
        <f t="shared" si="8"/>
        <v>0</v>
      </c>
      <c r="L151" s="79">
        <f t="shared" si="9"/>
        <v>0</v>
      </c>
      <c r="M151" s="79" t="str">
        <f t="shared" si="10"/>
        <v/>
      </c>
      <c r="N151" s="79" t="str">
        <f t="shared" si="11"/>
        <v/>
      </c>
      <c r="O151" s="79" t="s">
        <v>1059</v>
      </c>
    </row>
    <row r="152" ht="39" spans="1:15">
      <c r="A152" s="79" t="s">
        <v>487</v>
      </c>
      <c r="B152" s="79" t="s">
        <v>77</v>
      </c>
      <c r="C152" s="79" t="s">
        <v>911</v>
      </c>
      <c r="D152" s="79"/>
      <c r="E152" s="79"/>
      <c r="F152" s="79"/>
      <c r="G152" s="79"/>
      <c r="H152" s="79"/>
      <c r="I152" s="79"/>
      <c r="J152" s="79"/>
      <c r="K152" s="79">
        <f t="shared" si="8"/>
        <v>0</v>
      </c>
      <c r="L152" s="79">
        <f t="shared" si="9"/>
        <v>0</v>
      </c>
      <c r="M152" s="79" t="str">
        <f t="shared" si="10"/>
        <v/>
      </c>
      <c r="N152" s="79" t="str">
        <f t="shared" si="11"/>
        <v/>
      </c>
      <c r="O152" s="79" t="s">
        <v>1059</v>
      </c>
    </row>
    <row r="153" ht="52" spans="1:15">
      <c r="A153" s="79" t="s">
        <v>490</v>
      </c>
      <c r="B153" s="79" t="s">
        <v>77</v>
      </c>
      <c r="C153" s="79" t="s">
        <v>912</v>
      </c>
      <c r="D153" s="79"/>
      <c r="E153" s="79"/>
      <c r="F153" s="79"/>
      <c r="G153" s="79"/>
      <c r="H153" s="79"/>
      <c r="I153" s="79"/>
      <c r="J153" s="79"/>
      <c r="K153" s="79">
        <f t="shared" si="8"/>
        <v>0</v>
      </c>
      <c r="L153" s="79">
        <f t="shared" si="9"/>
        <v>0</v>
      </c>
      <c r="M153" s="79" t="str">
        <f t="shared" si="10"/>
        <v/>
      </c>
      <c r="N153" s="79" t="str">
        <f t="shared" si="11"/>
        <v/>
      </c>
      <c r="O153" s="79" t="s">
        <v>1059</v>
      </c>
    </row>
    <row r="154" ht="52" spans="1:15">
      <c r="A154" s="79" t="s">
        <v>491</v>
      </c>
      <c r="B154" s="79" t="s">
        <v>77</v>
      </c>
      <c r="C154" s="79" t="s">
        <v>891</v>
      </c>
      <c r="D154" s="79"/>
      <c r="E154" s="79"/>
      <c r="F154" s="79"/>
      <c r="G154" s="79"/>
      <c r="H154" s="79"/>
      <c r="I154" s="79"/>
      <c r="J154" s="79"/>
      <c r="K154" s="79">
        <f t="shared" si="8"/>
        <v>0</v>
      </c>
      <c r="L154" s="79">
        <f t="shared" si="9"/>
        <v>0</v>
      </c>
      <c r="M154" s="79" t="str">
        <f t="shared" si="10"/>
        <v/>
      </c>
      <c r="N154" s="79" t="str">
        <f t="shared" si="11"/>
        <v/>
      </c>
      <c r="O154" s="79" t="s">
        <v>1059</v>
      </c>
    </row>
    <row r="155" ht="52" spans="1:15">
      <c r="A155" s="79" t="s">
        <v>494</v>
      </c>
      <c r="B155" s="79" t="s">
        <v>77</v>
      </c>
      <c r="C155" s="79" t="s">
        <v>891</v>
      </c>
      <c r="D155" s="79"/>
      <c r="E155" s="79"/>
      <c r="F155" s="79"/>
      <c r="G155" s="79"/>
      <c r="H155" s="79"/>
      <c r="I155" s="79"/>
      <c r="J155" s="79"/>
      <c r="K155" s="79">
        <f t="shared" si="8"/>
        <v>0</v>
      </c>
      <c r="L155" s="79">
        <f t="shared" si="9"/>
        <v>0</v>
      </c>
      <c r="M155" s="79" t="str">
        <f t="shared" si="10"/>
        <v/>
      </c>
      <c r="N155" s="79" t="str">
        <f t="shared" si="11"/>
        <v/>
      </c>
      <c r="O155" s="79" t="s">
        <v>1059</v>
      </c>
    </row>
    <row r="156" ht="39" spans="1:15">
      <c r="A156" s="79" t="s">
        <v>495</v>
      </c>
      <c r="B156" s="79" t="s">
        <v>77</v>
      </c>
      <c r="C156" s="79" t="s">
        <v>913</v>
      </c>
      <c r="D156" s="79"/>
      <c r="E156" s="79"/>
      <c r="F156" s="79"/>
      <c r="G156" s="79"/>
      <c r="H156" s="79"/>
      <c r="I156" s="79"/>
      <c r="J156" s="79"/>
      <c r="K156" s="79">
        <f t="shared" si="8"/>
        <v>0</v>
      </c>
      <c r="L156" s="79">
        <f t="shared" si="9"/>
        <v>0</v>
      </c>
      <c r="M156" s="79" t="str">
        <f t="shared" si="10"/>
        <v/>
      </c>
      <c r="N156" s="79" t="str">
        <f t="shared" si="11"/>
        <v/>
      </c>
      <c r="O156" s="79" t="s">
        <v>1059</v>
      </c>
    </row>
    <row r="157" ht="39" spans="1:15">
      <c r="A157" s="79" t="s">
        <v>496</v>
      </c>
      <c r="B157" s="79" t="s">
        <v>77</v>
      </c>
      <c r="C157" s="79" t="s">
        <v>913</v>
      </c>
      <c r="D157" s="79"/>
      <c r="E157" s="79"/>
      <c r="F157" s="79"/>
      <c r="G157" s="79"/>
      <c r="H157" s="79"/>
      <c r="I157" s="79"/>
      <c r="J157" s="79"/>
      <c r="K157" s="79">
        <f t="shared" si="8"/>
        <v>0</v>
      </c>
      <c r="L157" s="79">
        <f t="shared" si="9"/>
        <v>0</v>
      </c>
      <c r="M157" s="79" t="str">
        <f t="shared" si="10"/>
        <v/>
      </c>
      <c r="N157" s="79" t="str">
        <f t="shared" si="11"/>
        <v/>
      </c>
      <c r="O157" s="79" t="s">
        <v>1059</v>
      </c>
    </row>
    <row r="158" ht="52" spans="1:15">
      <c r="A158" s="79" t="s">
        <v>498</v>
      </c>
      <c r="B158" s="79" t="s">
        <v>77</v>
      </c>
      <c r="C158" s="79" t="s">
        <v>891</v>
      </c>
      <c r="D158" s="79"/>
      <c r="E158" s="79"/>
      <c r="F158" s="79"/>
      <c r="G158" s="79"/>
      <c r="H158" s="79"/>
      <c r="I158" s="79"/>
      <c r="J158" s="79"/>
      <c r="K158" s="79">
        <f t="shared" si="8"/>
        <v>0</v>
      </c>
      <c r="L158" s="79">
        <f t="shared" si="9"/>
        <v>0</v>
      </c>
      <c r="M158" s="79" t="str">
        <f t="shared" si="10"/>
        <v/>
      </c>
      <c r="N158" s="79" t="str">
        <f t="shared" si="11"/>
        <v/>
      </c>
      <c r="O158" s="79" t="s">
        <v>1059</v>
      </c>
    </row>
    <row r="159" ht="52" spans="1:15">
      <c r="A159" s="79" t="s">
        <v>502</v>
      </c>
      <c r="B159" s="79" t="s">
        <v>77</v>
      </c>
      <c r="C159" s="79" t="s">
        <v>891</v>
      </c>
      <c r="D159" s="79"/>
      <c r="E159" s="79"/>
      <c r="F159" s="79"/>
      <c r="G159" s="79"/>
      <c r="H159" s="79"/>
      <c r="I159" s="79"/>
      <c r="J159" s="79"/>
      <c r="K159" s="79">
        <f t="shared" si="8"/>
        <v>0</v>
      </c>
      <c r="L159" s="79">
        <f t="shared" si="9"/>
        <v>0</v>
      </c>
      <c r="M159" s="79" t="str">
        <f t="shared" si="10"/>
        <v/>
      </c>
      <c r="N159" s="79" t="str">
        <f t="shared" si="11"/>
        <v/>
      </c>
      <c r="O159" s="79" t="s">
        <v>1059</v>
      </c>
    </row>
    <row r="160" ht="52" spans="1:15">
      <c r="A160" s="79" t="s">
        <v>503</v>
      </c>
      <c r="B160" s="79" t="s">
        <v>77</v>
      </c>
      <c r="C160" s="79" t="s">
        <v>891</v>
      </c>
      <c r="D160" s="79"/>
      <c r="E160" s="79"/>
      <c r="F160" s="79"/>
      <c r="G160" s="79"/>
      <c r="H160" s="79"/>
      <c r="I160" s="79"/>
      <c r="J160" s="79"/>
      <c r="K160" s="79">
        <f t="shared" si="8"/>
        <v>0</v>
      </c>
      <c r="L160" s="79">
        <f t="shared" si="9"/>
        <v>0</v>
      </c>
      <c r="M160" s="79" t="str">
        <f t="shared" si="10"/>
        <v/>
      </c>
      <c r="N160" s="79" t="str">
        <f t="shared" si="11"/>
        <v/>
      </c>
      <c r="O160" s="79" t="s">
        <v>1059</v>
      </c>
    </row>
    <row r="161" ht="52" spans="1:15">
      <c r="A161" s="79" t="s">
        <v>504</v>
      </c>
      <c r="B161" s="79" t="s">
        <v>77</v>
      </c>
      <c r="C161" s="79" t="s">
        <v>891</v>
      </c>
      <c r="D161" s="79"/>
      <c r="E161" s="79"/>
      <c r="F161" s="79"/>
      <c r="G161" s="79"/>
      <c r="H161" s="79"/>
      <c r="I161" s="79"/>
      <c r="J161" s="79"/>
      <c r="K161" s="79">
        <f t="shared" si="8"/>
        <v>0</v>
      </c>
      <c r="L161" s="79">
        <f t="shared" si="9"/>
        <v>0</v>
      </c>
      <c r="M161" s="79" t="str">
        <f t="shared" si="10"/>
        <v/>
      </c>
      <c r="N161" s="79" t="str">
        <f t="shared" si="11"/>
        <v/>
      </c>
      <c r="O161" s="79" t="s">
        <v>1059</v>
      </c>
    </row>
    <row r="162" ht="52" spans="1:15">
      <c r="A162" s="79" t="s">
        <v>505</v>
      </c>
      <c r="B162" s="79" t="s">
        <v>77</v>
      </c>
      <c r="C162" s="79" t="s">
        <v>891</v>
      </c>
      <c r="D162" s="79"/>
      <c r="E162" s="79"/>
      <c r="F162" s="79"/>
      <c r="G162" s="79"/>
      <c r="H162" s="79"/>
      <c r="I162" s="79"/>
      <c r="J162" s="79"/>
      <c r="K162" s="79">
        <f t="shared" si="8"/>
        <v>0</v>
      </c>
      <c r="L162" s="79">
        <f t="shared" si="9"/>
        <v>0</v>
      </c>
      <c r="M162" s="79" t="str">
        <f t="shared" si="10"/>
        <v/>
      </c>
      <c r="N162" s="79" t="str">
        <f t="shared" si="11"/>
        <v/>
      </c>
      <c r="O162" s="79" t="s">
        <v>1059</v>
      </c>
    </row>
    <row r="163" ht="52" spans="1:15">
      <c r="A163" s="79" t="s">
        <v>507</v>
      </c>
      <c r="B163" s="79" t="s">
        <v>77</v>
      </c>
      <c r="C163" s="79" t="s">
        <v>891</v>
      </c>
      <c r="D163" s="79"/>
      <c r="E163" s="79"/>
      <c r="F163" s="79"/>
      <c r="G163" s="79"/>
      <c r="H163" s="79"/>
      <c r="I163" s="79"/>
      <c r="J163" s="79"/>
      <c r="K163" s="79">
        <f t="shared" si="8"/>
        <v>0</v>
      </c>
      <c r="L163" s="79">
        <f t="shared" si="9"/>
        <v>0</v>
      </c>
      <c r="M163" s="79" t="str">
        <f t="shared" si="10"/>
        <v/>
      </c>
      <c r="N163" s="79" t="str">
        <f t="shared" si="11"/>
        <v/>
      </c>
      <c r="O163" s="79" t="s">
        <v>1059</v>
      </c>
    </row>
    <row r="164" ht="52" spans="1:15">
      <c r="A164" s="79" t="s">
        <v>508</v>
      </c>
      <c r="B164" s="79" t="s">
        <v>77</v>
      </c>
      <c r="C164" s="79" t="s">
        <v>891</v>
      </c>
      <c r="D164" s="79"/>
      <c r="E164" s="79"/>
      <c r="F164" s="79"/>
      <c r="G164" s="79"/>
      <c r="H164" s="79"/>
      <c r="I164" s="79"/>
      <c r="J164" s="79"/>
      <c r="K164" s="79">
        <f t="shared" si="8"/>
        <v>0</v>
      </c>
      <c r="L164" s="79">
        <f t="shared" si="9"/>
        <v>0</v>
      </c>
      <c r="M164" s="79" t="str">
        <f t="shared" si="10"/>
        <v/>
      </c>
      <c r="N164" s="79" t="str">
        <f t="shared" si="11"/>
        <v/>
      </c>
      <c r="O164" s="79" t="s">
        <v>1059</v>
      </c>
    </row>
    <row r="165" ht="52" spans="1:15">
      <c r="A165" s="79" t="s">
        <v>509</v>
      </c>
      <c r="B165" s="79" t="s">
        <v>77</v>
      </c>
      <c r="C165" s="79" t="s">
        <v>891</v>
      </c>
      <c r="D165" s="79"/>
      <c r="E165" s="79"/>
      <c r="F165" s="79"/>
      <c r="G165" s="79"/>
      <c r="H165" s="79"/>
      <c r="I165" s="79"/>
      <c r="J165" s="79"/>
      <c r="K165" s="79">
        <f t="shared" si="8"/>
        <v>0</v>
      </c>
      <c r="L165" s="79">
        <f t="shared" si="9"/>
        <v>0</v>
      </c>
      <c r="M165" s="79" t="str">
        <f t="shared" si="10"/>
        <v/>
      </c>
      <c r="N165" s="79" t="str">
        <f t="shared" si="11"/>
        <v/>
      </c>
      <c r="O165" s="79" t="s">
        <v>1059</v>
      </c>
    </row>
    <row r="166" ht="52" spans="1:15">
      <c r="A166" s="79" t="s">
        <v>510</v>
      </c>
      <c r="B166" s="79" t="s">
        <v>77</v>
      </c>
      <c r="C166" s="79" t="s">
        <v>891</v>
      </c>
      <c r="D166" s="79"/>
      <c r="E166" s="79"/>
      <c r="F166" s="79"/>
      <c r="G166" s="79"/>
      <c r="H166" s="79"/>
      <c r="I166" s="79"/>
      <c r="J166" s="79"/>
      <c r="K166" s="79">
        <f t="shared" si="8"/>
        <v>0</v>
      </c>
      <c r="L166" s="79">
        <f t="shared" si="9"/>
        <v>0</v>
      </c>
      <c r="M166" s="79" t="str">
        <f t="shared" si="10"/>
        <v/>
      </c>
      <c r="N166" s="79" t="str">
        <f t="shared" si="11"/>
        <v/>
      </c>
      <c r="O166" s="79" t="s">
        <v>1059</v>
      </c>
    </row>
    <row r="167" ht="52" spans="1:15">
      <c r="A167" s="79" t="s">
        <v>511</v>
      </c>
      <c r="B167" s="79" t="s">
        <v>77</v>
      </c>
      <c r="C167" s="79" t="s">
        <v>891</v>
      </c>
      <c r="D167" s="79"/>
      <c r="E167" s="79"/>
      <c r="F167" s="79"/>
      <c r="G167" s="79"/>
      <c r="H167" s="79"/>
      <c r="I167" s="79"/>
      <c r="J167" s="79"/>
      <c r="K167" s="79">
        <f t="shared" si="8"/>
        <v>0</v>
      </c>
      <c r="L167" s="79">
        <f t="shared" si="9"/>
        <v>0</v>
      </c>
      <c r="M167" s="79" t="str">
        <f t="shared" si="10"/>
        <v/>
      </c>
      <c r="N167" s="79" t="str">
        <f t="shared" si="11"/>
        <v/>
      </c>
      <c r="O167" s="79" t="s">
        <v>1059</v>
      </c>
    </row>
    <row r="168" ht="39" spans="1:15">
      <c r="A168" s="79" t="s">
        <v>512</v>
      </c>
      <c r="B168" s="79" t="s">
        <v>77</v>
      </c>
      <c r="C168" s="79" t="s">
        <v>914</v>
      </c>
      <c r="D168" s="79"/>
      <c r="E168" s="79"/>
      <c r="F168" s="79"/>
      <c r="G168" s="79"/>
      <c r="H168" s="79"/>
      <c r="I168" s="79"/>
      <c r="J168" s="79"/>
      <c r="K168" s="79">
        <f t="shared" si="8"/>
        <v>0</v>
      </c>
      <c r="L168" s="79">
        <f t="shared" si="9"/>
        <v>0</v>
      </c>
      <c r="M168" s="79" t="str">
        <f t="shared" si="10"/>
        <v/>
      </c>
      <c r="N168" s="79" t="str">
        <f t="shared" si="11"/>
        <v/>
      </c>
      <c r="O168" s="79" t="s">
        <v>1059</v>
      </c>
    </row>
    <row r="169" ht="39" spans="1:15">
      <c r="A169" s="79" t="s">
        <v>514</v>
      </c>
      <c r="B169" s="79" t="s">
        <v>77</v>
      </c>
      <c r="C169" s="79" t="s">
        <v>914</v>
      </c>
      <c r="D169" s="79"/>
      <c r="E169" s="79"/>
      <c r="F169" s="79"/>
      <c r="G169" s="79"/>
      <c r="H169" s="79"/>
      <c r="I169" s="79"/>
      <c r="J169" s="79"/>
      <c r="K169" s="79">
        <f t="shared" si="8"/>
        <v>0</v>
      </c>
      <c r="L169" s="79">
        <f t="shared" si="9"/>
        <v>0</v>
      </c>
      <c r="M169" s="79" t="str">
        <f t="shared" si="10"/>
        <v/>
      </c>
      <c r="N169" s="79" t="str">
        <f t="shared" si="11"/>
        <v/>
      </c>
      <c r="O169" s="79" t="s">
        <v>1059</v>
      </c>
    </row>
    <row r="170" ht="39" spans="1:15">
      <c r="A170" s="79" t="s">
        <v>515</v>
      </c>
      <c r="B170" s="79" t="s">
        <v>77</v>
      </c>
      <c r="C170" s="79" t="s">
        <v>905</v>
      </c>
      <c r="D170" s="79"/>
      <c r="E170" s="79"/>
      <c r="F170" s="79"/>
      <c r="G170" s="79"/>
      <c r="H170" s="79"/>
      <c r="I170" s="79"/>
      <c r="J170" s="79"/>
      <c r="K170" s="79">
        <f t="shared" si="8"/>
        <v>0</v>
      </c>
      <c r="L170" s="79">
        <f t="shared" si="9"/>
        <v>0</v>
      </c>
      <c r="M170" s="79" t="str">
        <f t="shared" si="10"/>
        <v/>
      </c>
      <c r="N170" s="79" t="str">
        <f t="shared" si="11"/>
        <v/>
      </c>
      <c r="O170" s="79" t="s">
        <v>1059</v>
      </c>
    </row>
    <row r="171" ht="52" spans="1:15">
      <c r="A171" s="79" t="s">
        <v>517</v>
      </c>
      <c r="B171" s="79" t="s">
        <v>77</v>
      </c>
      <c r="C171" s="79" t="s">
        <v>891</v>
      </c>
      <c r="D171" s="79"/>
      <c r="E171" s="79"/>
      <c r="F171" s="79"/>
      <c r="G171" s="79"/>
      <c r="H171" s="79"/>
      <c r="I171" s="79"/>
      <c r="J171" s="79"/>
      <c r="K171" s="79">
        <f t="shared" si="8"/>
        <v>0</v>
      </c>
      <c r="L171" s="79">
        <f t="shared" si="9"/>
        <v>0</v>
      </c>
      <c r="M171" s="79" t="str">
        <f t="shared" si="10"/>
        <v/>
      </c>
      <c r="N171" s="79" t="str">
        <f t="shared" si="11"/>
        <v/>
      </c>
      <c r="O171" s="79" t="s">
        <v>1059</v>
      </c>
    </row>
    <row r="172" ht="52" spans="1:15">
      <c r="A172" s="79" t="s">
        <v>518</v>
      </c>
      <c r="B172" s="79" t="s">
        <v>77</v>
      </c>
      <c r="C172" s="79" t="s">
        <v>891</v>
      </c>
      <c r="D172" s="79"/>
      <c r="E172" s="79"/>
      <c r="F172" s="79"/>
      <c r="G172" s="79"/>
      <c r="H172" s="79"/>
      <c r="I172" s="79"/>
      <c r="J172" s="79"/>
      <c r="K172" s="79">
        <f t="shared" si="8"/>
        <v>0</v>
      </c>
      <c r="L172" s="79">
        <f t="shared" si="9"/>
        <v>0</v>
      </c>
      <c r="M172" s="79" t="str">
        <f t="shared" si="10"/>
        <v/>
      </c>
      <c r="N172" s="79" t="str">
        <f t="shared" si="11"/>
        <v/>
      </c>
      <c r="O172" s="79" t="s">
        <v>1059</v>
      </c>
    </row>
    <row r="173" ht="52" spans="1:15">
      <c r="A173" s="79" t="s">
        <v>519</v>
      </c>
      <c r="B173" s="79" t="s">
        <v>77</v>
      </c>
      <c r="C173" s="79" t="s">
        <v>891</v>
      </c>
      <c r="D173" s="79"/>
      <c r="E173" s="79"/>
      <c r="F173" s="79"/>
      <c r="G173" s="79"/>
      <c r="H173" s="79"/>
      <c r="I173" s="79"/>
      <c r="J173" s="79"/>
      <c r="K173" s="79">
        <f t="shared" si="8"/>
        <v>0</v>
      </c>
      <c r="L173" s="79">
        <f t="shared" si="9"/>
        <v>0</v>
      </c>
      <c r="M173" s="79" t="str">
        <f t="shared" si="10"/>
        <v/>
      </c>
      <c r="N173" s="79" t="str">
        <f t="shared" si="11"/>
        <v/>
      </c>
      <c r="O173" s="79" t="s">
        <v>1059</v>
      </c>
    </row>
    <row r="174" ht="52" spans="1:15">
      <c r="A174" s="79" t="s">
        <v>520</v>
      </c>
      <c r="B174" s="79" t="s">
        <v>77</v>
      </c>
      <c r="C174" s="79" t="s">
        <v>891</v>
      </c>
      <c r="D174" s="79"/>
      <c r="E174" s="79"/>
      <c r="F174" s="79"/>
      <c r="G174" s="79"/>
      <c r="H174" s="79"/>
      <c r="I174" s="79"/>
      <c r="J174" s="79"/>
      <c r="K174" s="79">
        <f t="shared" si="8"/>
        <v>0</v>
      </c>
      <c r="L174" s="79">
        <f t="shared" si="9"/>
        <v>0</v>
      </c>
      <c r="M174" s="79" t="str">
        <f t="shared" si="10"/>
        <v/>
      </c>
      <c r="N174" s="79" t="str">
        <f t="shared" si="11"/>
        <v/>
      </c>
      <c r="O174" s="79" t="s">
        <v>1059</v>
      </c>
    </row>
    <row r="175" ht="39" spans="1:15">
      <c r="A175" s="79" t="s">
        <v>521</v>
      </c>
      <c r="B175" s="79" t="s">
        <v>77</v>
      </c>
      <c r="C175" s="79" t="s">
        <v>915</v>
      </c>
      <c r="D175" s="79"/>
      <c r="E175" s="79"/>
      <c r="F175" s="79"/>
      <c r="G175" s="79"/>
      <c r="H175" s="79"/>
      <c r="I175" s="79"/>
      <c r="J175" s="79"/>
      <c r="K175" s="79">
        <f t="shared" si="8"/>
        <v>0</v>
      </c>
      <c r="L175" s="79">
        <f t="shared" si="9"/>
        <v>0</v>
      </c>
      <c r="M175" s="79" t="str">
        <f t="shared" si="10"/>
        <v/>
      </c>
      <c r="N175" s="79" t="str">
        <f t="shared" si="11"/>
        <v/>
      </c>
      <c r="O175" s="79" t="s">
        <v>1059</v>
      </c>
    </row>
    <row r="176" ht="39" spans="1:15">
      <c r="A176" s="79" t="s">
        <v>523</v>
      </c>
      <c r="B176" s="79" t="s">
        <v>77</v>
      </c>
      <c r="C176" s="79" t="s">
        <v>916</v>
      </c>
      <c r="D176" s="79"/>
      <c r="E176" s="79"/>
      <c r="F176" s="79"/>
      <c r="G176" s="79"/>
      <c r="H176" s="79"/>
      <c r="I176" s="79"/>
      <c r="J176" s="79"/>
      <c r="K176" s="79">
        <f t="shared" si="8"/>
        <v>0</v>
      </c>
      <c r="L176" s="79">
        <f t="shared" si="9"/>
        <v>0</v>
      </c>
      <c r="M176" s="79" t="str">
        <f t="shared" si="10"/>
        <v/>
      </c>
      <c r="N176" s="79" t="str">
        <f t="shared" si="11"/>
        <v/>
      </c>
      <c r="O176" s="79" t="s">
        <v>1059</v>
      </c>
    </row>
    <row r="177" ht="39" spans="1:15">
      <c r="A177" s="79" t="s">
        <v>524</v>
      </c>
      <c r="B177" s="79" t="s">
        <v>77</v>
      </c>
      <c r="C177" s="79" t="s">
        <v>905</v>
      </c>
      <c r="D177" s="79"/>
      <c r="E177" s="79"/>
      <c r="F177" s="79"/>
      <c r="G177" s="79"/>
      <c r="H177" s="79"/>
      <c r="I177" s="79"/>
      <c r="J177" s="79"/>
      <c r="K177" s="79">
        <f t="shared" si="8"/>
        <v>0</v>
      </c>
      <c r="L177" s="79">
        <f t="shared" si="9"/>
        <v>0</v>
      </c>
      <c r="M177" s="79" t="str">
        <f t="shared" si="10"/>
        <v/>
      </c>
      <c r="N177" s="79" t="str">
        <f t="shared" si="11"/>
        <v/>
      </c>
      <c r="O177" s="79" t="s">
        <v>1059</v>
      </c>
    </row>
    <row r="178" ht="52" spans="1:15">
      <c r="A178" s="79" t="s">
        <v>525</v>
      </c>
      <c r="B178" s="79" t="s">
        <v>77</v>
      </c>
      <c r="C178" s="79" t="s">
        <v>891</v>
      </c>
      <c r="D178" s="79"/>
      <c r="E178" s="79"/>
      <c r="F178" s="79"/>
      <c r="G178" s="79"/>
      <c r="H178" s="79"/>
      <c r="I178" s="79"/>
      <c r="J178" s="79"/>
      <c r="K178" s="79">
        <f t="shared" si="8"/>
        <v>0</v>
      </c>
      <c r="L178" s="79">
        <f t="shared" si="9"/>
        <v>0</v>
      </c>
      <c r="M178" s="79" t="str">
        <f t="shared" si="10"/>
        <v/>
      </c>
      <c r="N178" s="79" t="str">
        <f t="shared" si="11"/>
        <v/>
      </c>
      <c r="O178" s="79" t="s">
        <v>1059</v>
      </c>
    </row>
    <row r="179" ht="39" spans="1:15">
      <c r="A179" s="79" t="s">
        <v>526</v>
      </c>
      <c r="B179" s="79" t="s">
        <v>77</v>
      </c>
      <c r="C179" s="79" t="s">
        <v>903</v>
      </c>
      <c r="D179" s="79"/>
      <c r="E179" s="79"/>
      <c r="F179" s="79"/>
      <c r="G179" s="79"/>
      <c r="H179" s="79"/>
      <c r="I179" s="79"/>
      <c r="J179" s="79"/>
      <c r="K179" s="79">
        <f t="shared" si="8"/>
        <v>0</v>
      </c>
      <c r="L179" s="79">
        <f t="shared" si="9"/>
        <v>0</v>
      </c>
      <c r="M179" s="79" t="str">
        <f t="shared" si="10"/>
        <v/>
      </c>
      <c r="N179" s="79" t="str">
        <f t="shared" si="11"/>
        <v/>
      </c>
      <c r="O179" s="79" t="s">
        <v>1059</v>
      </c>
    </row>
    <row r="180" ht="39" spans="1:15">
      <c r="A180" s="79" t="s">
        <v>528</v>
      </c>
      <c r="B180" s="79" t="s">
        <v>77</v>
      </c>
      <c r="C180" s="79" t="s">
        <v>903</v>
      </c>
      <c r="D180" s="79"/>
      <c r="E180" s="79"/>
      <c r="F180" s="79"/>
      <c r="G180" s="79"/>
      <c r="H180" s="79"/>
      <c r="I180" s="79"/>
      <c r="J180" s="79"/>
      <c r="K180" s="79">
        <f t="shared" si="8"/>
        <v>0</v>
      </c>
      <c r="L180" s="79">
        <f t="shared" si="9"/>
        <v>0</v>
      </c>
      <c r="M180" s="79" t="str">
        <f t="shared" si="10"/>
        <v/>
      </c>
      <c r="N180" s="79" t="str">
        <f t="shared" si="11"/>
        <v/>
      </c>
      <c r="O180" s="79" t="s">
        <v>1059</v>
      </c>
    </row>
    <row r="181" ht="39" spans="1:15">
      <c r="A181" s="79" t="s">
        <v>529</v>
      </c>
      <c r="B181" s="79" t="s">
        <v>77</v>
      </c>
      <c r="C181" s="79" t="s">
        <v>903</v>
      </c>
      <c r="D181" s="79"/>
      <c r="E181" s="79"/>
      <c r="F181" s="79"/>
      <c r="G181" s="79"/>
      <c r="H181" s="79"/>
      <c r="I181" s="79"/>
      <c r="J181" s="79"/>
      <c r="K181" s="79">
        <f t="shared" si="8"/>
        <v>0</v>
      </c>
      <c r="L181" s="79">
        <f t="shared" si="9"/>
        <v>0</v>
      </c>
      <c r="M181" s="79" t="str">
        <f t="shared" si="10"/>
        <v/>
      </c>
      <c r="N181" s="79" t="str">
        <f t="shared" si="11"/>
        <v/>
      </c>
      <c r="O181" s="79" t="s">
        <v>1059</v>
      </c>
    </row>
    <row r="182" ht="39" spans="1:15">
      <c r="A182" s="79" t="s">
        <v>530</v>
      </c>
      <c r="B182" s="79" t="s">
        <v>77</v>
      </c>
      <c r="C182" s="79" t="s">
        <v>903</v>
      </c>
      <c r="D182" s="79"/>
      <c r="E182" s="79"/>
      <c r="F182" s="79"/>
      <c r="G182" s="79"/>
      <c r="H182" s="79"/>
      <c r="I182" s="79"/>
      <c r="J182" s="79"/>
      <c r="K182" s="79">
        <f t="shared" si="8"/>
        <v>0</v>
      </c>
      <c r="L182" s="79">
        <f t="shared" si="9"/>
        <v>0</v>
      </c>
      <c r="M182" s="79" t="str">
        <f t="shared" si="10"/>
        <v/>
      </c>
      <c r="N182" s="79" t="str">
        <f t="shared" si="11"/>
        <v/>
      </c>
      <c r="O182" s="79" t="s">
        <v>1059</v>
      </c>
    </row>
    <row r="183" ht="39" spans="1:15">
      <c r="A183" s="79" t="s">
        <v>531</v>
      </c>
      <c r="B183" s="79" t="s">
        <v>77</v>
      </c>
      <c r="C183" s="79" t="s">
        <v>903</v>
      </c>
      <c r="D183" s="79"/>
      <c r="E183" s="79"/>
      <c r="F183" s="79"/>
      <c r="G183" s="79"/>
      <c r="H183" s="79"/>
      <c r="I183" s="79"/>
      <c r="J183" s="79"/>
      <c r="K183" s="79">
        <f t="shared" si="8"/>
        <v>0</v>
      </c>
      <c r="L183" s="79">
        <f t="shared" si="9"/>
        <v>0</v>
      </c>
      <c r="M183" s="79" t="str">
        <f t="shared" si="10"/>
        <v/>
      </c>
      <c r="N183" s="79" t="str">
        <f t="shared" si="11"/>
        <v/>
      </c>
      <c r="O183" s="79" t="s">
        <v>1059</v>
      </c>
    </row>
    <row r="184" ht="39" spans="1:15">
      <c r="A184" s="79" t="s">
        <v>532</v>
      </c>
      <c r="B184" s="79" t="s">
        <v>77</v>
      </c>
      <c r="C184" s="79" t="s">
        <v>903</v>
      </c>
      <c r="D184" s="79"/>
      <c r="E184" s="79"/>
      <c r="F184" s="79"/>
      <c r="G184" s="79"/>
      <c r="H184" s="79"/>
      <c r="I184" s="79"/>
      <c r="J184" s="79"/>
      <c r="K184" s="79">
        <f t="shared" si="8"/>
        <v>0</v>
      </c>
      <c r="L184" s="79">
        <f t="shared" si="9"/>
        <v>0</v>
      </c>
      <c r="M184" s="79" t="str">
        <f t="shared" si="10"/>
        <v/>
      </c>
      <c r="N184" s="79" t="str">
        <f t="shared" si="11"/>
        <v/>
      </c>
      <c r="O184" s="79" t="s">
        <v>1059</v>
      </c>
    </row>
    <row r="185" ht="39" spans="1:15">
      <c r="A185" s="79" t="s">
        <v>533</v>
      </c>
      <c r="B185" s="79" t="s">
        <v>77</v>
      </c>
      <c r="C185" s="79" t="s">
        <v>917</v>
      </c>
      <c r="D185" s="79"/>
      <c r="E185" s="79"/>
      <c r="F185" s="79"/>
      <c r="G185" s="79"/>
      <c r="H185" s="79"/>
      <c r="I185" s="79"/>
      <c r="J185" s="79"/>
      <c r="K185" s="79">
        <f t="shared" si="8"/>
        <v>0</v>
      </c>
      <c r="L185" s="79">
        <f t="shared" si="9"/>
        <v>0</v>
      </c>
      <c r="M185" s="79" t="str">
        <f t="shared" si="10"/>
        <v/>
      </c>
      <c r="N185" s="79" t="str">
        <f t="shared" si="11"/>
        <v/>
      </c>
      <c r="O185" s="79" t="s">
        <v>1059</v>
      </c>
    </row>
    <row r="186" ht="39" spans="1:15">
      <c r="A186" s="79" t="s">
        <v>534</v>
      </c>
      <c r="B186" s="79" t="s">
        <v>77</v>
      </c>
      <c r="C186" s="79" t="s">
        <v>917</v>
      </c>
      <c r="D186" s="79"/>
      <c r="E186" s="79"/>
      <c r="F186" s="79"/>
      <c r="G186" s="79"/>
      <c r="H186" s="79"/>
      <c r="I186" s="79"/>
      <c r="J186" s="79"/>
      <c r="K186" s="79">
        <f t="shared" si="8"/>
        <v>0</v>
      </c>
      <c r="L186" s="79">
        <f t="shared" si="9"/>
        <v>0</v>
      </c>
      <c r="M186" s="79" t="str">
        <f t="shared" si="10"/>
        <v/>
      </c>
      <c r="N186" s="79" t="str">
        <f t="shared" si="11"/>
        <v/>
      </c>
      <c r="O186" s="79" t="s">
        <v>1059</v>
      </c>
    </row>
    <row r="187" ht="39" spans="1:15">
      <c r="A187" s="79" t="s">
        <v>535</v>
      </c>
      <c r="B187" s="79" t="s">
        <v>77</v>
      </c>
      <c r="C187" s="79" t="s">
        <v>917</v>
      </c>
      <c r="D187" s="79"/>
      <c r="E187" s="79"/>
      <c r="F187" s="79"/>
      <c r="G187" s="79"/>
      <c r="H187" s="79"/>
      <c r="I187" s="79"/>
      <c r="J187" s="79"/>
      <c r="K187" s="79">
        <f t="shared" si="8"/>
        <v>0</v>
      </c>
      <c r="L187" s="79">
        <f t="shared" si="9"/>
        <v>0</v>
      </c>
      <c r="M187" s="79" t="str">
        <f t="shared" si="10"/>
        <v/>
      </c>
      <c r="N187" s="79" t="str">
        <f t="shared" si="11"/>
        <v/>
      </c>
      <c r="O187" s="79" t="s">
        <v>1059</v>
      </c>
    </row>
    <row r="188" ht="39" spans="1:15">
      <c r="A188" s="79" t="s">
        <v>536</v>
      </c>
      <c r="B188" s="79" t="s">
        <v>77</v>
      </c>
      <c r="C188" s="79" t="s">
        <v>917</v>
      </c>
      <c r="D188" s="79"/>
      <c r="E188" s="79"/>
      <c r="F188" s="79"/>
      <c r="G188" s="79"/>
      <c r="H188" s="79"/>
      <c r="I188" s="79"/>
      <c r="J188" s="79"/>
      <c r="K188" s="79">
        <f t="shared" si="8"/>
        <v>0</v>
      </c>
      <c r="L188" s="79">
        <f t="shared" si="9"/>
        <v>0</v>
      </c>
      <c r="M188" s="79" t="str">
        <f t="shared" si="10"/>
        <v/>
      </c>
      <c r="N188" s="79" t="str">
        <f t="shared" si="11"/>
        <v/>
      </c>
      <c r="O188" s="79" t="s">
        <v>1059</v>
      </c>
    </row>
    <row r="189" ht="39" spans="1:15">
      <c r="A189" s="79" t="s">
        <v>537</v>
      </c>
      <c r="B189" s="79" t="s">
        <v>77</v>
      </c>
      <c r="C189" s="79" t="s">
        <v>917</v>
      </c>
      <c r="D189" s="79"/>
      <c r="E189" s="79"/>
      <c r="F189" s="79"/>
      <c r="G189" s="79"/>
      <c r="H189" s="79"/>
      <c r="I189" s="79"/>
      <c r="J189" s="79"/>
      <c r="K189" s="79">
        <f t="shared" si="8"/>
        <v>0</v>
      </c>
      <c r="L189" s="79">
        <f t="shared" si="9"/>
        <v>0</v>
      </c>
      <c r="M189" s="79" t="str">
        <f t="shared" si="10"/>
        <v/>
      </c>
      <c r="N189" s="79" t="str">
        <f t="shared" si="11"/>
        <v/>
      </c>
      <c r="O189" s="79" t="s">
        <v>1059</v>
      </c>
    </row>
    <row r="190" ht="39" spans="1:15">
      <c r="A190" s="79" t="s">
        <v>538</v>
      </c>
      <c r="B190" s="79" t="s">
        <v>77</v>
      </c>
      <c r="C190" s="79" t="s">
        <v>917</v>
      </c>
      <c r="D190" s="79"/>
      <c r="E190" s="79"/>
      <c r="F190" s="79"/>
      <c r="G190" s="79"/>
      <c r="H190" s="79"/>
      <c r="I190" s="79"/>
      <c r="J190" s="79"/>
      <c r="K190" s="79">
        <f t="shared" si="8"/>
        <v>0</v>
      </c>
      <c r="L190" s="79">
        <f t="shared" si="9"/>
        <v>0</v>
      </c>
      <c r="M190" s="79" t="str">
        <f t="shared" si="10"/>
        <v/>
      </c>
      <c r="N190" s="79" t="str">
        <f t="shared" si="11"/>
        <v/>
      </c>
      <c r="O190" s="79" t="s">
        <v>1059</v>
      </c>
    </row>
    <row r="191" ht="39" spans="1:15">
      <c r="A191" s="79" t="s">
        <v>539</v>
      </c>
      <c r="B191" s="79" t="s">
        <v>77</v>
      </c>
      <c r="C191" s="79" t="s">
        <v>917</v>
      </c>
      <c r="D191" s="79"/>
      <c r="E191" s="79"/>
      <c r="F191" s="79"/>
      <c r="G191" s="79"/>
      <c r="H191" s="79"/>
      <c r="I191" s="79"/>
      <c r="J191" s="79"/>
      <c r="K191" s="79">
        <f t="shared" si="8"/>
        <v>0</v>
      </c>
      <c r="L191" s="79">
        <f t="shared" si="9"/>
        <v>0</v>
      </c>
      <c r="M191" s="79" t="str">
        <f t="shared" si="10"/>
        <v/>
      </c>
      <c r="N191" s="79" t="str">
        <f t="shared" si="11"/>
        <v/>
      </c>
      <c r="O191" s="79" t="s">
        <v>1059</v>
      </c>
    </row>
    <row r="192" ht="39" spans="1:15">
      <c r="A192" s="79" t="s">
        <v>540</v>
      </c>
      <c r="B192" s="79" t="s">
        <v>77</v>
      </c>
      <c r="C192" s="79" t="s">
        <v>918</v>
      </c>
      <c r="D192" s="79"/>
      <c r="E192" s="79"/>
      <c r="F192" s="79"/>
      <c r="G192" s="79"/>
      <c r="H192" s="79"/>
      <c r="I192" s="79"/>
      <c r="J192" s="79"/>
      <c r="K192" s="79">
        <f t="shared" si="8"/>
        <v>0</v>
      </c>
      <c r="L192" s="79">
        <f t="shared" si="9"/>
        <v>0</v>
      </c>
      <c r="M192" s="79" t="str">
        <f t="shared" si="10"/>
        <v/>
      </c>
      <c r="N192" s="79" t="str">
        <f t="shared" si="11"/>
        <v/>
      </c>
      <c r="O192" s="79" t="s">
        <v>1059</v>
      </c>
    </row>
    <row r="193" ht="39" spans="1:15">
      <c r="A193" s="79" t="s">
        <v>546</v>
      </c>
      <c r="B193" s="79" t="s">
        <v>77</v>
      </c>
      <c r="C193" s="79" t="s">
        <v>910</v>
      </c>
      <c r="D193" s="79"/>
      <c r="E193" s="79"/>
      <c r="F193" s="79"/>
      <c r="G193" s="79"/>
      <c r="H193" s="79"/>
      <c r="I193" s="79"/>
      <c r="J193" s="79"/>
      <c r="K193" s="79">
        <f t="shared" si="8"/>
        <v>0</v>
      </c>
      <c r="L193" s="79">
        <f t="shared" si="9"/>
        <v>0</v>
      </c>
      <c r="M193" s="79" t="str">
        <f t="shared" si="10"/>
        <v/>
      </c>
      <c r="N193" s="79" t="str">
        <f t="shared" si="11"/>
        <v/>
      </c>
      <c r="O193" s="79" t="s">
        <v>1059</v>
      </c>
    </row>
    <row r="194" ht="39" spans="1:15">
      <c r="A194" s="79" t="s">
        <v>547</v>
      </c>
      <c r="B194" s="79" t="s">
        <v>77</v>
      </c>
      <c r="C194" s="79" t="s">
        <v>910</v>
      </c>
      <c r="D194" s="79"/>
      <c r="E194" s="79"/>
      <c r="F194" s="79"/>
      <c r="G194" s="79"/>
      <c r="H194" s="79"/>
      <c r="I194" s="79"/>
      <c r="J194" s="79"/>
      <c r="K194" s="79">
        <f t="shared" si="8"/>
        <v>0</v>
      </c>
      <c r="L194" s="79">
        <f t="shared" si="9"/>
        <v>0</v>
      </c>
      <c r="M194" s="79" t="str">
        <f t="shared" si="10"/>
        <v/>
      </c>
      <c r="N194" s="79" t="str">
        <f t="shared" si="11"/>
        <v/>
      </c>
      <c r="O194" s="79" t="s">
        <v>1059</v>
      </c>
    </row>
    <row r="195" ht="39" spans="1:15">
      <c r="A195" s="79" t="s">
        <v>548</v>
      </c>
      <c r="B195" s="79" t="s">
        <v>77</v>
      </c>
      <c r="C195" s="79" t="s">
        <v>919</v>
      </c>
      <c r="D195" s="79"/>
      <c r="E195" s="79"/>
      <c r="F195" s="79"/>
      <c r="G195" s="79"/>
      <c r="H195" s="79"/>
      <c r="I195" s="79"/>
      <c r="J195" s="79"/>
      <c r="K195" s="79">
        <f t="shared" si="8"/>
        <v>0</v>
      </c>
      <c r="L195" s="79">
        <f t="shared" si="9"/>
        <v>0</v>
      </c>
      <c r="M195" s="79" t="str">
        <f t="shared" si="10"/>
        <v/>
      </c>
      <c r="N195" s="79" t="str">
        <f t="shared" si="11"/>
        <v/>
      </c>
      <c r="O195" s="79" t="s">
        <v>1059</v>
      </c>
    </row>
    <row r="196" ht="39" spans="1:15">
      <c r="A196" s="79" t="s">
        <v>549</v>
      </c>
      <c r="B196" s="79" t="s">
        <v>77</v>
      </c>
      <c r="C196" s="79" t="s">
        <v>910</v>
      </c>
      <c r="D196" s="79"/>
      <c r="E196" s="79"/>
      <c r="F196" s="79"/>
      <c r="G196" s="79"/>
      <c r="H196" s="79"/>
      <c r="I196" s="79"/>
      <c r="J196" s="79"/>
      <c r="K196" s="79">
        <f t="shared" ref="K196:K253" si="12">IFERROR((E196-F196)/MAX(1,(I196-J196)/365),"")</f>
        <v>0</v>
      </c>
      <c r="L196" s="79">
        <f t="shared" ref="L196:L253" si="13">IFERROR((H196-F196)/MAX(1,(I196-J196)/365),"")</f>
        <v>0</v>
      </c>
      <c r="M196" s="79" t="str">
        <f t="shared" ref="M196:M253" si="14">IFERROR((F196-G196)/MAX(K196,L196),"")</f>
        <v/>
      </c>
      <c r="N196" s="79" t="str">
        <f t="shared" ref="N196:N253" si="15">IF(M196="","",IF(M196&lt;=4,5,IF(M196&lt;=6,4,IF(M196&lt;=8,3,IF(M196&lt;=10,2,1)))))</f>
        <v/>
      </c>
      <c r="O196" s="79" t="s">
        <v>1059</v>
      </c>
    </row>
    <row r="197" ht="39" spans="1:15">
      <c r="A197" s="79" t="s">
        <v>550</v>
      </c>
      <c r="B197" s="79" t="s">
        <v>77</v>
      </c>
      <c r="C197" s="79" t="s">
        <v>910</v>
      </c>
      <c r="D197" s="79"/>
      <c r="E197" s="79"/>
      <c r="F197" s="79"/>
      <c r="G197" s="79"/>
      <c r="H197" s="79"/>
      <c r="I197" s="79"/>
      <c r="J197" s="79"/>
      <c r="K197" s="79">
        <f t="shared" si="12"/>
        <v>0</v>
      </c>
      <c r="L197" s="79">
        <f t="shared" si="13"/>
        <v>0</v>
      </c>
      <c r="M197" s="79" t="str">
        <f t="shared" si="14"/>
        <v/>
      </c>
      <c r="N197" s="79" t="str">
        <f t="shared" si="15"/>
        <v/>
      </c>
      <c r="O197" s="79" t="s">
        <v>1059</v>
      </c>
    </row>
    <row r="198" ht="39" spans="1:15">
      <c r="A198" s="79" t="s">
        <v>551</v>
      </c>
      <c r="B198" s="79" t="s">
        <v>77</v>
      </c>
      <c r="C198" s="79" t="s">
        <v>920</v>
      </c>
      <c r="D198" s="79"/>
      <c r="E198" s="79"/>
      <c r="F198" s="79"/>
      <c r="G198" s="79"/>
      <c r="H198" s="79"/>
      <c r="I198" s="79"/>
      <c r="J198" s="79"/>
      <c r="K198" s="79">
        <f t="shared" si="12"/>
        <v>0</v>
      </c>
      <c r="L198" s="79">
        <f t="shared" si="13"/>
        <v>0</v>
      </c>
      <c r="M198" s="79" t="str">
        <f t="shared" si="14"/>
        <v/>
      </c>
      <c r="N198" s="79" t="str">
        <f t="shared" si="15"/>
        <v/>
      </c>
      <c r="O198" s="79" t="s">
        <v>1059</v>
      </c>
    </row>
    <row r="199" ht="39" spans="1:15">
      <c r="A199" s="79" t="s">
        <v>555</v>
      </c>
      <c r="B199" s="79" t="s">
        <v>77</v>
      </c>
      <c r="C199" s="79" t="s">
        <v>921</v>
      </c>
      <c r="D199" s="79"/>
      <c r="E199" s="79"/>
      <c r="F199" s="79"/>
      <c r="G199" s="79"/>
      <c r="H199" s="79"/>
      <c r="I199" s="79"/>
      <c r="J199" s="79"/>
      <c r="K199" s="79">
        <f t="shared" si="12"/>
        <v>0</v>
      </c>
      <c r="L199" s="79">
        <f t="shared" si="13"/>
        <v>0</v>
      </c>
      <c r="M199" s="79" t="str">
        <f t="shared" si="14"/>
        <v/>
      </c>
      <c r="N199" s="79" t="str">
        <f t="shared" si="15"/>
        <v/>
      </c>
      <c r="O199" s="79" t="s">
        <v>1059</v>
      </c>
    </row>
    <row r="200" ht="52" spans="1:15">
      <c r="A200" s="79" t="s">
        <v>557</v>
      </c>
      <c r="B200" s="79" t="s">
        <v>77</v>
      </c>
      <c r="C200" s="79" t="s">
        <v>922</v>
      </c>
      <c r="D200" s="79"/>
      <c r="E200" s="79"/>
      <c r="F200" s="79"/>
      <c r="G200" s="79"/>
      <c r="H200" s="79"/>
      <c r="I200" s="79"/>
      <c r="J200" s="79"/>
      <c r="K200" s="79">
        <f t="shared" si="12"/>
        <v>0</v>
      </c>
      <c r="L200" s="79">
        <f t="shared" si="13"/>
        <v>0</v>
      </c>
      <c r="M200" s="79" t="str">
        <f t="shared" si="14"/>
        <v/>
      </c>
      <c r="N200" s="79" t="str">
        <f t="shared" si="15"/>
        <v/>
      </c>
      <c r="O200" s="79" t="s">
        <v>1059</v>
      </c>
    </row>
    <row r="201" ht="52" spans="1:15">
      <c r="A201" s="79" t="s">
        <v>559</v>
      </c>
      <c r="B201" s="79" t="s">
        <v>77</v>
      </c>
      <c r="C201" s="79" t="s">
        <v>923</v>
      </c>
      <c r="D201" s="79"/>
      <c r="E201" s="79"/>
      <c r="F201" s="79"/>
      <c r="G201" s="79"/>
      <c r="H201" s="79"/>
      <c r="I201" s="79"/>
      <c r="J201" s="79"/>
      <c r="K201" s="79">
        <f t="shared" si="12"/>
        <v>0</v>
      </c>
      <c r="L201" s="79">
        <f t="shared" si="13"/>
        <v>0</v>
      </c>
      <c r="M201" s="79" t="str">
        <f t="shared" si="14"/>
        <v/>
      </c>
      <c r="N201" s="79" t="str">
        <f t="shared" si="15"/>
        <v/>
      </c>
      <c r="O201" s="79" t="s">
        <v>1059</v>
      </c>
    </row>
    <row r="202" ht="52" spans="1:15">
      <c r="A202" s="79" t="s">
        <v>562</v>
      </c>
      <c r="B202" s="79" t="s">
        <v>77</v>
      </c>
      <c r="C202" s="79" t="s">
        <v>924</v>
      </c>
      <c r="D202" s="79"/>
      <c r="E202" s="79"/>
      <c r="F202" s="79"/>
      <c r="G202" s="79"/>
      <c r="H202" s="79"/>
      <c r="I202" s="79"/>
      <c r="J202" s="79"/>
      <c r="K202" s="79">
        <f t="shared" si="12"/>
        <v>0</v>
      </c>
      <c r="L202" s="79">
        <f t="shared" si="13"/>
        <v>0</v>
      </c>
      <c r="M202" s="79" t="str">
        <f t="shared" si="14"/>
        <v/>
      </c>
      <c r="N202" s="79" t="str">
        <f t="shared" si="15"/>
        <v/>
      </c>
      <c r="O202" s="79" t="s">
        <v>1059</v>
      </c>
    </row>
    <row r="203" ht="52" spans="1:15">
      <c r="A203" s="79" t="s">
        <v>563</v>
      </c>
      <c r="B203" s="79" t="s">
        <v>77</v>
      </c>
      <c r="C203" s="79" t="s">
        <v>923</v>
      </c>
      <c r="D203" s="79"/>
      <c r="E203" s="79"/>
      <c r="F203" s="79"/>
      <c r="G203" s="79"/>
      <c r="H203" s="79"/>
      <c r="I203" s="79"/>
      <c r="J203" s="79"/>
      <c r="K203" s="79">
        <f t="shared" si="12"/>
        <v>0</v>
      </c>
      <c r="L203" s="79">
        <f t="shared" si="13"/>
        <v>0</v>
      </c>
      <c r="M203" s="79" t="str">
        <f t="shared" si="14"/>
        <v/>
      </c>
      <c r="N203" s="79" t="str">
        <f t="shared" si="15"/>
        <v/>
      </c>
      <c r="O203" s="79" t="s">
        <v>1059</v>
      </c>
    </row>
    <row r="204" ht="52" spans="1:15">
      <c r="A204" s="79" t="s">
        <v>564</v>
      </c>
      <c r="B204" s="79" t="s">
        <v>77</v>
      </c>
      <c r="C204" s="79" t="s">
        <v>922</v>
      </c>
      <c r="D204" s="79"/>
      <c r="E204" s="79"/>
      <c r="F204" s="79"/>
      <c r="G204" s="79"/>
      <c r="H204" s="79"/>
      <c r="I204" s="79"/>
      <c r="J204" s="79"/>
      <c r="K204" s="79">
        <f t="shared" si="12"/>
        <v>0</v>
      </c>
      <c r="L204" s="79">
        <f t="shared" si="13"/>
        <v>0</v>
      </c>
      <c r="M204" s="79" t="str">
        <f t="shared" si="14"/>
        <v/>
      </c>
      <c r="N204" s="79" t="str">
        <f t="shared" si="15"/>
        <v/>
      </c>
      <c r="O204" s="79" t="s">
        <v>1059</v>
      </c>
    </row>
    <row r="205" ht="52" spans="1:15">
      <c r="A205" s="79" t="s">
        <v>565</v>
      </c>
      <c r="B205" s="79" t="s">
        <v>77</v>
      </c>
      <c r="C205" s="79" t="s">
        <v>922</v>
      </c>
      <c r="D205" s="79"/>
      <c r="E205" s="79"/>
      <c r="F205" s="79"/>
      <c r="G205" s="79"/>
      <c r="H205" s="79"/>
      <c r="I205" s="79"/>
      <c r="J205" s="79"/>
      <c r="K205" s="79">
        <f t="shared" si="12"/>
        <v>0</v>
      </c>
      <c r="L205" s="79">
        <f t="shared" si="13"/>
        <v>0</v>
      </c>
      <c r="M205" s="79" t="str">
        <f t="shared" si="14"/>
        <v/>
      </c>
      <c r="N205" s="79" t="str">
        <f t="shared" si="15"/>
        <v/>
      </c>
      <c r="O205" s="79" t="s">
        <v>1059</v>
      </c>
    </row>
    <row r="206" ht="52" spans="1:15">
      <c r="A206" s="79" t="s">
        <v>566</v>
      </c>
      <c r="B206" s="79" t="s">
        <v>77</v>
      </c>
      <c r="C206" s="79" t="s">
        <v>922</v>
      </c>
      <c r="D206" s="79"/>
      <c r="E206" s="79"/>
      <c r="F206" s="79"/>
      <c r="G206" s="79"/>
      <c r="H206" s="79"/>
      <c r="I206" s="79"/>
      <c r="J206" s="79"/>
      <c r="K206" s="79">
        <f t="shared" si="12"/>
        <v>0</v>
      </c>
      <c r="L206" s="79">
        <f t="shared" si="13"/>
        <v>0</v>
      </c>
      <c r="M206" s="79" t="str">
        <f t="shared" si="14"/>
        <v/>
      </c>
      <c r="N206" s="79" t="str">
        <f t="shared" si="15"/>
        <v/>
      </c>
      <c r="O206" s="79" t="s">
        <v>1059</v>
      </c>
    </row>
    <row r="207" ht="52" spans="1:15">
      <c r="A207" s="79" t="s">
        <v>567</v>
      </c>
      <c r="B207" s="79" t="s">
        <v>77</v>
      </c>
      <c r="C207" s="79" t="s">
        <v>924</v>
      </c>
      <c r="D207" s="79"/>
      <c r="E207" s="79"/>
      <c r="F207" s="79"/>
      <c r="G207" s="79"/>
      <c r="H207" s="79"/>
      <c r="I207" s="79"/>
      <c r="J207" s="79"/>
      <c r="K207" s="79">
        <f t="shared" si="12"/>
        <v>0</v>
      </c>
      <c r="L207" s="79">
        <f t="shared" si="13"/>
        <v>0</v>
      </c>
      <c r="M207" s="79" t="str">
        <f t="shared" si="14"/>
        <v/>
      </c>
      <c r="N207" s="79" t="str">
        <f t="shared" si="15"/>
        <v/>
      </c>
      <c r="O207" s="79" t="s">
        <v>1059</v>
      </c>
    </row>
    <row r="208" ht="52" spans="1:15">
      <c r="A208" s="79" t="s">
        <v>569</v>
      </c>
      <c r="B208" s="79" t="s">
        <v>77</v>
      </c>
      <c r="C208" s="79" t="s">
        <v>923</v>
      </c>
      <c r="D208" s="79"/>
      <c r="E208" s="79"/>
      <c r="F208" s="79"/>
      <c r="G208" s="79"/>
      <c r="H208" s="79"/>
      <c r="I208" s="79"/>
      <c r="J208" s="79"/>
      <c r="K208" s="79">
        <f t="shared" si="12"/>
        <v>0</v>
      </c>
      <c r="L208" s="79">
        <f t="shared" si="13"/>
        <v>0</v>
      </c>
      <c r="M208" s="79" t="str">
        <f t="shared" si="14"/>
        <v/>
      </c>
      <c r="N208" s="79" t="str">
        <f t="shared" si="15"/>
        <v/>
      </c>
      <c r="O208" s="79" t="s">
        <v>1059</v>
      </c>
    </row>
    <row r="209" ht="39" spans="1:15">
      <c r="A209" s="79" t="s">
        <v>570</v>
      </c>
      <c r="B209" s="79" t="s">
        <v>77</v>
      </c>
      <c r="C209" s="79" t="s">
        <v>925</v>
      </c>
      <c r="D209" s="79"/>
      <c r="E209" s="79"/>
      <c r="F209" s="79"/>
      <c r="G209" s="79"/>
      <c r="H209" s="79"/>
      <c r="I209" s="79"/>
      <c r="J209" s="79"/>
      <c r="K209" s="79">
        <f t="shared" si="12"/>
        <v>0</v>
      </c>
      <c r="L209" s="79">
        <f t="shared" si="13"/>
        <v>0</v>
      </c>
      <c r="M209" s="79" t="str">
        <f t="shared" si="14"/>
        <v/>
      </c>
      <c r="N209" s="79" t="str">
        <f t="shared" si="15"/>
        <v/>
      </c>
      <c r="O209" s="79" t="s">
        <v>1059</v>
      </c>
    </row>
    <row r="210" ht="39" spans="1:15">
      <c r="A210" s="79" t="s">
        <v>573</v>
      </c>
      <c r="B210" s="79" t="s">
        <v>77</v>
      </c>
      <c r="C210" s="79" t="s">
        <v>925</v>
      </c>
      <c r="D210" s="79"/>
      <c r="E210" s="79"/>
      <c r="F210" s="79"/>
      <c r="G210" s="79"/>
      <c r="H210" s="79"/>
      <c r="I210" s="79"/>
      <c r="J210" s="79"/>
      <c r="K210" s="79">
        <f t="shared" si="12"/>
        <v>0</v>
      </c>
      <c r="L210" s="79">
        <f t="shared" si="13"/>
        <v>0</v>
      </c>
      <c r="M210" s="79" t="str">
        <f t="shared" si="14"/>
        <v/>
      </c>
      <c r="N210" s="79" t="str">
        <f t="shared" si="15"/>
        <v/>
      </c>
      <c r="O210" s="79" t="s">
        <v>1059</v>
      </c>
    </row>
    <row r="211" ht="39" spans="1:15">
      <c r="A211" s="79" t="s">
        <v>574</v>
      </c>
      <c r="B211" s="79" t="s">
        <v>77</v>
      </c>
      <c r="C211" s="79" t="s">
        <v>925</v>
      </c>
      <c r="D211" s="79"/>
      <c r="E211" s="79"/>
      <c r="F211" s="79"/>
      <c r="G211" s="79"/>
      <c r="H211" s="79"/>
      <c r="I211" s="79"/>
      <c r="J211" s="79"/>
      <c r="K211" s="79">
        <f t="shared" si="12"/>
        <v>0</v>
      </c>
      <c r="L211" s="79">
        <f t="shared" si="13"/>
        <v>0</v>
      </c>
      <c r="M211" s="79" t="str">
        <f t="shared" si="14"/>
        <v/>
      </c>
      <c r="N211" s="79" t="str">
        <f t="shared" si="15"/>
        <v/>
      </c>
      <c r="O211" s="79" t="s">
        <v>1059</v>
      </c>
    </row>
    <row r="212" ht="39" spans="1:15">
      <c r="A212" s="79" t="s">
        <v>575</v>
      </c>
      <c r="B212" s="79" t="s">
        <v>77</v>
      </c>
      <c r="C212" s="79" t="s">
        <v>905</v>
      </c>
      <c r="D212" s="79"/>
      <c r="E212" s="79"/>
      <c r="F212" s="79"/>
      <c r="G212" s="79"/>
      <c r="H212" s="79"/>
      <c r="I212" s="79"/>
      <c r="J212" s="79"/>
      <c r="K212" s="79">
        <f t="shared" si="12"/>
        <v>0</v>
      </c>
      <c r="L212" s="79">
        <f t="shared" si="13"/>
        <v>0</v>
      </c>
      <c r="M212" s="79" t="str">
        <f t="shared" si="14"/>
        <v/>
      </c>
      <c r="N212" s="79" t="str">
        <f t="shared" si="15"/>
        <v/>
      </c>
      <c r="O212" s="79" t="s">
        <v>1059</v>
      </c>
    </row>
    <row r="213" ht="39" spans="1:15">
      <c r="A213" s="79" t="s">
        <v>577</v>
      </c>
      <c r="B213" s="79" t="s">
        <v>77</v>
      </c>
      <c r="C213" s="79" t="s">
        <v>905</v>
      </c>
      <c r="D213" s="79"/>
      <c r="E213" s="79"/>
      <c r="F213" s="79"/>
      <c r="G213" s="79"/>
      <c r="H213" s="79"/>
      <c r="I213" s="79"/>
      <c r="J213" s="79"/>
      <c r="K213" s="79">
        <f t="shared" si="12"/>
        <v>0</v>
      </c>
      <c r="L213" s="79">
        <f t="shared" si="13"/>
        <v>0</v>
      </c>
      <c r="M213" s="79" t="str">
        <f t="shared" si="14"/>
        <v/>
      </c>
      <c r="N213" s="79" t="str">
        <f t="shared" si="15"/>
        <v/>
      </c>
      <c r="O213" s="79" t="s">
        <v>1059</v>
      </c>
    </row>
    <row r="214" ht="39" spans="1:15">
      <c r="A214" s="79" t="s">
        <v>578</v>
      </c>
      <c r="B214" s="79" t="s">
        <v>77</v>
      </c>
      <c r="C214" s="79" t="s">
        <v>905</v>
      </c>
      <c r="D214" s="79"/>
      <c r="E214" s="79"/>
      <c r="F214" s="79"/>
      <c r="G214" s="79"/>
      <c r="H214" s="79"/>
      <c r="I214" s="79"/>
      <c r="J214" s="79"/>
      <c r="K214" s="79">
        <f t="shared" si="12"/>
        <v>0</v>
      </c>
      <c r="L214" s="79">
        <f t="shared" si="13"/>
        <v>0</v>
      </c>
      <c r="M214" s="79" t="str">
        <f t="shared" si="14"/>
        <v/>
      </c>
      <c r="N214" s="79" t="str">
        <f t="shared" si="15"/>
        <v/>
      </c>
      <c r="O214" s="79" t="s">
        <v>1059</v>
      </c>
    </row>
    <row r="215" ht="39" spans="1:15">
      <c r="A215" s="79" t="s">
        <v>579</v>
      </c>
      <c r="B215" s="79" t="s">
        <v>77</v>
      </c>
      <c r="C215" s="79" t="s">
        <v>905</v>
      </c>
      <c r="D215" s="79"/>
      <c r="E215" s="79"/>
      <c r="F215" s="79"/>
      <c r="G215" s="79"/>
      <c r="H215" s="79"/>
      <c r="I215" s="79"/>
      <c r="J215" s="79"/>
      <c r="K215" s="79">
        <f t="shared" si="12"/>
        <v>0</v>
      </c>
      <c r="L215" s="79">
        <f t="shared" si="13"/>
        <v>0</v>
      </c>
      <c r="M215" s="79" t="str">
        <f t="shared" si="14"/>
        <v/>
      </c>
      <c r="N215" s="79" t="str">
        <f t="shared" si="15"/>
        <v/>
      </c>
      <c r="O215" s="79" t="s">
        <v>1059</v>
      </c>
    </row>
    <row r="216" ht="39" spans="1:15">
      <c r="A216" s="79" t="s">
        <v>580</v>
      </c>
      <c r="B216" s="79" t="s">
        <v>77</v>
      </c>
      <c r="C216" s="79" t="s">
        <v>905</v>
      </c>
      <c r="D216" s="79"/>
      <c r="E216" s="79"/>
      <c r="F216" s="79"/>
      <c r="G216" s="79"/>
      <c r="H216" s="79"/>
      <c r="I216" s="79"/>
      <c r="J216" s="79"/>
      <c r="K216" s="79">
        <f t="shared" si="12"/>
        <v>0</v>
      </c>
      <c r="L216" s="79">
        <f t="shared" si="13"/>
        <v>0</v>
      </c>
      <c r="M216" s="79" t="str">
        <f t="shared" si="14"/>
        <v/>
      </c>
      <c r="N216" s="79" t="str">
        <f t="shared" si="15"/>
        <v/>
      </c>
      <c r="O216" s="79" t="s">
        <v>1059</v>
      </c>
    </row>
    <row r="217" ht="39" spans="1:15">
      <c r="A217" s="79" t="s">
        <v>581</v>
      </c>
      <c r="B217" s="79" t="s">
        <v>77</v>
      </c>
      <c r="C217" s="79" t="s">
        <v>905</v>
      </c>
      <c r="D217" s="79"/>
      <c r="E217" s="79"/>
      <c r="F217" s="79"/>
      <c r="G217" s="79"/>
      <c r="H217" s="79"/>
      <c r="I217" s="79"/>
      <c r="J217" s="79"/>
      <c r="K217" s="79">
        <f t="shared" si="12"/>
        <v>0</v>
      </c>
      <c r="L217" s="79">
        <f t="shared" si="13"/>
        <v>0</v>
      </c>
      <c r="M217" s="79" t="str">
        <f t="shared" si="14"/>
        <v/>
      </c>
      <c r="N217" s="79" t="str">
        <f t="shared" si="15"/>
        <v/>
      </c>
      <c r="O217" s="79" t="s">
        <v>1059</v>
      </c>
    </row>
    <row r="218" ht="39" spans="1:15">
      <c r="A218" s="79" t="s">
        <v>582</v>
      </c>
      <c r="B218" s="79" t="s">
        <v>77</v>
      </c>
      <c r="C218" s="79" t="s">
        <v>905</v>
      </c>
      <c r="D218" s="79"/>
      <c r="E218" s="79"/>
      <c r="F218" s="79"/>
      <c r="G218" s="79"/>
      <c r="H218" s="79"/>
      <c r="I218" s="79"/>
      <c r="J218" s="79"/>
      <c r="K218" s="79">
        <f t="shared" si="12"/>
        <v>0</v>
      </c>
      <c r="L218" s="79">
        <f t="shared" si="13"/>
        <v>0</v>
      </c>
      <c r="M218" s="79" t="str">
        <f t="shared" si="14"/>
        <v/>
      </c>
      <c r="N218" s="79" t="str">
        <f t="shared" si="15"/>
        <v/>
      </c>
      <c r="O218" s="79" t="s">
        <v>1059</v>
      </c>
    </row>
    <row r="219" ht="39" spans="1:15">
      <c r="A219" s="79" t="s">
        <v>583</v>
      </c>
      <c r="B219" s="79" t="s">
        <v>77</v>
      </c>
      <c r="C219" s="79" t="s">
        <v>926</v>
      </c>
      <c r="D219" s="79"/>
      <c r="E219" s="79"/>
      <c r="F219" s="79"/>
      <c r="G219" s="79"/>
      <c r="H219" s="79"/>
      <c r="I219" s="79"/>
      <c r="J219" s="79"/>
      <c r="K219" s="79">
        <f t="shared" si="12"/>
        <v>0</v>
      </c>
      <c r="L219" s="79">
        <f t="shared" si="13"/>
        <v>0</v>
      </c>
      <c r="M219" s="79" t="str">
        <f t="shared" si="14"/>
        <v/>
      </c>
      <c r="N219" s="79" t="str">
        <f t="shared" si="15"/>
        <v/>
      </c>
      <c r="O219" s="79" t="s">
        <v>1059</v>
      </c>
    </row>
    <row r="220" ht="39" spans="1:15">
      <c r="A220" s="79" t="s">
        <v>584</v>
      </c>
      <c r="B220" s="79" t="s">
        <v>77</v>
      </c>
      <c r="C220" s="79" t="s">
        <v>905</v>
      </c>
      <c r="D220" s="79"/>
      <c r="E220" s="79"/>
      <c r="F220" s="79"/>
      <c r="G220" s="79"/>
      <c r="H220" s="79"/>
      <c r="I220" s="79"/>
      <c r="J220" s="79"/>
      <c r="K220" s="79">
        <f t="shared" si="12"/>
        <v>0</v>
      </c>
      <c r="L220" s="79">
        <f t="shared" si="13"/>
        <v>0</v>
      </c>
      <c r="M220" s="79" t="str">
        <f t="shared" si="14"/>
        <v/>
      </c>
      <c r="N220" s="79" t="str">
        <f t="shared" si="15"/>
        <v/>
      </c>
      <c r="O220" s="79" t="s">
        <v>1059</v>
      </c>
    </row>
    <row r="221" ht="39" spans="1:15">
      <c r="A221" s="79" t="s">
        <v>585</v>
      </c>
      <c r="B221" s="79" t="s">
        <v>77</v>
      </c>
      <c r="C221" s="79" t="s">
        <v>905</v>
      </c>
      <c r="D221" s="79"/>
      <c r="E221" s="79"/>
      <c r="F221" s="79"/>
      <c r="G221" s="79"/>
      <c r="H221" s="79"/>
      <c r="I221" s="79"/>
      <c r="J221" s="79"/>
      <c r="K221" s="79">
        <f t="shared" si="12"/>
        <v>0</v>
      </c>
      <c r="L221" s="79">
        <f t="shared" si="13"/>
        <v>0</v>
      </c>
      <c r="M221" s="79" t="str">
        <f t="shared" si="14"/>
        <v/>
      </c>
      <c r="N221" s="79" t="str">
        <f t="shared" si="15"/>
        <v/>
      </c>
      <c r="O221" s="79" t="s">
        <v>1059</v>
      </c>
    </row>
    <row r="222" ht="39" spans="1:15">
      <c r="A222" s="79" t="s">
        <v>586</v>
      </c>
      <c r="B222" s="79" t="s">
        <v>77</v>
      </c>
      <c r="C222" s="79" t="s">
        <v>926</v>
      </c>
      <c r="D222" s="79"/>
      <c r="E222" s="79"/>
      <c r="F222" s="79"/>
      <c r="G222" s="79"/>
      <c r="H222" s="79"/>
      <c r="I222" s="79"/>
      <c r="J222" s="79"/>
      <c r="K222" s="79">
        <f t="shared" si="12"/>
        <v>0</v>
      </c>
      <c r="L222" s="79">
        <f t="shared" si="13"/>
        <v>0</v>
      </c>
      <c r="M222" s="79" t="str">
        <f t="shared" si="14"/>
        <v/>
      </c>
      <c r="N222" s="79" t="str">
        <f t="shared" si="15"/>
        <v/>
      </c>
      <c r="O222" s="79" t="s">
        <v>1059</v>
      </c>
    </row>
    <row r="223" ht="39" spans="1:15">
      <c r="A223" s="79" t="s">
        <v>587</v>
      </c>
      <c r="B223" s="79" t="s">
        <v>77</v>
      </c>
      <c r="C223" s="79" t="s">
        <v>905</v>
      </c>
      <c r="D223" s="79"/>
      <c r="E223" s="79"/>
      <c r="F223" s="79"/>
      <c r="G223" s="79"/>
      <c r="H223" s="79"/>
      <c r="I223" s="79"/>
      <c r="J223" s="79"/>
      <c r="K223" s="79">
        <f t="shared" si="12"/>
        <v>0</v>
      </c>
      <c r="L223" s="79">
        <f t="shared" si="13"/>
        <v>0</v>
      </c>
      <c r="M223" s="79" t="str">
        <f t="shared" si="14"/>
        <v/>
      </c>
      <c r="N223" s="79" t="str">
        <f t="shared" si="15"/>
        <v/>
      </c>
      <c r="O223" s="79" t="s">
        <v>1059</v>
      </c>
    </row>
    <row r="224" ht="39" spans="1:15">
      <c r="A224" s="79" t="s">
        <v>588</v>
      </c>
      <c r="B224" s="79" t="s">
        <v>77</v>
      </c>
      <c r="C224" s="79" t="s">
        <v>926</v>
      </c>
      <c r="D224" s="79"/>
      <c r="E224" s="79"/>
      <c r="F224" s="79"/>
      <c r="G224" s="79"/>
      <c r="H224" s="79"/>
      <c r="I224" s="79"/>
      <c r="J224" s="79"/>
      <c r="K224" s="79">
        <f t="shared" si="12"/>
        <v>0</v>
      </c>
      <c r="L224" s="79">
        <f t="shared" si="13"/>
        <v>0</v>
      </c>
      <c r="M224" s="79" t="str">
        <f t="shared" si="14"/>
        <v/>
      </c>
      <c r="N224" s="79" t="str">
        <f t="shared" si="15"/>
        <v/>
      </c>
      <c r="O224" s="79" t="s">
        <v>1059</v>
      </c>
    </row>
    <row r="225" ht="39" spans="1:15">
      <c r="A225" s="79" t="s">
        <v>589</v>
      </c>
      <c r="B225" s="79" t="s">
        <v>77</v>
      </c>
      <c r="C225" s="79" t="s">
        <v>926</v>
      </c>
      <c r="D225" s="79"/>
      <c r="E225" s="79"/>
      <c r="F225" s="79"/>
      <c r="G225" s="79"/>
      <c r="H225" s="79"/>
      <c r="I225" s="79"/>
      <c r="J225" s="79"/>
      <c r="K225" s="79">
        <f t="shared" si="12"/>
        <v>0</v>
      </c>
      <c r="L225" s="79">
        <f t="shared" si="13"/>
        <v>0</v>
      </c>
      <c r="M225" s="79" t="str">
        <f t="shared" si="14"/>
        <v/>
      </c>
      <c r="N225" s="79" t="str">
        <f t="shared" si="15"/>
        <v/>
      </c>
      <c r="O225" s="79" t="s">
        <v>1059</v>
      </c>
    </row>
    <row r="226" ht="39" spans="1:15">
      <c r="A226" s="79" t="s">
        <v>590</v>
      </c>
      <c r="B226" s="79" t="s">
        <v>77</v>
      </c>
      <c r="C226" s="79" t="s">
        <v>926</v>
      </c>
      <c r="D226" s="79"/>
      <c r="E226" s="79"/>
      <c r="F226" s="79"/>
      <c r="G226" s="79"/>
      <c r="H226" s="79"/>
      <c r="I226" s="79"/>
      <c r="J226" s="79"/>
      <c r="K226" s="79">
        <f t="shared" si="12"/>
        <v>0</v>
      </c>
      <c r="L226" s="79">
        <f t="shared" si="13"/>
        <v>0</v>
      </c>
      <c r="M226" s="79" t="str">
        <f t="shared" si="14"/>
        <v/>
      </c>
      <c r="N226" s="79" t="str">
        <f t="shared" si="15"/>
        <v/>
      </c>
      <c r="O226" s="79" t="s">
        <v>1059</v>
      </c>
    </row>
    <row r="227" ht="39" spans="1:15">
      <c r="A227" s="79" t="s">
        <v>591</v>
      </c>
      <c r="B227" s="79" t="s">
        <v>77</v>
      </c>
      <c r="C227" s="79" t="s">
        <v>926</v>
      </c>
      <c r="D227" s="79"/>
      <c r="E227" s="79"/>
      <c r="F227" s="79"/>
      <c r="G227" s="79"/>
      <c r="H227" s="79"/>
      <c r="I227" s="79"/>
      <c r="J227" s="79"/>
      <c r="K227" s="79">
        <f t="shared" si="12"/>
        <v>0</v>
      </c>
      <c r="L227" s="79">
        <f t="shared" si="13"/>
        <v>0</v>
      </c>
      <c r="M227" s="79" t="str">
        <f t="shared" si="14"/>
        <v/>
      </c>
      <c r="N227" s="79" t="str">
        <f t="shared" si="15"/>
        <v/>
      </c>
      <c r="O227" s="79" t="s">
        <v>1059</v>
      </c>
    </row>
    <row r="228" ht="39" spans="1:15">
      <c r="A228" s="79" t="s">
        <v>592</v>
      </c>
      <c r="B228" s="79" t="s">
        <v>77</v>
      </c>
      <c r="C228" s="79" t="s">
        <v>926</v>
      </c>
      <c r="D228" s="79"/>
      <c r="E228" s="79"/>
      <c r="F228" s="79"/>
      <c r="G228" s="79"/>
      <c r="H228" s="79"/>
      <c r="I228" s="79"/>
      <c r="J228" s="79"/>
      <c r="K228" s="79">
        <f t="shared" si="12"/>
        <v>0</v>
      </c>
      <c r="L228" s="79">
        <f t="shared" si="13"/>
        <v>0</v>
      </c>
      <c r="M228" s="79" t="str">
        <f t="shared" si="14"/>
        <v/>
      </c>
      <c r="N228" s="79" t="str">
        <f t="shared" si="15"/>
        <v/>
      </c>
      <c r="O228" s="79" t="s">
        <v>1059</v>
      </c>
    </row>
    <row r="229" ht="39" spans="1:15">
      <c r="A229" s="79" t="s">
        <v>593</v>
      </c>
      <c r="B229" s="79" t="s">
        <v>77</v>
      </c>
      <c r="C229" s="79" t="s">
        <v>926</v>
      </c>
      <c r="D229" s="79"/>
      <c r="E229" s="79"/>
      <c r="F229" s="79"/>
      <c r="G229" s="79"/>
      <c r="H229" s="79"/>
      <c r="I229" s="79"/>
      <c r="J229" s="79"/>
      <c r="K229" s="79">
        <f t="shared" si="12"/>
        <v>0</v>
      </c>
      <c r="L229" s="79">
        <f t="shared" si="13"/>
        <v>0</v>
      </c>
      <c r="M229" s="79" t="str">
        <f t="shared" si="14"/>
        <v/>
      </c>
      <c r="N229" s="79" t="str">
        <f t="shared" si="15"/>
        <v/>
      </c>
      <c r="O229" s="79" t="s">
        <v>1059</v>
      </c>
    </row>
    <row r="230" ht="39" spans="1:15">
      <c r="A230" s="79" t="s">
        <v>594</v>
      </c>
      <c r="B230" s="79" t="s">
        <v>77</v>
      </c>
      <c r="C230" s="79" t="s">
        <v>905</v>
      </c>
      <c r="D230" s="79"/>
      <c r="E230" s="79"/>
      <c r="F230" s="79"/>
      <c r="G230" s="79"/>
      <c r="H230" s="79"/>
      <c r="I230" s="79"/>
      <c r="J230" s="79"/>
      <c r="K230" s="79">
        <f t="shared" si="12"/>
        <v>0</v>
      </c>
      <c r="L230" s="79">
        <f t="shared" si="13"/>
        <v>0</v>
      </c>
      <c r="M230" s="79" t="str">
        <f t="shared" si="14"/>
        <v/>
      </c>
      <c r="N230" s="79" t="str">
        <f t="shared" si="15"/>
        <v/>
      </c>
      <c r="O230" s="79" t="s">
        <v>1059</v>
      </c>
    </row>
    <row r="231" ht="39" spans="1:15">
      <c r="A231" s="79" t="s">
        <v>595</v>
      </c>
      <c r="B231" s="79" t="s">
        <v>77</v>
      </c>
      <c r="C231" s="79" t="s">
        <v>905</v>
      </c>
      <c r="D231" s="79"/>
      <c r="E231" s="79"/>
      <c r="F231" s="79"/>
      <c r="G231" s="79"/>
      <c r="H231" s="79"/>
      <c r="I231" s="79"/>
      <c r="J231" s="79"/>
      <c r="K231" s="79">
        <f t="shared" si="12"/>
        <v>0</v>
      </c>
      <c r="L231" s="79">
        <f t="shared" si="13"/>
        <v>0</v>
      </c>
      <c r="M231" s="79" t="str">
        <f t="shared" si="14"/>
        <v/>
      </c>
      <c r="N231" s="79" t="str">
        <f t="shared" si="15"/>
        <v/>
      </c>
      <c r="O231" s="79" t="s">
        <v>1059</v>
      </c>
    </row>
    <row r="232" ht="39" spans="1:15">
      <c r="A232" s="79" t="s">
        <v>596</v>
      </c>
      <c r="B232" s="79" t="s">
        <v>77</v>
      </c>
      <c r="C232" s="79" t="s">
        <v>905</v>
      </c>
      <c r="D232" s="79"/>
      <c r="E232" s="79"/>
      <c r="F232" s="79"/>
      <c r="G232" s="79"/>
      <c r="H232" s="79"/>
      <c r="I232" s="79"/>
      <c r="J232" s="79"/>
      <c r="K232" s="79">
        <f t="shared" si="12"/>
        <v>0</v>
      </c>
      <c r="L232" s="79">
        <f t="shared" si="13"/>
        <v>0</v>
      </c>
      <c r="M232" s="79" t="str">
        <f t="shared" si="14"/>
        <v/>
      </c>
      <c r="N232" s="79" t="str">
        <f t="shared" si="15"/>
        <v/>
      </c>
      <c r="O232" s="79" t="s">
        <v>1059</v>
      </c>
    </row>
    <row r="233" ht="39" spans="1:15">
      <c r="A233" s="79" t="s">
        <v>597</v>
      </c>
      <c r="B233" s="79" t="s">
        <v>77</v>
      </c>
      <c r="C233" s="79" t="s">
        <v>905</v>
      </c>
      <c r="D233" s="79"/>
      <c r="E233" s="79"/>
      <c r="F233" s="79"/>
      <c r="G233" s="79"/>
      <c r="H233" s="79"/>
      <c r="I233" s="79"/>
      <c r="J233" s="79"/>
      <c r="K233" s="79">
        <f t="shared" si="12"/>
        <v>0</v>
      </c>
      <c r="L233" s="79">
        <f t="shared" si="13"/>
        <v>0</v>
      </c>
      <c r="M233" s="79" t="str">
        <f t="shared" si="14"/>
        <v/>
      </c>
      <c r="N233" s="79" t="str">
        <f t="shared" si="15"/>
        <v/>
      </c>
      <c r="O233" s="79" t="s">
        <v>1059</v>
      </c>
    </row>
    <row r="234" ht="39" spans="1:15">
      <c r="A234" s="79" t="s">
        <v>598</v>
      </c>
      <c r="B234" s="79" t="s">
        <v>77</v>
      </c>
      <c r="C234" s="79" t="s">
        <v>905</v>
      </c>
      <c r="D234" s="79"/>
      <c r="E234" s="79"/>
      <c r="F234" s="79"/>
      <c r="G234" s="79"/>
      <c r="H234" s="79"/>
      <c r="I234" s="79"/>
      <c r="J234" s="79"/>
      <c r="K234" s="79">
        <f t="shared" si="12"/>
        <v>0</v>
      </c>
      <c r="L234" s="79">
        <f t="shared" si="13"/>
        <v>0</v>
      </c>
      <c r="M234" s="79" t="str">
        <f t="shared" si="14"/>
        <v/>
      </c>
      <c r="N234" s="79" t="str">
        <f t="shared" si="15"/>
        <v/>
      </c>
      <c r="O234" s="79" t="s">
        <v>1059</v>
      </c>
    </row>
    <row r="235" ht="39" spans="1:15">
      <c r="A235" s="79" t="s">
        <v>599</v>
      </c>
      <c r="B235" s="79" t="s">
        <v>77</v>
      </c>
      <c r="C235" s="79" t="s">
        <v>905</v>
      </c>
      <c r="D235" s="79"/>
      <c r="E235" s="79"/>
      <c r="F235" s="79"/>
      <c r="G235" s="79"/>
      <c r="H235" s="79"/>
      <c r="I235" s="79"/>
      <c r="J235" s="79"/>
      <c r="K235" s="79">
        <f t="shared" si="12"/>
        <v>0</v>
      </c>
      <c r="L235" s="79">
        <f t="shared" si="13"/>
        <v>0</v>
      </c>
      <c r="M235" s="79" t="str">
        <f t="shared" si="14"/>
        <v/>
      </c>
      <c r="N235" s="79" t="str">
        <f t="shared" si="15"/>
        <v/>
      </c>
      <c r="O235" s="79" t="s">
        <v>1059</v>
      </c>
    </row>
    <row r="236" ht="39" spans="1:15">
      <c r="A236" s="79" t="s">
        <v>600</v>
      </c>
      <c r="B236" s="79" t="s">
        <v>77</v>
      </c>
      <c r="C236" s="79" t="s">
        <v>905</v>
      </c>
      <c r="D236" s="79"/>
      <c r="E236" s="79"/>
      <c r="F236" s="79"/>
      <c r="G236" s="79"/>
      <c r="H236" s="79"/>
      <c r="I236" s="79"/>
      <c r="J236" s="79"/>
      <c r="K236" s="79">
        <f t="shared" si="12"/>
        <v>0</v>
      </c>
      <c r="L236" s="79">
        <f t="shared" si="13"/>
        <v>0</v>
      </c>
      <c r="M236" s="79" t="str">
        <f t="shared" si="14"/>
        <v/>
      </c>
      <c r="N236" s="79" t="str">
        <f t="shared" si="15"/>
        <v/>
      </c>
      <c r="O236" s="79" t="s">
        <v>1059</v>
      </c>
    </row>
    <row r="237" ht="39" spans="1:15">
      <c r="A237" s="79" t="s">
        <v>601</v>
      </c>
      <c r="B237" s="79" t="s">
        <v>77</v>
      </c>
      <c r="C237" s="79" t="s">
        <v>905</v>
      </c>
      <c r="D237" s="79"/>
      <c r="E237" s="79"/>
      <c r="F237" s="79"/>
      <c r="G237" s="79"/>
      <c r="H237" s="79"/>
      <c r="I237" s="79"/>
      <c r="J237" s="79"/>
      <c r="K237" s="79">
        <f t="shared" si="12"/>
        <v>0</v>
      </c>
      <c r="L237" s="79">
        <f t="shared" si="13"/>
        <v>0</v>
      </c>
      <c r="M237" s="79" t="str">
        <f t="shared" si="14"/>
        <v/>
      </c>
      <c r="N237" s="79" t="str">
        <f t="shared" si="15"/>
        <v/>
      </c>
      <c r="O237" s="79" t="s">
        <v>1059</v>
      </c>
    </row>
    <row r="238" ht="39" spans="1:15">
      <c r="A238" s="79" t="s">
        <v>602</v>
      </c>
      <c r="B238" s="79" t="s">
        <v>77</v>
      </c>
      <c r="C238" s="79" t="s">
        <v>905</v>
      </c>
      <c r="D238" s="79"/>
      <c r="E238" s="79"/>
      <c r="F238" s="79"/>
      <c r="G238" s="79"/>
      <c r="H238" s="79"/>
      <c r="I238" s="79"/>
      <c r="J238" s="79"/>
      <c r="K238" s="79">
        <f t="shared" si="12"/>
        <v>0</v>
      </c>
      <c r="L238" s="79">
        <f t="shared" si="13"/>
        <v>0</v>
      </c>
      <c r="M238" s="79" t="str">
        <f t="shared" si="14"/>
        <v/>
      </c>
      <c r="N238" s="79" t="str">
        <f t="shared" si="15"/>
        <v/>
      </c>
      <c r="O238" s="79" t="s">
        <v>1059</v>
      </c>
    </row>
    <row r="239" ht="39" spans="1:15">
      <c r="A239" s="79" t="s">
        <v>604</v>
      </c>
      <c r="B239" s="79" t="s">
        <v>77</v>
      </c>
      <c r="C239" s="79" t="s">
        <v>894</v>
      </c>
      <c r="D239" s="79"/>
      <c r="E239" s="79"/>
      <c r="F239" s="79"/>
      <c r="G239" s="79"/>
      <c r="H239" s="79"/>
      <c r="I239" s="79"/>
      <c r="J239" s="79"/>
      <c r="K239" s="79">
        <f t="shared" si="12"/>
        <v>0</v>
      </c>
      <c r="L239" s="79">
        <f t="shared" si="13"/>
        <v>0</v>
      </c>
      <c r="M239" s="79" t="str">
        <f t="shared" si="14"/>
        <v/>
      </c>
      <c r="N239" s="79" t="str">
        <f t="shared" si="15"/>
        <v/>
      </c>
      <c r="O239" s="79" t="s">
        <v>1059</v>
      </c>
    </row>
    <row r="240" ht="39" spans="1:15">
      <c r="A240" s="79" t="s">
        <v>607</v>
      </c>
      <c r="B240" s="79" t="s">
        <v>77</v>
      </c>
      <c r="C240" s="79" t="s">
        <v>894</v>
      </c>
      <c r="D240" s="79"/>
      <c r="E240" s="79"/>
      <c r="F240" s="79"/>
      <c r="G240" s="79"/>
      <c r="H240" s="79"/>
      <c r="I240" s="79"/>
      <c r="J240" s="79"/>
      <c r="K240" s="79">
        <f t="shared" si="12"/>
        <v>0</v>
      </c>
      <c r="L240" s="79">
        <f t="shared" si="13"/>
        <v>0</v>
      </c>
      <c r="M240" s="79" t="str">
        <f t="shared" si="14"/>
        <v/>
      </c>
      <c r="N240" s="79" t="str">
        <f t="shared" si="15"/>
        <v/>
      </c>
      <c r="O240" s="79" t="s">
        <v>1059</v>
      </c>
    </row>
    <row r="241" ht="39" spans="1:15">
      <c r="A241" s="79" t="s">
        <v>608</v>
      </c>
      <c r="B241" s="79" t="s">
        <v>77</v>
      </c>
      <c r="C241" s="79" t="s">
        <v>894</v>
      </c>
      <c r="D241" s="79"/>
      <c r="E241" s="79"/>
      <c r="F241" s="79"/>
      <c r="G241" s="79"/>
      <c r="H241" s="79"/>
      <c r="I241" s="79"/>
      <c r="J241" s="79"/>
      <c r="K241" s="79">
        <f t="shared" si="12"/>
        <v>0</v>
      </c>
      <c r="L241" s="79">
        <f t="shared" si="13"/>
        <v>0</v>
      </c>
      <c r="M241" s="79" t="str">
        <f t="shared" si="14"/>
        <v/>
      </c>
      <c r="N241" s="79" t="str">
        <f t="shared" si="15"/>
        <v/>
      </c>
      <c r="O241" s="79" t="s">
        <v>1059</v>
      </c>
    </row>
    <row r="242" ht="39" spans="1:15">
      <c r="A242" s="79" t="s">
        <v>609</v>
      </c>
      <c r="B242" s="79" t="s">
        <v>77</v>
      </c>
      <c r="C242" s="79" t="s">
        <v>894</v>
      </c>
      <c r="D242" s="79"/>
      <c r="E242" s="79"/>
      <c r="F242" s="79"/>
      <c r="G242" s="79"/>
      <c r="H242" s="79"/>
      <c r="I242" s="79"/>
      <c r="J242" s="79"/>
      <c r="K242" s="79">
        <f t="shared" si="12"/>
        <v>0</v>
      </c>
      <c r="L242" s="79">
        <f t="shared" si="13"/>
        <v>0</v>
      </c>
      <c r="M242" s="79" t="str">
        <f t="shared" si="14"/>
        <v/>
      </c>
      <c r="N242" s="79" t="str">
        <f t="shared" si="15"/>
        <v/>
      </c>
      <c r="O242" s="79" t="s">
        <v>1059</v>
      </c>
    </row>
    <row r="243" ht="39" spans="1:15">
      <c r="A243" s="79" t="s">
        <v>610</v>
      </c>
      <c r="B243" s="79" t="s">
        <v>77</v>
      </c>
      <c r="C243" s="79" t="s">
        <v>894</v>
      </c>
      <c r="D243" s="79"/>
      <c r="E243" s="79"/>
      <c r="F243" s="79"/>
      <c r="G243" s="79"/>
      <c r="H243" s="79"/>
      <c r="I243" s="79"/>
      <c r="J243" s="79"/>
      <c r="K243" s="79">
        <f t="shared" si="12"/>
        <v>0</v>
      </c>
      <c r="L243" s="79">
        <f t="shared" si="13"/>
        <v>0</v>
      </c>
      <c r="M243" s="79" t="str">
        <f t="shared" si="14"/>
        <v/>
      </c>
      <c r="N243" s="79" t="str">
        <f t="shared" si="15"/>
        <v/>
      </c>
      <c r="O243" s="79" t="s">
        <v>1059</v>
      </c>
    </row>
    <row r="244" ht="39" spans="1:15">
      <c r="A244" s="79" t="s">
        <v>611</v>
      </c>
      <c r="B244" s="79" t="s">
        <v>77</v>
      </c>
      <c r="C244" s="79" t="s">
        <v>894</v>
      </c>
      <c r="D244" s="79"/>
      <c r="E244" s="79"/>
      <c r="F244" s="79"/>
      <c r="G244" s="79"/>
      <c r="H244" s="79"/>
      <c r="I244" s="79"/>
      <c r="J244" s="79"/>
      <c r="K244" s="79">
        <f t="shared" si="12"/>
        <v>0</v>
      </c>
      <c r="L244" s="79">
        <f t="shared" si="13"/>
        <v>0</v>
      </c>
      <c r="M244" s="79" t="str">
        <f t="shared" si="14"/>
        <v/>
      </c>
      <c r="N244" s="79" t="str">
        <f t="shared" si="15"/>
        <v/>
      </c>
      <c r="O244" s="79" t="s">
        <v>1059</v>
      </c>
    </row>
    <row r="245" ht="39" spans="1:15">
      <c r="A245" s="79" t="s">
        <v>612</v>
      </c>
      <c r="B245" s="79" t="s">
        <v>77</v>
      </c>
      <c r="C245" s="79" t="s">
        <v>894</v>
      </c>
      <c r="D245" s="79"/>
      <c r="E245" s="79"/>
      <c r="F245" s="79"/>
      <c r="G245" s="79"/>
      <c r="H245" s="79"/>
      <c r="I245" s="79"/>
      <c r="J245" s="79"/>
      <c r="K245" s="79">
        <f t="shared" si="12"/>
        <v>0</v>
      </c>
      <c r="L245" s="79">
        <f t="shared" si="13"/>
        <v>0</v>
      </c>
      <c r="M245" s="79" t="str">
        <f t="shared" si="14"/>
        <v/>
      </c>
      <c r="N245" s="79" t="str">
        <f t="shared" si="15"/>
        <v/>
      </c>
      <c r="O245" s="79" t="s">
        <v>1059</v>
      </c>
    </row>
    <row r="246" ht="39" spans="1:15">
      <c r="A246" s="79" t="s">
        <v>613</v>
      </c>
      <c r="B246" s="79" t="s">
        <v>77</v>
      </c>
      <c r="C246" s="79" t="s">
        <v>927</v>
      </c>
      <c r="D246" s="79"/>
      <c r="E246" s="79"/>
      <c r="F246" s="79"/>
      <c r="G246" s="79"/>
      <c r="H246" s="79"/>
      <c r="I246" s="79"/>
      <c r="J246" s="79"/>
      <c r="K246" s="79">
        <f t="shared" si="12"/>
        <v>0</v>
      </c>
      <c r="L246" s="79">
        <f t="shared" si="13"/>
        <v>0</v>
      </c>
      <c r="M246" s="79" t="str">
        <f t="shared" si="14"/>
        <v/>
      </c>
      <c r="N246" s="79" t="str">
        <f t="shared" si="15"/>
        <v/>
      </c>
      <c r="O246" s="79" t="s">
        <v>1059</v>
      </c>
    </row>
    <row r="247" ht="39" spans="1:15">
      <c r="A247" s="79" t="s">
        <v>614</v>
      </c>
      <c r="B247" s="79" t="s">
        <v>77</v>
      </c>
      <c r="C247" s="79" t="s">
        <v>921</v>
      </c>
      <c r="D247" s="79"/>
      <c r="E247" s="79"/>
      <c r="F247" s="79"/>
      <c r="G247" s="79"/>
      <c r="H247" s="79"/>
      <c r="I247" s="79"/>
      <c r="J247" s="79"/>
      <c r="K247" s="79">
        <f t="shared" si="12"/>
        <v>0</v>
      </c>
      <c r="L247" s="79">
        <f t="shared" si="13"/>
        <v>0</v>
      </c>
      <c r="M247" s="79" t="str">
        <f t="shared" si="14"/>
        <v/>
      </c>
      <c r="N247" s="79" t="str">
        <f t="shared" si="15"/>
        <v/>
      </c>
      <c r="O247" s="79" t="s">
        <v>1059</v>
      </c>
    </row>
    <row r="248" ht="39" spans="1:15">
      <c r="A248" s="79" t="s">
        <v>615</v>
      </c>
      <c r="B248" s="79" t="s">
        <v>77</v>
      </c>
      <c r="C248" s="79" t="s">
        <v>894</v>
      </c>
      <c r="D248" s="79"/>
      <c r="E248" s="79"/>
      <c r="F248" s="79"/>
      <c r="G248" s="79"/>
      <c r="H248" s="79"/>
      <c r="I248" s="79"/>
      <c r="J248" s="79"/>
      <c r="K248" s="79">
        <f t="shared" si="12"/>
        <v>0</v>
      </c>
      <c r="L248" s="79">
        <f t="shared" si="13"/>
        <v>0</v>
      </c>
      <c r="M248" s="79" t="str">
        <f t="shared" si="14"/>
        <v/>
      </c>
      <c r="N248" s="79" t="str">
        <f t="shared" si="15"/>
        <v/>
      </c>
      <c r="O248" s="79" t="s">
        <v>1059</v>
      </c>
    </row>
    <row r="249" ht="39" spans="1:15">
      <c r="A249" s="79" t="s">
        <v>617</v>
      </c>
      <c r="B249" s="79" t="s">
        <v>77</v>
      </c>
      <c r="C249" s="79" t="s">
        <v>894</v>
      </c>
      <c r="D249" s="79"/>
      <c r="E249" s="79"/>
      <c r="F249" s="79"/>
      <c r="G249" s="79"/>
      <c r="H249" s="79"/>
      <c r="I249" s="79"/>
      <c r="J249" s="79"/>
      <c r="K249" s="79">
        <f t="shared" si="12"/>
        <v>0</v>
      </c>
      <c r="L249" s="79">
        <f t="shared" si="13"/>
        <v>0</v>
      </c>
      <c r="M249" s="79" t="str">
        <f t="shared" si="14"/>
        <v/>
      </c>
      <c r="N249" s="79" t="str">
        <f t="shared" si="15"/>
        <v/>
      </c>
      <c r="O249" s="79" t="s">
        <v>1059</v>
      </c>
    </row>
    <row r="250" ht="39" spans="1:15">
      <c r="A250" s="79" t="s">
        <v>618</v>
      </c>
      <c r="B250" s="79" t="s">
        <v>77</v>
      </c>
      <c r="C250" s="79" t="s">
        <v>894</v>
      </c>
      <c r="D250" s="79"/>
      <c r="E250" s="79"/>
      <c r="F250" s="79"/>
      <c r="G250" s="79"/>
      <c r="H250" s="79"/>
      <c r="I250" s="79"/>
      <c r="J250" s="79"/>
      <c r="K250" s="79">
        <f t="shared" si="12"/>
        <v>0</v>
      </c>
      <c r="L250" s="79">
        <f t="shared" si="13"/>
        <v>0</v>
      </c>
      <c r="M250" s="79" t="str">
        <f t="shared" si="14"/>
        <v/>
      </c>
      <c r="N250" s="79" t="str">
        <f t="shared" si="15"/>
        <v/>
      </c>
      <c r="O250" s="79" t="s">
        <v>1059</v>
      </c>
    </row>
    <row r="251" ht="39" spans="1:15">
      <c r="A251" s="79" t="s">
        <v>619</v>
      </c>
      <c r="B251" s="79" t="s">
        <v>77</v>
      </c>
      <c r="C251" s="79" t="s">
        <v>894</v>
      </c>
      <c r="D251" s="79"/>
      <c r="E251" s="79"/>
      <c r="F251" s="79"/>
      <c r="G251" s="79"/>
      <c r="H251" s="79"/>
      <c r="I251" s="79"/>
      <c r="J251" s="79"/>
      <c r="K251" s="79">
        <f t="shared" si="12"/>
        <v>0</v>
      </c>
      <c r="L251" s="79">
        <f t="shared" si="13"/>
        <v>0</v>
      </c>
      <c r="M251" s="79" t="str">
        <f t="shared" si="14"/>
        <v/>
      </c>
      <c r="N251" s="79" t="str">
        <f t="shared" si="15"/>
        <v/>
      </c>
      <c r="O251" s="79" t="s">
        <v>1059</v>
      </c>
    </row>
    <row r="252" ht="39" spans="1:15">
      <c r="A252" s="79" t="s">
        <v>620</v>
      </c>
      <c r="B252" s="79" t="s">
        <v>77</v>
      </c>
      <c r="C252" s="79" t="s">
        <v>894</v>
      </c>
      <c r="D252" s="79"/>
      <c r="E252" s="79"/>
      <c r="F252" s="79"/>
      <c r="G252" s="79"/>
      <c r="H252" s="79"/>
      <c r="I252" s="79"/>
      <c r="J252" s="79"/>
      <c r="K252" s="79">
        <f t="shared" si="12"/>
        <v>0</v>
      </c>
      <c r="L252" s="79">
        <f t="shared" si="13"/>
        <v>0</v>
      </c>
      <c r="M252" s="79" t="str">
        <f t="shared" si="14"/>
        <v/>
      </c>
      <c r="N252" s="79" t="str">
        <f t="shared" si="15"/>
        <v/>
      </c>
      <c r="O252" s="79" t="s">
        <v>1059</v>
      </c>
    </row>
    <row r="253" ht="39" spans="1:15">
      <c r="A253" s="79" t="s">
        <v>621</v>
      </c>
      <c r="B253" s="79" t="s">
        <v>77</v>
      </c>
      <c r="C253" s="79" t="s">
        <v>894</v>
      </c>
      <c r="D253" s="79"/>
      <c r="E253" s="79"/>
      <c r="F253" s="79"/>
      <c r="G253" s="79"/>
      <c r="H253" s="79"/>
      <c r="I253" s="79"/>
      <c r="J253" s="79"/>
      <c r="K253" s="79">
        <f t="shared" si="12"/>
        <v>0</v>
      </c>
      <c r="L253" s="79">
        <f t="shared" si="13"/>
        <v>0</v>
      </c>
      <c r="M253" s="79" t="str">
        <f t="shared" si="14"/>
        <v/>
      </c>
      <c r="N253" s="79" t="str">
        <f t="shared" si="15"/>
        <v/>
      </c>
      <c r="O253" s="79" t="s">
        <v>1059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showGridLines="0" workbookViewId="0">
      <selection activeCell="A1" sqref="A1:J1"/>
    </sheetView>
  </sheetViews>
  <sheetFormatPr defaultColWidth="9" defaultRowHeight="14.5"/>
  <cols>
    <col min="1" max="1" width="39" customWidth="1"/>
    <col min="2" max="2" width="44" customWidth="1"/>
    <col min="3" max="3" width="36" customWidth="1"/>
    <col min="4" max="10" width="10" customWidth="1"/>
  </cols>
  <sheetData>
    <row r="1" ht="21" spans="1:10">
      <c r="A1" s="78" t="s">
        <v>1060</v>
      </c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>
      <c r="A3" s="80" t="s">
        <v>1061</v>
      </c>
      <c r="B3" s="80" t="s">
        <v>1062</v>
      </c>
      <c r="C3" s="80" t="s">
        <v>1063</v>
      </c>
      <c r="D3" s="80" t="s">
        <v>1064</v>
      </c>
      <c r="E3" s="80" t="s">
        <v>185</v>
      </c>
      <c r="F3" s="79"/>
      <c r="G3" s="79"/>
      <c r="H3" s="79"/>
      <c r="I3" s="79"/>
      <c r="J3" s="79"/>
    </row>
    <row r="4" ht="26" spans="1:10">
      <c r="A4" s="81">
        <v>1</v>
      </c>
      <c r="B4" s="81" t="s">
        <v>1065</v>
      </c>
      <c r="C4" s="81" t="s">
        <v>1066</v>
      </c>
      <c r="D4" s="81" t="s">
        <v>200</v>
      </c>
      <c r="E4" s="81" t="s">
        <v>1067</v>
      </c>
      <c r="F4" s="79"/>
      <c r="G4" s="79"/>
      <c r="H4" s="79"/>
      <c r="I4" s="79"/>
      <c r="J4" s="79"/>
    </row>
    <row r="5" ht="26" spans="1:10">
      <c r="A5" s="81">
        <v>2</v>
      </c>
      <c r="B5" s="81" t="s">
        <v>1068</v>
      </c>
      <c r="C5" s="81" t="s">
        <v>1069</v>
      </c>
      <c r="D5" s="81" t="s">
        <v>200</v>
      </c>
      <c r="E5" s="81" t="s">
        <v>1067</v>
      </c>
      <c r="F5" s="79"/>
      <c r="G5" s="79"/>
      <c r="H5" s="79"/>
      <c r="I5" s="79"/>
      <c r="J5" s="79"/>
    </row>
    <row r="6" ht="26" spans="1:10">
      <c r="A6" s="81">
        <v>3</v>
      </c>
      <c r="B6" s="81" t="s">
        <v>1070</v>
      </c>
      <c r="C6" s="81" t="s">
        <v>1069</v>
      </c>
      <c r="D6" s="81" t="s">
        <v>200</v>
      </c>
      <c r="E6" s="81" t="s">
        <v>1067</v>
      </c>
      <c r="F6" s="79"/>
      <c r="G6" s="79"/>
      <c r="H6" s="79"/>
      <c r="I6" s="79"/>
      <c r="J6" s="79"/>
    </row>
    <row r="7" ht="26" spans="1:10">
      <c r="A7" s="81">
        <v>4</v>
      </c>
      <c r="B7" s="81" t="s">
        <v>1071</v>
      </c>
      <c r="C7" s="81" t="s">
        <v>1072</v>
      </c>
      <c r="D7" s="81" t="s">
        <v>200</v>
      </c>
      <c r="E7" s="81" t="s">
        <v>1067</v>
      </c>
      <c r="F7" s="79"/>
      <c r="G7" s="79"/>
      <c r="H7" s="79"/>
      <c r="I7" s="79"/>
      <c r="J7" s="79"/>
    </row>
    <row r="8" spans="1:10">
      <c r="A8" s="81">
        <v>5</v>
      </c>
      <c r="B8" s="81" t="s">
        <v>1073</v>
      </c>
      <c r="C8" s="81" t="s">
        <v>1074</v>
      </c>
      <c r="D8" s="81" t="s">
        <v>200</v>
      </c>
      <c r="E8" s="81" t="s">
        <v>1067</v>
      </c>
      <c r="F8" s="79"/>
      <c r="G8" s="79"/>
      <c r="H8" s="79"/>
      <c r="I8" s="79"/>
      <c r="J8" s="79"/>
    </row>
    <row r="9" spans="1:10">
      <c r="A9" s="81">
        <v>6</v>
      </c>
      <c r="B9" s="81" t="s">
        <v>1075</v>
      </c>
      <c r="C9" s="81" t="s">
        <v>1076</v>
      </c>
      <c r="D9" s="81" t="s">
        <v>202</v>
      </c>
      <c r="E9" s="81" t="s">
        <v>1067</v>
      </c>
      <c r="F9" s="79"/>
      <c r="G9" s="79"/>
      <c r="H9" s="79"/>
      <c r="I9" s="79"/>
      <c r="J9" s="79"/>
    </row>
  </sheetData>
  <mergeCells count="1">
    <mergeCell ref="A1:J1"/>
  </mergeCells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workbookViewId="0">
      <selection activeCell="A1" sqref="A1:H1"/>
    </sheetView>
  </sheetViews>
  <sheetFormatPr defaultColWidth="9" defaultRowHeight="14.5" outlineLevelRow="7" outlineLevelCol="7"/>
  <cols>
    <col min="1" max="1" width="24" customWidth="1"/>
    <col min="2" max="2" width="110" customWidth="1"/>
  </cols>
  <sheetData>
    <row r="1" ht="21" spans="1:8">
      <c r="A1" s="78" t="s">
        <v>1077</v>
      </c>
    </row>
    <row r="2" spans="1:8">
      <c r="A2" s="79"/>
      <c r="B2" s="79"/>
      <c r="C2" s="79"/>
      <c r="D2" s="79"/>
      <c r="E2" s="79"/>
      <c r="F2" s="79"/>
      <c r="G2" s="79"/>
      <c r="H2" s="79"/>
    </row>
    <row r="3" spans="1:8">
      <c r="A3" s="82" t="s">
        <v>1078</v>
      </c>
      <c r="B3" s="79" t="s">
        <v>1079</v>
      </c>
      <c r="C3" s="79"/>
      <c r="D3" s="79"/>
      <c r="E3" s="79"/>
      <c r="F3" s="79"/>
      <c r="G3" s="79"/>
      <c r="H3" s="79"/>
    </row>
    <row r="4" spans="1:8">
      <c r="A4" s="82" t="s">
        <v>1080</v>
      </c>
      <c r="B4" s="79" t="s">
        <v>1081</v>
      </c>
      <c r="C4" s="79"/>
      <c r="D4" s="79"/>
      <c r="E4" s="79"/>
      <c r="F4" s="79"/>
      <c r="G4" s="79"/>
      <c r="H4" s="79"/>
    </row>
    <row r="5" spans="1:8">
      <c r="A5" s="82" t="s">
        <v>1082</v>
      </c>
      <c r="B5" s="79" t="s">
        <v>1083</v>
      </c>
      <c r="C5" s="79"/>
      <c r="D5" s="79"/>
      <c r="E5" s="79"/>
      <c r="F5" s="79"/>
      <c r="G5" s="79"/>
      <c r="H5" s="79"/>
    </row>
    <row r="6" spans="1:8">
      <c r="A6" s="82" t="s">
        <v>1084</v>
      </c>
      <c r="B6" s="79" t="s">
        <v>1085</v>
      </c>
      <c r="C6" s="79"/>
      <c r="D6" s="79"/>
      <c r="E6" s="79"/>
      <c r="F6" s="79"/>
      <c r="G6" s="79"/>
      <c r="H6" s="79"/>
    </row>
    <row r="7" spans="1:8">
      <c r="A7" s="82" t="s">
        <v>1086</v>
      </c>
      <c r="B7" s="79" t="s">
        <v>1087</v>
      </c>
      <c r="C7" s="79"/>
      <c r="D7" s="79"/>
      <c r="E7" s="79"/>
      <c r="F7" s="79"/>
      <c r="G7" s="79"/>
      <c r="H7" s="79"/>
    </row>
    <row r="8" spans="1:8">
      <c r="A8" s="82" t="s">
        <v>1088</v>
      </c>
      <c r="B8" s="79" t="s">
        <v>1089</v>
      </c>
      <c r="C8" s="79"/>
      <c r="D8" s="79"/>
      <c r="E8" s="79"/>
      <c r="F8" s="79"/>
      <c r="G8" s="79"/>
      <c r="H8" s="79"/>
    </row>
  </sheetData>
  <mergeCells count="1">
    <mergeCell ref="A1:H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A1" sqref="A1:H1"/>
    </sheetView>
  </sheetViews>
  <sheetFormatPr defaultColWidth="9" defaultRowHeight="14.5" outlineLevelCol="7"/>
  <cols>
    <col min="1" max="1" width="14" customWidth="1"/>
    <col min="2" max="2" width="13" customWidth="1"/>
    <col min="3" max="3" width="40" customWidth="1"/>
    <col min="4" max="8" width="10" customWidth="1"/>
  </cols>
  <sheetData>
    <row r="1" ht="21" spans="1:8">
      <c r="A1" s="78" t="s">
        <v>1090</v>
      </c>
    </row>
    <row r="2" spans="1:8">
      <c r="A2" s="79"/>
      <c r="B2" s="79"/>
      <c r="C2" s="79"/>
      <c r="D2" s="79"/>
      <c r="E2" s="79"/>
      <c r="F2" s="79"/>
      <c r="G2" s="79"/>
      <c r="H2" s="79"/>
    </row>
    <row r="3" spans="1:8">
      <c r="A3" s="80" t="s">
        <v>110</v>
      </c>
      <c r="B3" s="80" t="s">
        <v>992</v>
      </c>
      <c r="C3" s="80" t="s">
        <v>1091</v>
      </c>
      <c r="D3" s="79"/>
      <c r="E3" s="79"/>
      <c r="F3" s="79"/>
      <c r="G3" s="79"/>
      <c r="H3" s="79"/>
    </row>
    <row r="4" spans="1:8">
      <c r="A4" s="81" t="s">
        <v>884</v>
      </c>
      <c r="B4" s="81">
        <v>149</v>
      </c>
      <c r="C4" s="81" t="s">
        <v>1092</v>
      </c>
      <c r="D4" s="79"/>
      <c r="E4" s="79"/>
      <c r="F4" s="79"/>
      <c r="G4" s="79"/>
      <c r="H4" s="79"/>
    </row>
    <row r="5" spans="1:8">
      <c r="A5" s="81" t="s">
        <v>892</v>
      </c>
      <c r="B5" s="81">
        <v>94</v>
      </c>
      <c r="C5" s="81" t="s">
        <v>1093</v>
      </c>
      <c r="D5" s="79"/>
      <c r="E5" s="79"/>
      <c r="F5" s="79"/>
      <c r="G5" s="79"/>
      <c r="H5" s="79"/>
    </row>
    <row r="6" spans="1:8">
      <c r="A6" s="81" t="s">
        <v>887</v>
      </c>
      <c r="B6" s="81">
        <v>170</v>
      </c>
      <c r="C6" s="81" t="s">
        <v>1094</v>
      </c>
      <c r="D6" s="79"/>
      <c r="E6" s="79"/>
      <c r="F6" s="79"/>
      <c r="G6" s="79"/>
      <c r="H6" s="79"/>
    </row>
    <row r="7" spans="1:8">
      <c r="A7" s="79"/>
      <c r="B7" s="79"/>
      <c r="C7" s="79"/>
      <c r="D7" s="79"/>
      <c r="E7" s="79"/>
      <c r="F7" s="79"/>
      <c r="G7" s="79"/>
      <c r="H7" s="79"/>
    </row>
    <row r="8" spans="1:8">
      <c r="A8" s="79"/>
      <c r="B8" s="79"/>
      <c r="C8" s="79"/>
      <c r="D8" s="79"/>
      <c r="E8" s="79"/>
      <c r="F8" s="79"/>
      <c r="G8" s="79"/>
      <c r="H8" s="79"/>
    </row>
    <row r="9" spans="1:8">
      <c r="A9" s="79"/>
      <c r="B9" s="79"/>
      <c r="C9" s="79"/>
      <c r="D9" s="79"/>
      <c r="E9" s="79"/>
      <c r="F9" s="79"/>
      <c r="G9" s="79"/>
      <c r="H9" s="79"/>
    </row>
    <row r="10" spans="1:8">
      <c r="A10" s="80" t="s">
        <v>102</v>
      </c>
      <c r="B10" s="80" t="s">
        <v>992</v>
      </c>
      <c r="C10" s="79"/>
      <c r="D10" s="79"/>
      <c r="E10" s="79"/>
      <c r="F10" s="79"/>
      <c r="G10" s="79"/>
      <c r="H10" s="79"/>
    </row>
    <row r="11" spans="1:8">
      <c r="A11" s="81" t="s">
        <v>199</v>
      </c>
      <c r="B11" s="81">
        <v>23</v>
      </c>
      <c r="C11" s="79"/>
      <c r="D11" s="79"/>
      <c r="E11" s="79"/>
      <c r="F11" s="79"/>
      <c r="G11" s="79"/>
      <c r="H11" s="79"/>
    </row>
    <row r="12" spans="1:8">
      <c r="A12" s="81" t="s">
        <v>200</v>
      </c>
      <c r="B12" s="81">
        <v>261</v>
      </c>
      <c r="C12" s="79"/>
      <c r="D12" s="79"/>
      <c r="E12" s="79"/>
      <c r="F12" s="79"/>
      <c r="G12" s="79"/>
      <c r="H12" s="79"/>
    </row>
    <row r="13" spans="1:8">
      <c r="A13" s="81" t="s">
        <v>202</v>
      </c>
      <c r="B13" s="81">
        <v>70</v>
      </c>
      <c r="C13" s="79"/>
      <c r="D13" s="79"/>
      <c r="E13" s="79"/>
      <c r="F13" s="79"/>
      <c r="G13" s="79"/>
      <c r="H13" s="79"/>
    </row>
    <row r="14" spans="1:8">
      <c r="A14" s="81" t="s">
        <v>204</v>
      </c>
      <c r="B14" s="81">
        <v>59</v>
      </c>
      <c r="C14" s="79"/>
      <c r="D14" s="79"/>
      <c r="E14" s="79"/>
      <c r="F14" s="79"/>
      <c r="G14" s="79"/>
      <c r="H14" s="79"/>
    </row>
    <row r="15" spans="1:8">
      <c r="A15" s="79"/>
      <c r="B15" s="79"/>
      <c r="C15" s="79"/>
      <c r="D15" s="79"/>
      <c r="E15" s="79"/>
      <c r="F15" s="79"/>
      <c r="G15" s="79"/>
      <c r="H15" s="79"/>
    </row>
    <row r="16" spans="1:8">
      <c r="A16" s="79"/>
      <c r="B16" s="79"/>
      <c r="C16" s="79"/>
      <c r="D16" s="79"/>
      <c r="E16" s="79"/>
      <c r="F16" s="79"/>
      <c r="G16" s="79"/>
      <c r="H16" s="79"/>
    </row>
    <row r="17" spans="1:8">
      <c r="A17" s="80" t="s">
        <v>84</v>
      </c>
      <c r="B17" s="80" t="s">
        <v>992</v>
      </c>
      <c r="C17" s="79"/>
      <c r="D17" s="79"/>
      <c r="E17" s="79"/>
      <c r="F17" s="79"/>
      <c r="G17" s="79"/>
      <c r="H17" s="79"/>
    </row>
    <row r="18" spans="1:8">
      <c r="A18" s="81" t="s">
        <v>85</v>
      </c>
      <c r="B18" s="81">
        <v>105</v>
      </c>
      <c r="C18" s="79"/>
      <c r="D18" s="79"/>
      <c r="E18" s="79"/>
      <c r="F18" s="79"/>
      <c r="G18" s="79"/>
      <c r="H18" s="79"/>
    </row>
    <row r="19" spans="1:8">
      <c r="A19" s="81" t="s">
        <v>203</v>
      </c>
      <c r="B19" s="81">
        <v>230</v>
      </c>
      <c r="C19" s="79"/>
      <c r="D19" s="79"/>
      <c r="E19" s="79"/>
      <c r="F19" s="79"/>
      <c r="G19" s="79"/>
      <c r="H19" s="79"/>
    </row>
    <row r="20" spans="1:8">
      <c r="A20" s="81" t="s">
        <v>201</v>
      </c>
      <c r="B20" s="81">
        <v>65</v>
      </c>
      <c r="C20" s="79"/>
      <c r="D20" s="79"/>
      <c r="E20" s="79"/>
      <c r="F20" s="79"/>
      <c r="G20" s="79"/>
      <c r="H20" s="79"/>
    </row>
    <row r="21" spans="1:8">
      <c r="A21" s="81" t="s">
        <v>399</v>
      </c>
      <c r="B21" s="81">
        <v>7</v>
      </c>
      <c r="C21" s="79"/>
      <c r="D21" s="79"/>
      <c r="E21" s="79"/>
      <c r="F21" s="79"/>
      <c r="G21" s="79"/>
      <c r="H21" s="79"/>
    </row>
    <row r="22" spans="1:8">
      <c r="A22" s="81" t="s">
        <v>205</v>
      </c>
      <c r="B22" s="81">
        <v>6</v>
      </c>
      <c r="C22" s="79"/>
      <c r="D22" s="79"/>
      <c r="E22" s="79"/>
      <c r="F22" s="79"/>
      <c r="G22" s="79"/>
      <c r="H22" s="79"/>
    </row>
  </sheetData>
  <mergeCells count="1">
    <mergeCell ref="A1:H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"/>
    </sheetView>
  </sheetViews>
  <sheetFormatPr defaultColWidth="9" defaultRowHeight="14.5" outlineLevelCol="7"/>
  <cols>
    <col min="1" max="8" width="18" customWidth="1"/>
  </cols>
  <sheetData>
    <row r="1" spans="1:8">
      <c r="A1" s="76" t="s">
        <v>76</v>
      </c>
      <c r="B1" s="76" t="s">
        <v>84</v>
      </c>
      <c r="C1" s="76" t="s">
        <v>92</v>
      </c>
      <c r="D1" s="76" t="s">
        <v>1095</v>
      </c>
      <c r="E1" s="76" t="s">
        <v>108</v>
      </c>
      <c r="F1" s="76" t="s">
        <v>116</v>
      </c>
      <c r="G1" s="76" t="s">
        <v>1096</v>
      </c>
      <c r="H1" s="76" t="s">
        <v>102</v>
      </c>
    </row>
    <row r="2" spans="1:8">
      <c r="A2" s="77" t="s">
        <v>77</v>
      </c>
      <c r="B2" s="77" t="s">
        <v>85</v>
      </c>
      <c r="C2" s="77" t="s">
        <v>93</v>
      </c>
      <c r="D2" s="77" t="s">
        <v>101</v>
      </c>
      <c r="E2" s="77" t="s">
        <v>260</v>
      </c>
      <c r="F2" s="77" t="s">
        <v>117</v>
      </c>
      <c r="G2" s="77" t="s">
        <v>124</v>
      </c>
      <c r="H2" s="77" t="s">
        <v>204</v>
      </c>
    </row>
    <row r="3" spans="1:8">
      <c r="A3" s="77" t="s">
        <v>205</v>
      </c>
      <c r="B3" s="77" t="s">
        <v>201</v>
      </c>
      <c r="C3" s="77" t="s">
        <v>411</v>
      </c>
      <c r="D3" s="77" t="s">
        <v>436</v>
      </c>
      <c r="E3" s="77" t="s">
        <v>340</v>
      </c>
      <c r="F3" s="77" t="s">
        <v>366</v>
      </c>
      <c r="G3" s="77" t="s">
        <v>1097</v>
      </c>
      <c r="H3" s="77" t="s">
        <v>202</v>
      </c>
    </row>
    <row r="4" spans="1:8">
      <c r="A4" s="77" t="s">
        <v>1098</v>
      </c>
      <c r="B4" s="77" t="s">
        <v>203</v>
      </c>
      <c r="C4" s="77" t="s">
        <v>400</v>
      </c>
      <c r="D4" s="77" t="s">
        <v>339</v>
      </c>
      <c r="E4" s="77" t="s">
        <v>109</v>
      </c>
      <c r="F4" s="77" t="s">
        <v>632</v>
      </c>
      <c r="G4" s="77"/>
      <c r="H4" s="77" t="s">
        <v>200</v>
      </c>
    </row>
    <row r="5" spans="1:8">
      <c r="A5" s="77"/>
      <c r="B5" s="77" t="s">
        <v>205</v>
      </c>
      <c r="C5" s="77" t="s">
        <v>392</v>
      </c>
      <c r="D5" s="77" t="s">
        <v>415</v>
      </c>
      <c r="E5" s="77"/>
      <c r="F5" s="77" t="s">
        <v>541</v>
      </c>
      <c r="G5" s="77"/>
      <c r="H5" s="77" t="s">
        <v>199</v>
      </c>
    </row>
    <row r="6" spans="1:8">
      <c r="A6" s="77"/>
      <c r="B6" s="77" t="s">
        <v>1099</v>
      </c>
      <c r="C6" s="77" t="s">
        <v>1100</v>
      </c>
      <c r="D6" s="77" t="s">
        <v>368</v>
      </c>
      <c r="E6" s="77"/>
      <c r="F6" s="77" t="s">
        <v>1101</v>
      </c>
      <c r="G6" s="77"/>
      <c r="H6" s="77"/>
    </row>
    <row r="7" spans="1:8">
      <c r="A7" s="77"/>
      <c r="B7" s="77" t="s">
        <v>368</v>
      </c>
      <c r="C7" s="77" t="s">
        <v>1102</v>
      </c>
      <c r="D7" s="77" t="s">
        <v>456</v>
      </c>
      <c r="E7" s="77"/>
      <c r="F7" s="77" t="s">
        <v>1103</v>
      </c>
      <c r="G7" s="77"/>
      <c r="H7" s="77"/>
    </row>
    <row r="8" spans="1:8">
      <c r="A8" s="77"/>
      <c r="B8" s="77" t="s">
        <v>1104</v>
      </c>
      <c r="C8" s="77" t="s">
        <v>1105</v>
      </c>
      <c r="D8" s="77" t="s">
        <v>522</v>
      </c>
      <c r="E8" s="77"/>
      <c r="F8" s="77" t="s">
        <v>1106</v>
      </c>
      <c r="G8" s="77"/>
      <c r="H8" s="77"/>
    </row>
    <row r="9" spans="1:8">
      <c r="A9" s="77"/>
      <c r="B9" s="77" t="s">
        <v>1107</v>
      </c>
      <c r="C9" s="77" t="s">
        <v>488</v>
      </c>
      <c r="D9" s="77" t="s">
        <v>422</v>
      </c>
      <c r="E9" s="77"/>
      <c r="F9" s="77" t="s">
        <v>805</v>
      </c>
      <c r="G9" s="77"/>
      <c r="H9" s="77"/>
    </row>
    <row r="10" spans="1:8">
      <c r="A10" s="77"/>
      <c r="B10" s="77"/>
      <c r="C10" s="77" t="s">
        <v>435</v>
      </c>
      <c r="D10" s="77" t="s">
        <v>572</v>
      </c>
      <c r="E10" s="77"/>
      <c r="F10" s="77" t="s">
        <v>1108</v>
      </c>
      <c r="G10" s="77"/>
      <c r="H10" s="77"/>
    </row>
    <row r="11" spans="1:8">
      <c r="A11" s="77"/>
      <c r="B11" s="77"/>
      <c r="C11" s="77" t="s">
        <v>421</v>
      </c>
      <c r="D11" s="77" t="s">
        <v>425</v>
      </c>
      <c r="E11" s="77"/>
      <c r="F11" s="77" t="s">
        <v>1109</v>
      </c>
      <c r="G11" s="77"/>
      <c r="H11" s="77"/>
    </row>
    <row r="12" spans="1:8">
      <c r="A12" s="77"/>
      <c r="B12" s="77"/>
      <c r="C12" s="77" t="s">
        <v>362</v>
      </c>
      <c r="D12" s="77" t="s">
        <v>513</v>
      </c>
      <c r="E12" s="77"/>
      <c r="F12" s="77" t="s">
        <v>1110</v>
      </c>
      <c r="G12" s="77"/>
      <c r="H12" s="77"/>
    </row>
    <row r="13" spans="1:8">
      <c r="A13" s="77"/>
      <c r="B13" s="77"/>
      <c r="C13" s="77" t="s">
        <v>1111</v>
      </c>
      <c r="D13" s="77" t="s">
        <v>1112</v>
      </c>
      <c r="E13" s="77"/>
      <c r="F13" s="77"/>
      <c r="G13" s="77"/>
      <c r="H13" s="77"/>
    </row>
    <row r="14" spans="1:8">
      <c r="A14" s="77"/>
      <c r="B14" s="77"/>
      <c r="C14" s="77" t="s">
        <v>483</v>
      </c>
      <c r="D14" s="77" t="s">
        <v>1113</v>
      </c>
      <c r="E14" s="77"/>
      <c r="F14" s="77"/>
      <c r="G14" s="77"/>
      <c r="H14" s="77"/>
    </row>
    <row r="15" spans="1:8">
      <c r="A15" s="77"/>
      <c r="B15" s="77"/>
      <c r="C15" s="77" t="s">
        <v>560</v>
      </c>
      <c r="D15" s="77" t="s">
        <v>1114</v>
      </c>
      <c r="E15" s="77"/>
      <c r="F15" s="77"/>
      <c r="G15" s="77"/>
      <c r="H15" s="77"/>
    </row>
    <row r="16" spans="1:8">
      <c r="A16" s="77"/>
      <c r="B16" s="77"/>
      <c r="C16" s="77" t="s">
        <v>449</v>
      </c>
      <c r="D16" s="77" t="s">
        <v>1099</v>
      </c>
      <c r="E16" s="77"/>
      <c r="F16" s="77"/>
      <c r="G16" s="77"/>
      <c r="H16" s="77"/>
    </row>
    <row r="17" spans="1:8">
      <c r="A17" s="77"/>
      <c r="B17" s="77"/>
      <c r="C17" s="77" t="s">
        <v>711</v>
      </c>
      <c r="D17" s="77" t="s">
        <v>1107</v>
      </c>
      <c r="E17" s="77"/>
      <c r="F17" s="77"/>
      <c r="G17" s="77"/>
      <c r="H17" s="77"/>
    </row>
    <row r="18" spans="1:8">
      <c r="A18" s="77"/>
      <c r="B18" s="77"/>
      <c r="C18" s="77" t="s">
        <v>629</v>
      </c>
      <c r="D18" s="77" t="s">
        <v>1115</v>
      </c>
      <c r="E18" s="77"/>
      <c r="F18" s="77"/>
      <c r="G18" s="77"/>
      <c r="H18" s="77"/>
    </row>
    <row r="19" spans="1:8">
      <c r="A19" s="77"/>
      <c r="B19" s="77"/>
      <c r="C19" s="77" t="s">
        <v>641</v>
      </c>
      <c r="D19" s="77"/>
      <c r="E19" s="77"/>
      <c r="F19" s="77"/>
      <c r="G19" s="77"/>
      <c r="H19" s="77"/>
    </row>
    <row r="20" spans="1:8">
      <c r="A20" s="77"/>
      <c r="B20" s="77"/>
      <c r="C20" s="77" t="s">
        <v>692</v>
      </c>
      <c r="D20" s="77"/>
      <c r="E20" s="77"/>
      <c r="F20" s="77"/>
      <c r="G20" s="77"/>
      <c r="H20" s="77"/>
    </row>
    <row r="21" spans="1:8">
      <c r="A21" s="77"/>
      <c r="B21" s="77"/>
      <c r="C21" s="77" t="s">
        <v>697</v>
      </c>
      <c r="D21" s="77"/>
      <c r="E21" s="77"/>
      <c r="F21" s="77"/>
      <c r="G21" s="77"/>
      <c r="H21" s="77"/>
    </row>
    <row r="22" spans="1:8">
      <c r="A22" s="77"/>
      <c r="B22" s="77"/>
      <c r="C22" s="77" t="s">
        <v>552</v>
      </c>
      <c r="D22" s="77"/>
      <c r="E22" s="77"/>
      <c r="F22" s="77"/>
      <c r="G22" s="77"/>
      <c r="H22" s="77"/>
    </row>
    <row r="23" spans="1:8">
      <c r="A23" s="77"/>
      <c r="B23" s="77"/>
      <c r="C23" s="77" t="s">
        <v>1116</v>
      </c>
      <c r="D23" s="77"/>
      <c r="E23" s="77"/>
      <c r="F23" s="77"/>
      <c r="G23" s="77"/>
      <c r="H23" s="77"/>
    </row>
    <row r="24" spans="1:8">
      <c r="A24" s="77"/>
      <c r="B24" s="77"/>
      <c r="C24" s="77" t="s">
        <v>352</v>
      </c>
      <c r="D24" s="77"/>
      <c r="E24" s="77"/>
      <c r="F24" s="77"/>
      <c r="G24" s="77"/>
      <c r="H24" s="77"/>
    </row>
    <row r="25" spans="1:8">
      <c r="A25" s="77"/>
      <c r="B25" s="77"/>
      <c r="C25" s="77" t="s">
        <v>754</v>
      </c>
      <c r="D25" s="77"/>
      <c r="E25" s="77"/>
      <c r="F25" s="77"/>
      <c r="G25" s="77"/>
      <c r="H25" s="77"/>
    </row>
    <row r="26" spans="1:8">
      <c r="A26" s="77"/>
      <c r="B26" s="77"/>
      <c r="C26" s="77" t="s">
        <v>1117</v>
      </c>
      <c r="D26" s="77"/>
      <c r="E26" s="77"/>
      <c r="F26" s="77"/>
      <c r="G26" s="77"/>
      <c r="H26" s="77"/>
    </row>
    <row r="27" spans="1:8">
      <c r="A27" s="77"/>
      <c r="B27" s="77"/>
      <c r="C27" s="77" t="s">
        <v>1118</v>
      </c>
      <c r="D27" s="77"/>
      <c r="E27" s="77"/>
      <c r="F27" s="77"/>
      <c r="G27" s="77"/>
      <c r="H27" s="77"/>
    </row>
    <row r="28" spans="1:8">
      <c r="A28" s="77"/>
      <c r="B28" s="77"/>
      <c r="C28" s="77" t="s">
        <v>1119</v>
      </c>
      <c r="D28" s="77"/>
      <c r="E28" s="77"/>
      <c r="F28" s="77"/>
      <c r="G28" s="77"/>
      <c r="H28" s="77"/>
    </row>
    <row r="29" spans="1:8">
      <c r="A29" s="77"/>
      <c r="B29" s="77"/>
      <c r="C29" s="77" t="s">
        <v>1120</v>
      </c>
      <c r="D29" s="77"/>
      <c r="E29" s="77"/>
      <c r="F29" s="77"/>
      <c r="G29" s="77"/>
      <c r="H29" s="77"/>
    </row>
    <row r="30" spans="1:8">
      <c r="A30" s="77"/>
      <c r="B30" s="77"/>
      <c r="C30" s="77" t="s">
        <v>1121</v>
      </c>
      <c r="D30" s="77"/>
      <c r="E30" s="77"/>
      <c r="F30" s="77"/>
      <c r="G30" s="77"/>
      <c r="H30" s="77"/>
    </row>
    <row r="31" spans="1:8">
      <c r="A31" s="77"/>
      <c r="B31" s="77"/>
      <c r="C31" s="77" t="s">
        <v>1122</v>
      </c>
      <c r="D31" s="77"/>
      <c r="E31" s="77"/>
      <c r="F31" s="77"/>
      <c r="G31" s="77"/>
      <c r="H31" s="77"/>
    </row>
    <row r="32" spans="1:8">
      <c r="A32" s="77"/>
      <c r="B32" s="77"/>
      <c r="C32" s="77" t="s">
        <v>1123</v>
      </c>
      <c r="D32" s="77"/>
      <c r="E32" s="77"/>
      <c r="F32" s="77"/>
      <c r="G32" s="77"/>
      <c r="H32" s="77"/>
    </row>
    <row r="33" spans="1:8">
      <c r="A33" s="77"/>
      <c r="B33" s="77"/>
      <c r="C33" s="77" t="s">
        <v>1124</v>
      </c>
      <c r="D33" s="77"/>
      <c r="E33" s="77"/>
      <c r="F33" s="77"/>
      <c r="G33" s="77"/>
      <c r="H33" s="77"/>
    </row>
    <row r="34" spans="1:8">
      <c r="A34" s="77"/>
      <c r="B34" s="77"/>
      <c r="C34" s="77" t="s">
        <v>1125</v>
      </c>
      <c r="D34" s="77"/>
      <c r="E34" s="77"/>
      <c r="F34" s="77"/>
      <c r="G34" s="77"/>
      <c r="H34" s="77"/>
    </row>
    <row r="35" spans="1:8">
      <c r="A35" s="77"/>
      <c r="B35" s="77"/>
      <c r="C35" s="77"/>
      <c r="D35" s="77"/>
      <c r="E35" s="77"/>
      <c r="F35" s="77"/>
      <c r="G35" s="77"/>
      <c r="H35" s="77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showGridLines="0" workbookViewId="0">
      <selection activeCell="A1" sqref="A1:B1"/>
    </sheetView>
  </sheetViews>
  <sheetFormatPr defaultColWidth="9" defaultRowHeight="14.5" outlineLevelCol="1"/>
  <cols>
    <col min="1" max="1" width="28" customWidth="1"/>
    <col min="2" max="2" width="110" customWidth="1"/>
  </cols>
  <sheetData>
    <row r="1" ht="19.5" spans="1:2">
      <c r="A1" s="72" t="s">
        <v>1126</v>
      </c>
    </row>
    <row r="3" spans="1:2">
      <c r="A3" s="73" t="s">
        <v>1127</v>
      </c>
      <c r="B3" s="74" t="s">
        <v>1128</v>
      </c>
    </row>
    <row r="4" spans="1:2">
      <c r="A4" s="73" t="s">
        <v>1129</v>
      </c>
      <c r="B4" s="74" t="s">
        <v>1130</v>
      </c>
    </row>
    <row r="5" spans="1:2">
      <c r="A5" s="73" t="s">
        <v>1131</v>
      </c>
      <c r="B5" s="74" t="s">
        <v>1132</v>
      </c>
    </row>
    <row r="6" spans="1:2">
      <c r="A6" s="73" t="s">
        <v>1133</v>
      </c>
      <c r="B6" s="74" t="s">
        <v>1134</v>
      </c>
    </row>
    <row r="7" spans="1:2">
      <c r="A7" s="73" t="s">
        <v>1135</v>
      </c>
      <c r="B7" s="74" t="s">
        <v>1136</v>
      </c>
    </row>
    <row r="8" spans="1:2">
      <c r="A8" s="73" t="s">
        <v>1137</v>
      </c>
      <c r="B8" s="74" t="s">
        <v>1138</v>
      </c>
    </row>
    <row r="9" ht="29" spans="1:2">
      <c r="A9" s="73" t="s">
        <v>1139</v>
      </c>
      <c r="B9" s="74" t="s">
        <v>1140</v>
      </c>
    </row>
    <row r="11" spans="1:2">
      <c r="A11" s="73" t="s">
        <v>1141</v>
      </c>
      <c r="B11" s="74" t="s">
        <v>1142</v>
      </c>
    </row>
    <row r="13" ht="29" spans="1:2">
      <c r="A13" s="65" t="s">
        <v>1143</v>
      </c>
      <c r="B13" s="74" t="s">
        <v>1144</v>
      </c>
    </row>
    <row r="15" spans="1:2">
      <c r="A15" s="65" t="s">
        <v>1145</v>
      </c>
      <c r="B15" s="74" t="s">
        <v>1146</v>
      </c>
    </row>
    <row r="20" spans="1:2">
      <c r="A20" s="75" t="s">
        <v>1147</v>
      </c>
      <c r="B20" s="75" t="s">
        <v>1148</v>
      </c>
    </row>
    <row r="21" spans="1:2">
      <c r="A21" t="s">
        <v>88</v>
      </c>
      <c r="B21" t="s">
        <v>1149</v>
      </c>
    </row>
    <row r="22" spans="1:2">
      <c r="A22" t="s">
        <v>96</v>
      </c>
      <c r="B22" t="s">
        <v>1150</v>
      </c>
    </row>
    <row r="23" spans="1:2">
      <c r="A23" t="s">
        <v>104</v>
      </c>
      <c r="B23" t="s">
        <v>1151</v>
      </c>
    </row>
    <row r="24" spans="1:2">
      <c r="A24" t="s">
        <v>112</v>
      </c>
      <c r="B24" t="s">
        <v>1152</v>
      </c>
    </row>
    <row r="25" spans="1:2">
      <c r="A25" t="s">
        <v>119</v>
      </c>
      <c r="B25" t="s">
        <v>1153</v>
      </c>
    </row>
    <row r="26" spans="1:2">
      <c r="A26" t="s">
        <v>1154</v>
      </c>
      <c r="B26" t="s">
        <v>1155</v>
      </c>
    </row>
  </sheetData>
  <mergeCells count="1">
    <mergeCell ref="A1:B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" sqref="A1"/>
    </sheetView>
  </sheetViews>
  <sheetFormatPr defaultColWidth="9" defaultRowHeight="14.5"/>
  <cols>
    <col min="1" max="1" width="140" customWidth="1"/>
  </cols>
  <sheetData>
    <row r="1" spans="1:1">
      <c r="A1" s="9" t="s">
        <v>1156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showGridLines="0" workbookViewId="0">
      <selection activeCell="A1" sqref="A1:K1"/>
    </sheetView>
  </sheetViews>
  <sheetFormatPr defaultColWidth="9" defaultRowHeight="14.5"/>
  <cols>
    <col min="1" max="11" width="22" customWidth="1"/>
  </cols>
  <sheetData>
    <row r="1" ht="18.5" spans="1:11">
      <c r="A1" s="70" t="s">
        <v>1157</v>
      </c>
    </row>
    <row r="2" spans="1:11">
      <c r="A2" s="71" t="s">
        <v>1158</v>
      </c>
    </row>
    <row r="3" ht="29" spans="1:11">
      <c r="A3" s="32" t="s">
        <v>72</v>
      </c>
      <c r="B3" s="32" t="s">
        <v>76</v>
      </c>
      <c r="C3" s="32" t="s">
        <v>84</v>
      </c>
      <c r="D3" s="32" t="s">
        <v>74</v>
      </c>
      <c r="E3" s="32" t="s">
        <v>1159</v>
      </c>
      <c r="F3" s="32" t="s">
        <v>1160</v>
      </c>
      <c r="G3" s="32" t="s">
        <v>1161</v>
      </c>
      <c r="H3" s="32" t="s">
        <v>1162</v>
      </c>
      <c r="I3" s="32" t="s">
        <v>1163</v>
      </c>
      <c r="J3" s="32" t="s">
        <v>1164</v>
      </c>
      <c r="K3" s="32" t="s">
        <v>1165</v>
      </c>
    </row>
    <row r="4" ht="29" spans="1:11">
      <c r="A4" s="8" t="str">
        <f>'08_GDE_RISK_ENGINE'!A4</f>
        <v>P2LBA11 BR001</v>
      </c>
      <c r="B4" s="8" t="str">
        <f>'08_GDE_RISK_ENGINE'!B4</f>
        <v>Piping</v>
      </c>
      <c r="C4" s="8" t="str">
        <f>'08_GDE_RISK_ENGINE'!C4</f>
        <v>SAGS</v>
      </c>
      <c r="D4" s="8" t="str">
        <f>'08_GDE_RISK_ENGINE'!D4</f>
        <v>CL-SAGS-LBA-STEAM-CS-LG-T3_150C_PLUS</v>
      </c>
      <c r="E4" s="8">
        <f>'08_GDE_RISK_ENGINE'!E4</f>
        <v>4</v>
      </c>
      <c r="F4" s="8">
        <f>'08_GDE_RISK_ENGINE'!F4</f>
        <v>5</v>
      </c>
      <c r="G4" s="8" t="str">
        <f>'08_GDE_RISK_ENGINE'!G4</f>
        <v>Extreme High</v>
      </c>
      <c r="H4" s="8">
        <f>IF(A4="","",MIN(5,E4+'14_GDE_RISK_MATRIX_DASHBOARD'!$C$6))</f>
        <v>5</v>
      </c>
      <c r="I4" s="8">
        <f>IF(A4="","",MAX(1,E4-'14_GDE_RISK_MATRIX_DASHBOARD'!$C$7))</f>
        <v>3</v>
      </c>
      <c r="J4" s="8" t="str">
        <f t="shared" ref="J4:J67" si="0">IF(A4="","",IF(OR(AND(H4&gt;=4,F4&gt;=4),AND(H4=5,F4&gt;=3)),"Extreme High",IF(OR(AND(H4&gt;=3,F4&gt;=3),AND(F4=5,H4&gt;=2)),"High",IF(OR(H4&gt;=2,F4&gt;=2),"Medium","Low"))))</f>
        <v>Extreme High</v>
      </c>
      <c r="K4" s="8" t="str">
        <f t="shared" ref="K4:K67" si="1">IF(A4="","",IF(OR(AND(I4&gt;=4,F4&gt;=4),AND(I4=5,F4&gt;=3)),"Extreme High",IF(OR(AND(I4&gt;=3,F4&gt;=3),AND(F4=5,I4&gt;=2)),"High",IF(OR(I4&gt;=2,F4&gt;=2),"Medium","Low"))))</f>
        <v>High</v>
      </c>
    </row>
    <row r="5" ht="29" spans="1:11">
      <c r="A5" s="8" t="str">
        <f>'08_GDE_RISK_ENGINE'!A5</f>
        <v>P2LBA11 BR501</v>
      </c>
      <c r="B5" s="8" t="str">
        <f>'08_GDE_RISK_ENGINE'!B5</f>
        <v>Piping</v>
      </c>
      <c r="C5" s="8" t="str">
        <f>'08_GDE_RISK_ENGINE'!C5</f>
        <v>SAGS</v>
      </c>
      <c r="D5" s="8" t="str">
        <f>'08_GDE_RISK_ENGINE'!D5</f>
        <v>CL-SAGS-LBA-STEAM-CS-LG-T3_150C_PLUS</v>
      </c>
      <c r="E5" s="8">
        <f>'08_GDE_RISK_ENGINE'!E5</f>
        <v>4</v>
      </c>
      <c r="F5" s="8">
        <f>'08_GDE_RISK_ENGINE'!F5</f>
        <v>5</v>
      </c>
      <c r="G5" s="8" t="str">
        <f>'08_GDE_RISK_ENGINE'!G5</f>
        <v>Extreme High</v>
      </c>
      <c r="H5" s="8">
        <f>IF(A5="","",MIN(5,E5+'14_GDE_RISK_MATRIX_DASHBOARD'!$C$6))</f>
        <v>5</v>
      </c>
      <c r="I5" s="8">
        <f>IF(A5="","",MAX(1,E5-'14_GDE_RISK_MATRIX_DASHBOARD'!$C$7))</f>
        <v>3</v>
      </c>
      <c r="J5" s="8" t="str">
        <f t="shared" si="0"/>
        <v>Extreme High</v>
      </c>
      <c r="K5" s="8" t="str">
        <f t="shared" si="1"/>
        <v>High</v>
      </c>
    </row>
    <row r="6" ht="29" spans="1:11">
      <c r="A6" s="8" t="str">
        <f>'08_GDE_RISK_ENGINE'!A6</f>
        <v>P2LBA11 BR011</v>
      </c>
      <c r="B6" s="8" t="str">
        <f>'08_GDE_RISK_ENGINE'!B6</f>
        <v>Piping</v>
      </c>
      <c r="C6" s="8" t="str">
        <f>'08_GDE_RISK_ENGINE'!C6</f>
        <v>SAGS</v>
      </c>
      <c r="D6" s="8" t="str">
        <f>'08_GDE_RISK_ENGINE'!D6</f>
        <v>CL-SAGS-LBA-STEAM-CS-LG-T3_150C_PLUS</v>
      </c>
      <c r="E6" s="8">
        <f>'08_GDE_RISK_ENGINE'!E6</f>
        <v>4</v>
      </c>
      <c r="F6" s="8">
        <f>'08_GDE_RISK_ENGINE'!F6</f>
        <v>5</v>
      </c>
      <c r="G6" s="8" t="str">
        <f>'08_GDE_RISK_ENGINE'!G6</f>
        <v>Extreme High</v>
      </c>
      <c r="H6" s="8">
        <f>IF(A6="","",MIN(5,E6+'14_GDE_RISK_MATRIX_DASHBOARD'!$C$6))</f>
        <v>5</v>
      </c>
      <c r="I6" s="8">
        <f>IF(A6="","",MAX(1,E6-'14_GDE_RISK_MATRIX_DASHBOARD'!$C$7))</f>
        <v>3</v>
      </c>
      <c r="J6" s="8" t="str">
        <f t="shared" si="0"/>
        <v>Extreme High</v>
      </c>
      <c r="K6" s="8" t="str">
        <f t="shared" si="1"/>
        <v>High</v>
      </c>
    </row>
    <row r="7" ht="29" spans="1:11">
      <c r="A7" s="8" t="str">
        <f>'08_GDE_RISK_ENGINE'!A7</f>
        <v>P2LBA11 BR003</v>
      </c>
      <c r="B7" s="8" t="str">
        <f>'08_GDE_RISK_ENGINE'!B7</f>
        <v>Piping</v>
      </c>
      <c r="C7" s="8" t="str">
        <f>'08_GDE_RISK_ENGINE'!C7</f>
        <v>SAGS</v>
      </c>
      <c r="D7" s="8" t="str">
        <f>'08_GDE_RISK_ENGINE'!D7</f>
        <v>CL-SAGS-LBA-STEAM-CS-LG-T3_150C_PLUS</v>
      </c>
      <c r="E7" s="8">
        <f>'08_GDE_RISK_ENGINE'!E7</f>
        <v>4</v>
      </c>
      <c r="F7" s="8">
        <f>'08_GDE_RISK_ENGINE'!F7</f>
        <v>5</v>
      </c>
      <c r="G7" s="8" t="str">
        <f>'08_GDE_RISK_ENGINE'!G7</f>
        <v>Extreme High</v>
      </c>
      <c r="H7" s="8">
        <f>IF(A7="","",MIN(5,E7+'14_GDE_RISK_MATRIX_DASHBOARD'!$C$6))</f>
        <v>5</v>
      </c>
      <c r="I7" s="8">
        <f>IF(A7="","",MAX(1,E7-'14_GDE_RISK_MATRIX_DASHBOARD'!$C$7))</f>
        <v>3</v>
      </c>
      <c r="J7" s="8" t="str">
        <f t="shared" si="0"/>
        <v>Extreme High</v>
      </c>
      <c r="K7" s="8" t="str">
        <f t="shared" si="1"/>
        <v>High</v>
      </c>
    </row>
    <row r="8" ht="29" spans="1:11">
      <c r="A8" s="8" t="str">
        <f>'08_GDE_RISK_ENGINE'!A8</f>
        <v>P2LBA11 BR010</v>
      </c>
      <c r="B8" s="8" t="str">
        <f>'08_GDE_RISK_ENGINE'!B8</f>
        <v>Piping</v>
      </c>
      <c r="C8" s="8" t="str">
        <f>'08_GDE_RISK_ENGINE'!C8</f>
        <v>SAGS</v>
      </c>
      <c r="D8" s="8" t="str">
        <f>'08_GDE_RISK_ENGINE'!D8</f>
        <v>CL-SAGS-LBA-STEAM-CS-LG-T3_150C_PLUS</v>
      </c>
      <c r="E8" s="8">
        <f>'08_GDE_RISK_ENGINE'!E8</f>
        <v>4</v>
      </c>
      <c r="F8" s="8">
        <f>'08_GDE_RISK_ENGINE'!F8</f>
        <v>5</v>
      </c>
      <c r="G8" s="8" t="str">
        <f>'08_GDE_RISK_ENGINE'!G8</f>
        <v>Extreme High</v>
      </c>
      <c r="H8" s="8">
        <f>IF(A8="","",MIN(5,E8+'14_GDE_RISK_MATRIX_DASHBOARD'!$C$6))</f>
        <v>5</v>
      </c>
      <c r="I8" s="8">
        <f>IF(A8="","",MAX(1,E8-'14_GDE_RISK_MATRIX_DASHBOARD'!$C$7))</f>
        <v>3</v>
      </c>
      <c r="J8" s="8" t="str">
        <f t="shared" si="0"/>
        <v>Extreme High</v>
      </c>
      <c r="K8" s="8" t="str">
        <f t="shared" si="1"/>
        <v>High</v>
      </c>
    </row>
    <row r="9" ht="29" spans="1:11">
      <c r="A9" s="8" t="str">
        <f>'08_GDE_RISK_ENGINE'!A9</f>
        <v>P2LBA11 BR301</v>
      </c>
      <c r="B9" s="8" t="str">
        <f>'08_GDE_RISK_ENGINE'!B9</f>
        <v>Piping</v>
      </c>
      <c r="C9" s="8" t="str">
        <f>'08_GDE_RISK_ENGINE'!C9</f>
        <v>SAGS</v>
      </c>
      <c r="D9" s="8" t="str">
        <f>'08_GDE_RISK_ENGINE'!D9</f>
        <v>CL-SAGS-LBA-STEAM-CS-LG-T3_150C_PLUS</v>
      </c>
      <c r="E9" s="8">
        <f>'08_GDE_RISK_ENGINE'!E9</f>
        <v>4</v>
      </c>
      <c r="F9" s="8">
        <f>'08_GDE_RISK_ENGINE'!F9</f>
        <v>5</v>
      </c>
      <c r="G9" s="8" t="str">
        <f>'08_GDE_RISK_ENGINE'!G9</f>
        <v>Extreme High</v>
      </c>
      <c r="H9" s="8">
        <f>IF(A9="","",MIN(5,E9+'14_GDE_RISK_MATRIX_DASHBOARD'!$C$6))</f>
        <v>5</v>
      </c>
      <c r="I9" s="8">
        <f>IF(A9="","",MAX(1,E9-'14_GDE_RISK_MATRIX_DASHBOARD'!$C$7))</f>
        <v>3</v>
      </c>
      <c r="J9" s="8" t="str">
        <f t="shared" si="0"/>
        <v>Extreme High</v>
      </c>
      <c r="K9" s="8" t="str">
        <f t="shared" si="1"/>
        <v>High</v>
      </c>
    </row>
    <row r="10" ht="29" spans="1:11">
      <c r="A10" s="8" t="str">
        <f>'08_GDE_RISK_ENGINE'!A10</f>
        <v>P2LBA12 BR001</v>
      </c>
      <c r="B10" s="8" t="str">
        <f>'08_GDE_RISK_ENGINE'!B10</f>
        <v>Piping</v>
      </c>
      <c r="C10" s="8" t="str">
        <f>'08_GDE_RISK_ENGINE'!C10</f>
        <v>SAGS</v>
      </c>
      <c r="D10" s="8" t="str">
        <f>'08_GDE_RISK_ENGINE'!D10</f>
        <v>CL-SAGS-LBA-STEAM-CS-V-T3_150C_PLUS</v>
      </c>
      <c r="E10" s="8">
        <f>'08_GDE_RISK_ENGINE'!E10</f>
        <v>2</v>
      </c>
      <c r="F10" s="8">
        <f>'08_GDE_RISK_ENGINE'!F10</f>
        <v>5</v>
      </c>
      <c r="G10" s="8" t="str">
        <f>'08_GDE_RISK_ENGINE'!G10</f>
        <v>High</v>
      </c>
      <c r="H10" s="8">
        <f>IF(A10="","",MIN(5,E10+'14_GDE_RISK_MATRIX_DASHBOARD'!$C$6))</f>
        <v>3</v>
      </c>
      <c r="I10" s="8">
        <f>IF(A10="","",MAX(1,E10-'14_GDE_RISK_MATRIX_DASHBOARD'!$C$7))</f>
        <v>1</v>
      </c>
      <c r="J10" s="8" t="str">
        <f t="shared" si="0"/>
        <v>High</v>
      </c>
      <c r="K10" s="8" t="str">
        <f t="shared" si="1"/>
        <v>Medium</v>
      </c>
    </row>
    <row r="11" ht="29" spans="1:11">
      <c r="A11" s="8" t="str">
        <f>'08_GDE_RISK_ENGINE'!A11</f>
        <v>P2LBA12 BR501</v>
      </c>
      <c r="B11" s="8" t="str">
        <f>'08_GDE_RISK_ENGINE'!B11</f>
        <v>Piping</v>
      </c>
      <c r="C11" s="8" t="str">
        <f>'08_GDE_RISK_ENGINE'!C11</f>
        <v>SAGS</v>
      </c>
      <c r="D11" s="8" t="str">
        <f>'08_GDE_RISK_ENGINE'!D11</f>
        <v>CL-SAGS-LBA-STEAM-CS-V-T3_150C_PLUS</v>
      </c>
      <c r="E11" s="8">
        <f>'08_GDE_RISK_ENGINE'!E11</f>
        <v>2</v>
      </c>
      <c r="F11" s="8">
        <f>'08_GDE_RISK_ENGINE'!F11</f>
        <v>5</v>
      </c>
      <c r="G11" s="8" t="str">
        <f>'08_GDE_RISK_ENGINE'!G11</f>
        <v>High</v>
      </c>
      <c r="H11" s="8">
        <f>IF(A11="","",MIN(5,E11+'14_GDE_RISK_MATRIX_DASHBOARD'!$C$6))</f>
        <v>3</v>
      </c>
      <c r="I11" s="8">
        <f>IF(A11="","",MAX(1,E11-'14_GDE_RISK_MATRIX_DASHBOARD'!$C$7))</f>
        <v>1</v>
      </c>
      <c r="J11" s="8" t="str">
        <f t="shared" si="0"/>
        <v>High</v>
      </c>
      <c r="K11" s="8" t="str">
        <f t="shared" si="1"/>
        <v>Medium</v>
      </c>
    </row>
    <row r="12" ht="29" spans="1:11">
      <c r="A12" s="8" t="str">
        <f>'08_GDE_RISK_ENGINE'!A12</f>
        <v>P2LBA12 BR011</v>
      </c>
      <c r="B12" s="8" t="str">
        <f>'08_GDE_RISK_ENGINE'!B12</f>
        <v>Piping</v>
      </c>
      <c r="C12" s="8" t="str">
        <f>'08_GDE_RISK_ENGINE'!C12</f>
        <v>SAGS</v>
      </c>
      <c r="D12" s="8" t="str">
        <f>'08_GDE_RISK_ENGINE'!D12</f>
        <v>CL-SAGS-LBA-STEAM-CS-V-T3_150C_PLUS</v>
      </c>
      <c r="E12" s="8">
        <f>'08_GDE_RISK_ENGINE'!E12</f>
        <v>2</v>
      </c>
      <c r="F12" s="8">
        <f>'08_GDE_RISK_ENGINE'!F12</f>
        <v>5</v>
      </c>
      <c r="G12" s="8" t="str">
        <f>'08_GDE_RISK_ENGINE'!G12</f>
        <v>High</v>
      </c>
      <c r="H12" s="8">
        <f>IF(A12="","",MIN(5,E12+'14_GDE_RISK_MATRIX_DASHBOARD'!$C$6))</f>
        <v>3</v>
      </c>
      <c r="I12" s="8">
        <f>IF(A12="","",MAX(1,E12-'14_GDE_RISK_MATRIX_DASHBOARD'!$C$7))</f>
        <v>1</v>
      </c>
      <c r="J12" s="8" t="str">
        <f t="shared" si="0"/>
        <v>High</v>
      </c>
      <c r="K12" s="8" t="str">
        <f t="shared" si="1"/>
        <v>Medium</v>
      </c>
    </row>
    <row r="13" ht="29" spans="1:11">
      <c r="A13" s="8" t="str">
        <f>'08_GDE_RISK_ENGINE'!A13</f>
        <v>P2LBA12 BR003</v>
      </c>
      <c r="B13" s="8" t="str">
        <f>'08_GDE_RISK_ENGINE'!B13</f>
        <v>Piping</v>
      </c>
      <c r="C13" s="8" t="str">
        <f>'08_GDE_RISK_ENGINE'!C13</f>
        <v>SAGS</v>
      </c>
      <c r="D13" s="8" t="str">
        <f>'08_GDE_RISK_ENGINE'!D13</f>
        <v>CL-SAGS-LBA-STEAM-CS-V-T3_150C_PLUS</v>
      </c>
      <c r="E13" s="8">
        <f>'08_GDE_RISK_ENGINE'!E13</f>
        <v>2</v>
      </c>
      <c r="F13" s="8">
        <f>'08_GDE_RISK_ENGINE'!F13</f>
        <v>5</v>
      </c>
      <c r="G13" s="8" t="str">
        <f>'08_GDE_RISK_ENGINE'!G13</f>
        <v>High</v>
      </c>
      <c r="H13" s="8">
        <f>IF(A13="","",MIN(5,E13+'14_GDE_RISK_MATRIX_DASHBOARD'!$C$6))</f>
        <v>3</v>
      </c>
      <c r="I13" s="8">
        <f>IF(A13="","",MAX(1,E13-'14_GDE_RISK_MATRIX_DASHBOARD'!$C$7))</f>
        <v>1</v>
      </c>
      <c r="J13" s="8" t="str">
        <f t="shared" si="0"/>
        <v>High</v>
      </c>
      <c r="K13" s="8" t="str">
        <f t="shared" si="1"/>
        <v>Medium</v>
      </c>
    </row>
    <row r="14" ht="29" spans="1:11">
      <c r="A14" s="8" t="str">
        <f>'08_GDE_RISK_ENGINE'!A14</f>
        <v>P2LBA12 BR010</v>
      </c>
      <c r="B14" s="8" t="str">
        <f>'08_GDE_RISK_ENGINE'!B14</f>
        <v>Piping</v>
      </c>
      <c r="C14" s="8" t="str">
        <f>'08_GDE_RISK_ENGINE'!C14</f>
        <v>SAGS</v>
      </c>
      <c r="D14" s="8" t="str">
        <f>'08_GDE_RISK_ENGINE'!D14</f>
        <v>CL-SAGS-LBA-STEAM-CS-V-T3_150C_PLUS</v>
      </c>
      <c r="E14" s="8">
        <f>'08_GDE_RISK_ENGINE'!E14</f>
        <v>2</v>
      </c>
      <c r="F14" s="8">
        <f>'08_GDE_RISK_ENGINE'!F14</f>
        <v>5</v>
      </c>
      <c r="G14" s="8" t="str">
        <f>'08_GDE_RISK_ENGINE'!G14</f>
        <v>High</v>
      </c>
      <c r="H14" s="8">
        <f>IF(A14="","",MIN(5,E14+'14_GDE_RISK_MATRIX_DASHBOARD'!$C$6))</f>
        <v>3</v>
      </c>
      <c r="I14" s="8">
        <f>IF(A14="","",MAX(1,E14-'14_GDE_RISK_MATRIX_DASHBOARD'!$C$7))</f>
        <v>1</v>
      </c>
      <c r="J14" s="8" t="str">
        <f t="shared" si="0"/>
        <v>High</v>
      </c>
      <c r="K14" s="8" t="str">
        <f t="shared" si="1"/>
        <v>Medium</v>
      </c>
    </row>
    <row r="15" ht="29" spans="1:11">
      <c r="A15" s="8" t="str">
        <f>'08_GDE_RISK_ENGINE'!A15</f>
        <v>P2LBA12 BR301</v>
      </c>
      <c r="B15" s="8" t="str">
        <f>'08_GDE_RISK_ENGINE'!B15</f>
        <v>Piping</v>
      </c>
      <c r="C15" s="8" t="str">
        <f>'08_GDE_RISK_ENGINE'!C15</f>
        <v>SAGS</v>
      </c>
      <c r="D15" s="8" t="str">
        <f>'08_GDE_RISK_ENGINE'!D15</f>
        <v>CL-SAGS-LBA-STEAM-CS-V-T3_150C_PLUS</v>
      </c>
      <c r="E15" s="8">
        <f>'08_GDE_RISK_ENGINE'!E15</f>
        <v>2</v>
      </c>
      <c r="F15" s="8">
        <f>'08_GDE_RISK_ENGINE'!F15</f>
        <v>5</v>
      </c>
      <c r="G15" s="8" t="str">
        <f>'08_GDE_RISK_ENGINE'!G15</f>
        <v>High</v>
      </c>
      <c r="H15" s="8">
        <f>IF(A15="","",MIN(5,E15+'14_GDE_RISK_MATRIX_DASHBOARD'!$C$6))</f>
        <v>3</v>
      </c>
      <c r="I15" s="8">
        <f>IF(A15="","",MAX(1,E15-'14_GDE_RISK_MATRIX_DASHBOARD'!$C$7))</f>
        <v>1</v>
      </c>
      <c r="J15" s="8" t="str">
        <f t="shared" si="0"/>
        <v>High</v>
      </c>
      <c r="K15" s="8" t="str">
        <f t="shared" si="1"/>
        <v>Medium</v>
      </c>
    </row>
    <row r="16" ht="29" spans="1:11">
      <c r="A16" s="8" t="str">
        <f>'08_GDE_RISK_ENGINE'!A16</f>
        <v>P2LBA13 BR001</v>
      </c>
      <c r="B16" s="8" t="str">
        <f>'08_GDE_RISK_ENGINE'!B16</f>
        <v>Piping</v>
      </c>
      <c r="C16" s="8" t="str">
        <f>'08_GDE_RISK_ENGINE'!C16</f>
        <v>SAGS</v>
      </c>
      <c r="D16" s="8" t="str">
        <f>'08_GDE_RISK_ENGINE'!D16</f>
        <v>CL-SAGS-LBA-STEAM-CS-V-T3_150C_PLUS</v>
      </c>
      <c r="E16" s="8">
        <f>'08_GDE_RISK_ENGINE'!E16</f>
        <v>2</v>
      </c>
      <c r="F16" s="8">
        <f>'08_GDE_RISK_ENGINE'!F16</f>
        <v>5</v>
      </c>
      <c r="G16" s="8" t="str">
        <f>'08_GDE_RISK_ENGINE'!G16</f>
        <v>High</v>
      </c>
      <c r="H16" s="8">
        <f>IF(A16="","",MIN(5,E16+'14_GDE_RISK_MATRIX_DASHBOARD'!$C$6))</f>
        <v>3</v>
      </c>
      <c r="I16" s="8">
        <f>IF(A16="","",MAX(1,E16-'14_GDE_RISK_MATRIX_DASHBOARD'!$C$7))</f>
        <v>1</v>
      </c>
      <c r="J16" s="8" t="str">
        <f t="shared" si="0"/>
        <v>High</v>
      </c>
      <c r="K16" s="8" t="str">
        <f t="shared" si="1"/>
        <v>Medium</v>
      </c>
    </row>
    <row r="17" ht="29" spans="1:11">
      <c r="A17" s="8" t="str">
        <f>'08_GDE_RISK_ENGINE'!A17</f>
        <v>P2LBA13 BR501</v>
      </c>
      <c r="B17" s="8" t="str">
        <f>'08_GDE_RISK_ENGINE'!B17</f>
        <v>Piping</v>
      </c>
      <c r="C17" s="8" t="str">
        <f>'08_GDE_RISK_ENGINE'!C17</f>
        <v>SAGS</v>
      </c>
      <c r="D17" s="8" t="str">
        <f>'08_GDE_RISK_ENGINE'!D17</f>
        <v>CL-SAGS-LBA-STEAM-CS-V-T3_150C_PLUS</v>
      </c>
      <c r="E17" s="8">
        <f>'08_GDE_RISK_ENGINE'!E17</f>
        <v>2</v>
      </c>
      <c r="F17" s="8">
        <f>'08_GDE_RISK_ENGINE'!F17</f>
        <v>5</v>
      </c>
      <c r="G17" s="8" t="str">
        <f>'08_GDE_RISK_ENGINE'!G17</f>
        <v>High</v>
      </c>
      <c r="H17" s="8">
        <f>IF(A17="","",MIN(5,E17+'14_GDE_RISK_MATRIX_DASHBOARD'!$C$6))</f>
        <v>3</v>
      </c>
      <c r="I17" s="8">
        <f>IF(A17="","",MAX(1,E17-'14_GDE_RISK_MATRIX_DASHBOARD'!$C$7))</f>
        <v>1</v>
      </c>
      <c r="J17" s="8" t="str">
        <f t="shared" si="0"/>
        <v>High</v>
      </c>
      <c r="K17" s="8" t="str">
        <f t="shared" si="1"/>
        <v>Medium</v>
      </c>
    </row>
    <row r="18" ht="29" spans="1:11">
      <c r="A18" s="8" t="str">
        <f>'08_GDE_RISK_ENGINE'!A18</f>
        <v>P2LBA13 BR011</v>
      </c>
      <c r="B18" s="8" t="str">
        <f>'08_GDE_RISK_ENGINE'!B18</f>
        <v>Piping</v>
      </c>
      <c r="C18" s="8" t="str">
        <f>'08_GDE_RISK_ENGINE'!C18</f>
        <v>SAGS</v>
      </c>
      <c r="D18" s="8" t="str">
        <f>'08_GDE_RISK_ENGINE'!D18</f>
        <v>CL-SAGS-LBA-STEAM-CS-V-T3_150C_PLUS</v>
      </c>
      <c r="E18" s="8">
        <f>'08_GDE_RISK_ENGINE'!E18</f>
        <v>2</v>
      </c>
      <c r="F18" s="8">
        <f>'08_GDE_RISK_ENGINE'!F18</f>
        <v>5</v>
      </c>
      <c r="G18" s="8" t="str">
        <f>'08_GDE_RISK_ENGINE'!G18</f>
        <v>High</v>
      </c>
      <c r="H18" s="8">
        <f>IF(A18="","",MIN(5,E18+'14_GDE_RISK_MATRIX_DASHBOARD'!$C$6))</f>
        <v>3</v>
      </c>
      <c r="I18" s="8">
        <f>IF(A18="","",MAX(1,E18-'14_GDE_RISK_MATRIX_DASHBOARD'!$C$7))</f>
        <v>1</v>
      </c>
      <c r="J18" s="8" t="str">
        <f t="shared" si="0"/>
        <v>High</v>
      </c>
      <c r="K18" s="8" t="str">
        <f t="shared" si="1"/>
        <v>Medium</v>
      </c>
    </row>
    <row r="19" ht="29" spans="1:11">
      <c r="A19" s="8" t="str">
        <f>'08_GDE_RISK_ENGINE'!A19</f>
        <v>P2LBA13 BR003</v>
      </c>
      <c r="B19" s="8" t="str">
        <f>'08_GDE_RISK_ENGINE'!B19</f>
        <v>Piping</v>
      </c>
      <c r="C19" s="8" t="str">
        <f>'08_GDE_RISK_ENGINE'!C19</f>
        <v>SAGS</v>
      </c>
      <c r="D19" s="8" t="str">
        <f>'08_GDE_RISK_ENGINE'!D19</f>
        <v>CL-SAGS-LBA-STEAM-CS-V-T3_150C_PLUS</v>
      </c>
      <c r="E19" s="8">
        <f>'08_GDE_RISK_ENGINE'!E19</f>
        <v>2</v>
      </c>
      <c r="F19" s="8">
        <f>'08_GDE_RISK_ENGINE'!F19</f>
        <v>5</v>
      </c>
      <c r="G19" s="8" t="str">
        <f>'08_GDE_RISK_ENGINE'!G19</f>
        <v>High</v>
      </c>
      <c r="H19" s="8">
        <f>IF(A19="","",MIN(5,E19+'14_GDE_RISK_MATRIX_DASHBOARD'!$C$6))</f>
        <v>3</v>
      </c>
      <c r="I19" s="8">
        <f>IF(A19="","",MAX(1,E19-'14_GDE_RISK_MATRIX_DASHBOARD'!$C$7))</f>
        <v>1</v>
      </c>
      <c r="J19" s="8" t="str">
        <f t="shared" si="0"/>
        <v>High</v>
      </c>
      <c r="K19" s="8" t="str">
        <f t="shared" si="1"/>
        <v>Medium</v>
      </c>
    </row>
    <row r="20" ht="29" spans="1:11">
      <c r="A20" s="8" t="str">
        <f>'08_GDE_RISK_ENGINE'!A20</f>
        <v>P2LBA13 BR010</v>
      </c>
      <c r="B20" s="8" t="str">
        <f>'08_GDE_RISK_ENGINE'!B20</f>
        <v>Piping</v>
      </c>
      <c r="C20" s="8" t="str">
        <f>'08_GDE_RISK_ENGINE'!C20</f>
        <v>SAGS</v>
      </c>
      <c r="D20" s="8" t="str">
        <f>'08_GDE_RISK_ENGINE'!D20</f>
        <v>CL-SAGS-LBA-STEAM-CS-V-T3_150C_PLUS</v>
      </c>
      <c r="E20" s="8">
        <f>'08_GDE_RISK_ENGINE'!E20</f>
        <v>2</v>
      </c>
      <c r="F20" s="8">
        <f>'08_GDE_RISK_ENGINE'!F20</f>
        <v>5</v>
      </c>
      <c r="G20" s="8" t="str">
        <f>'08_GDE_RISK_ENGINE'!G20</f>
        <v>High</v>
      </c>
      <c r="H20" s="8">
        <f>IF(A20="","",MIN(5,E20+'14_GDE_RISK_MATRIX_DASHBOARD'!$C$6))</f>
        <v>3</v>
      </c>
      <c r="I20" s="8">
        <f>IF(A20="","",MAX(1,E20-'14_GDE_RISK_MATRIX_DASHBOARD'!$C$7))</f>
        <v>1</v>
      </c>
      <c r="J20" s="8" t="str">
        <f t="shared" si="0"/>
        <v>High</v>
      </c>
      <c r="K20" s="8" t="str">
        <f t="shared" si="1"/>
        <v>Medium</v>
      </c>
    </row>
    <row r="21" ht="29" spans="1:11">
      <c r="A21" s="8" t="str">
        <f>'08_GDE_RISK_ENGINE'!A21</f>
        <v>P2LBA13 BR301</v>
      </c>
      <c r="B21" s="8" t="str">
        <f>'08_GDE_RISK_ENGINE'!B21</f>
        <v>Piping</v>
      </c>
      <c r="C21" s="8" t="str">
        <f>'08_GDE_RISK_ENGINE'!C21</f>
        <v>SAGS</v>
      </c>
      <c r="D21" s="8" t="str">
        <f>'08_GDE_RISK_ENGINE'!D21</f>
        <v>CL-SAGS-LBA-STEAM-CS-V-T3_150C_PLUS</v>
      </c>
      <c r="E21" s="8">
        <f>'08_GDE_RISK_ENGINE'!E21</f>
        <v>2</v>
      </c>
      <c r="F21" s="8">
        <f>'08_GDE_RISK_ENGINE'!F21</f>
        <v>5</v>
      </c>
      <c r="G21" s="8" t="str">
        <f>'08_GDE_RISK_ENGINE'!G21</f>
        <v>High</v>
      </c>
      <c r="H21" s="8">
        <f>IF(A21="","",MIN(5,E21+'14_GDE_RISK_MATRIX_DASHBOARD'!$C$6))</f>
        <v>3</v>
      </c>
      <c r="I21" s="8">
        <f>IF(A21="","",MAX(1,E21-'14_GDE_RISK_MATRIX_DASHBOARD'!$C$7))</f>
        <v>1</v>
      </c>
      <c r="J21" s="8" t="str">
        <f t="shared" si="0"/>
        <v>High</v>
      </c>
      <c r="K21" s="8" t="str">
        <f t="shared" si="1"/>
        <v>Medium</v>
      </c>
    </row>
    <row r="22" ht="29" spans="1:11">
      <c r="A22" s="8" t="str">
        <f>'08_GDE_RISK_ENGINE'!A22</f>
        <v>P2LBA10 BR002</v>
      </c>
      <c r="B22" s="8" t="str">
        <f>'08_GDE_RISK_ENGINE'!B22</f>
        <v>Piping</v>
      </c>
      <c r="C22" s="8" t="str">
        <f>'08_GDE_RISK_ENGINE'!C22</f>
        <v>SAGS</v>
      </c>
      <c r="D22" s="8" t="str">
        <f>'08_GDE_RISK_ENGINE'!D22</f>
        <v>CL-SAGS-LBA-STEAM-CS-V-T3_150C_PLUS</v>
      </c>
      <c r="E22" s="8">
        <f>'08_GDE_RISK_ENGINE'!E22</f>
        <v>2</v>
      </c>
      <c r="F22" s="8">
        <f>'08_GDE_RISK_ENGINE'!F22</f>
        <v>5</v>
      </c>
      <c r="G22" s="8" t="str">
        <f>'08_GDE_RISK_ENGINE'!G22</f>
        <v>High</v>
      </c>
      <c r="H22" s="8">
        <f>IF(A22="","",MIN(5,E22+'14_GDE_RISK_MATRIX_DASHBOARD'!$C$6))</f>
        <v>3</v>
      </c>
      <c r="I22" s="8">
        <f>IF(A22="","",MAX(1,E22-'14_GDE_RISK_MATRIX_DASHBOARD'!$C$7))</f>
        <v>1</v>
      </c>
      <c r="J22" s="8" t="str">
        <f t="shared" si="0"/>
        <v>High</v>
      </c>
      <c r="K22" s="8" t="str">
        <f t="shared" si="1"/>
        <v>Medium</v>
      </c>
    </row>
    <row r="23" ht="29" spans="1:11">
      <c r="A23" s="8" t="str">
        <f>'08_GDE_RISK_ENGINE'!A23</f>
        <v>P2LBA14 BR001</v>
      </c>
      <c r="B23" s="8" t="str">
        <f>'08_GDE_RISK_ENGINE'!B23</f>
        <v>Piping</v>
      </c>
      <c r="C23" s="8" t="str">
        <f>'08_GDE_RISK_ENGINE'!C23</f>
        <v>SAGS</v>
      </c>
      <c r="D23" s="8" t="str">
        <f>'08_GDE_RISK_ENGINE'!D23</f>
        <v>CL-SAGS-LBA-STEAM-CS-V-T3_150C_PLUS</v>
      </c>
      <c r="E23" s="8">
        <f>'08_GDE_RISK_ENGINE'!E23</f>
        <v>2</v>
      </c>
      <c r="F23" s="8">
        <f>'08_GDE_RISK_ENGINE'!F23</f>
        <v>5</v>
      </c>
      <c r="G23" s="8" t="str">
        <f>'08_GDE_RISK_ENGINE'!G23</f>
        <v>High</v>
      </c>
      <c r="H23" s="8">
        <f>IF(A23="","",MIN(5,E23+'14_GDE_RISK_MATRIX_DASHBOARD'!$C$6))</f>
        <v>3</v>
      </c>
      <c r="I23" s="8">
        <f>IF(A23="","",MAX(1,E23-'14_GDE_RISK_MATRIX_DASHBOARD'!$C$7))</f>
        <v>1</v>
      </c>
      <c r="J23" s="8" t="str">
        <f t="shared" si="0"/>
        <v>High</v>
      </c>
      <c r="K23" s="8" t="str">
        <f t="shared" si="1"/>
        <v>Medium</v>
      </c>
    </row>
    <row r="24" ht="29" spans="1:11">
      <c r="A24" s="8" t="str">
        <f>'08_GDE_RISK_ENGINE'!A24</f>
        <v>P2LBA14 BR501</v>
      </c>
      <c r="B24" s="8" t="str">
        <f>'08_GDE_RISK_ENGINE'!B24</f>
        <v>Piping</v>
      </c>
      <c r="C24" s="8" t="str">
        <f>'08_GDE_RISK_ENGINE'!C24</f>
        <v>SAGS</v>
      </c>
      <c r="D24" s="8" t="str">
        <f>'08_GDE_RISK_ENGINE'!D24</f>
        <v>CL-SAGS-LBA-STEAM-CS-V-T3_150C_PLUS</v>
      </c>
      <c r="E24" s="8">
        <f>'08_GDE_RISK_ENGINE'!E24</f>
        <v>2</v>
      </c>
      <c r="F24" s="8">
        <f>'08_GDE_RISK_ENGINE'!F24</f>
        <v>5</v>
      </c>
      <c r="G24" s="8" t="str">
        <f>'08_GDE_RISK_ENGINE'!G24</f>
        <v>High</v>
      </c>
      <c r="H24" s="8">
        <f>IF(A24="","",MIN(5,E24+'14_GDE_RISK_MATRIX_DASHBOARD'!$C$6))</f>
        <v>3</v>
      </c>
      <c r="I24" s="8">
        <f>IF(A24="","",MAX(1,E24-'14_GDE_RISK_MATRIX_DASHBOARD'!$C$7))</f>
        <v>1</v>
      </c>
      <c r="J24" s="8" t="str">
        <f t="shared" si="0"/>
        <v>High</v>
      </c>
      <c r="K24" s="8" t="str">
        <f t="shared" si="1"/>
        <v>Medium</v>
      </c>
    </row>
    <row r="25" ht="29" spans="1:11">
      <c r="A25" s="8" t="str">
        <f>'08_GDE_RISK_ENGINE'!A25</f>
        <v>P2LBA14 BR003</v>
      </c>
      <c r="B25" s="8" t="str">
        <f>'08_GDE_RISK_ENGINE'!B25</f>
        <v>Piping</v>
      </c>
      <c r="C25" s="8" t="str">
        <f>'08_GDE_RISK_ENGINE'!C25</f>
        <v>SAGS</v>
      </c>
      <c r="D25" s="8" t="str">
        <f>'08_GDE_RISK_ENGINE'!D25</f>
        <v>CL-SAGS-LBA-STEAM-CS-V-T3_150C_PLUS</v>
      </c>
      <c r="E25" s="8">
        <f>'08_GDE_RISK_ENGINE'!E25</f>
        <v>2</v>
      </c>
      <c r="F25" s="8">
        <f>'08_GDE_RISK_ENGINE'!F25</f>
        <v>5</v>
      </c>
      <c r="G25" s="8" t="str">
        <f>'08_GDE_RISK_ENGINE'!G25</f>
        <v>High</v>
      </c>
      <c r="H25" s="8">
        <f>IF(A25="","",MIN(5,E25+'14_GDE_RISK_MATRIX_DASHBOARD'!$C$6))</f>
        <v>3</v>
      </c>
      <c r="I25" s="8">
        <f>IF(A25="","",MAX(1,E25-'14_GDE_RISK_MATRIX_DASHBOARD'!$C$7))</f>
        <v>1</v>
      </c>
      <c r="J25" s="8" t="str">
        <f t="shared" si="0"/>
        <v>High</v>
      </c>
      <c r="K25" s="8" t="str">
        <f t="shared" si="1"/>
        <v>Medium</v>
      </c>
    </row>
    <row r="26" ht="29" spans="1:11">
      <c r="A26" s="8" t="str">
        <f>'08_GDE_RISK_ENGINE'!A26</f>
        <v>P2LBA14 BR011</v>
      </c>
      <c r="B26" s="8" t="str">
        <f>'08_GDE_RISK_ENGINE'!B26</f>
        <v>Piping</v>
      </c>
      <c r="C26" s="8" t="str">
        <f>'08_GDE_RISK_ENGINE'!C26</f>
        <v>SAGS</v>
      </c>
      <c r="D26" s="8" t="str">
        <f>'08_GDE_RISK_ENGINE'!D26</f>
        <v>CL-SAGS-LBA-STEAM-CS-V-T3_150C_PLUS</v>
      </c>
      <c r="E26" s="8">
        <f>'08_GDE_RISK_ENGINE'!E26</f>
        <v>2</v>
      </c>
      <c r="F26" s="8">
        <f>'08_GDE_RISK_ENGINE'!F26</f>
        <v>5</v>
      </c>
      <c r="G26" s="8" t="str">
        <f>'08_GDE_RISK_ENGINE'!G26</f>
        <v>High</v>
      </c>
      <c r="H26" s="8">
        <f>IF(A26="","",MIN(5,E26+'14_GDE_RISK_MATRIX_DASHBOARD'!$C$6))</f>
        <v>3</v>
      </c>
      <c r="I26" s="8">
        <f>IF(A26="","",MAX(1,E26-'14_GDE_RISK_MATRIX_DASHBOARD'!$C$7))</f>
        <v>1</v>
      </c>
      <c r="J26" s="8" t="str">
        <f t="shared" si="0"/>
        <v>High</v>
      </c>
      <c r="K26" s="8" t="str">
        <f t="shared" si="1"/>
        <v>Medium</v>
      </c>
    </row>
    <row r="27" ht="29" spans="1:11">
      <c r="A27" s="8" t="str">
        <f>'08_GDE_RISK_ENGINE'!A27</f>
        <v>P2LBA14 BR010</v>
      </c>
      <c r="B27" s="8" t="str">
        <f>'08_GDE_RISK_ENGINE'!B27</f>
        <v>Piping</v>
      </c>
      <c r="C27" s="8" t="str">
        <f>'08_GDE_RISK_ENGINE'!C27</f>
        <v>SAGS</v>
      </c>
      <c r="D27" s="8" t="str">
        <f>'08_GDE_RISK_ENGINE'!D27</f>
        <v>CL-SAGS-LBA-STEAM-CS-V-T3_150C_PLUS</v>
      </c>
      <c r="E27" s="8">
        <f>'08_GDE_RISK_ENGINE'!E27</f>
        <v>2</v>
      </c>
      <c r="F27" s="8">
        <f>'08_GDE_RISK_ENGINE'!F27</f>
        <v>5</v>
      </c>
      <c r="G27" s="8" t="str">
        <f>'08_GDE_RISK_ENGINE'!G27</f>
        <v>High</v>
      </c>
      <c r="H27" s="8">
        <f>IF(A27="","",MIN(5,E27+'14_GDE_RISK_MATRIX_DASHBOARD'!$C$6))</f>
        <v>3</v>
      </c>
      <c r="I27" s="8">
        <f>IF(A27="","",MAX(1,E27-'14_GDE_RISK_MATRIX_DASHBOARD'!$C$7))</f>
        <v>1</v>
      </c>
      <c r="J27" s="8" t="str">
        <f t="shared" si="0"/>
        <v>High</v>
      </c>
      <c r="K27" s="8" t="str">
        <f t="shared" si="1"/>
        <v>Medium</v>
      </c>
    </row>
    <row r="28" ht="29" spans="1:11">
      <c r="A28" s="8" t="str">
        <f>'08_GDE_RISK_ENGINE'!A28</f>
        <v>P2LBA14 BR301</v>
      </c>
      <c r="B28" s="8" t="str">
        <f>'08_GDE_RISK_ENGINE'!B28</f>
        <v>Piping</v>
      </c>
      <c r="C28" s="8" t="str">
        <f>'08_GDE_RISK_ENGINE'!C28</f>
        <v>SAGS</v>
      </c>
      <c r="D28" s="8" t="str">
        <f>'08_GDE_RISK_ENGINE'!D28</f>
        <v>CL-SAGS-LBA-STEAM-CS-V-T3_150C_PLUS</v>
      </c>
      <c r="E28" s="8">
        <f>'08_GDE_RISK_ENGINE'!E28</f>
        <v>2</v>
      </c>
      <c r="F28" s="8">
        <f>'08_GDE_RISK_ENGINE'!F28</f>
        <v>5</v>
      </c>
      <c r="G28" s="8" t="str">
        <f>'08_GDE_RISK_ENGINE'!G28</f>
        <v>High</v>
      </c>
      <c r="H28" s="8">
        <f>IF(A28="","",MIN(5,E28+'14_GDE_RISK_MATRIX_DASHBOARD'!$C$6))</f>
        <v>3</v>
      </c>
      <c r="I28" s="8">
        <f>IF(A28="","",MAX(1,E28-'14_GDE_RISK_MATRIX_DASHBOARD'!$C$7))</f>
        <v>1</v>
      </c>
      <c r="J28" s="8" t="str">
        <f t="shared" si="0"/>
        <v>High</v>
      </c>
      <c r="K28" s="8" t="str">
        <f t="shared" si="1"/>
        <v>Medium</v>
      </c>
    </row>
    <row r="29" ht="29" spans="1:11">
      <c r="A29" s="8" t="str">
        <f>'08_GDE_RISK_ENGINE'!A29</f>
        <v>P2LBA21 BR001</v>
      </c>
      <c r="B29" s="8" t="str">
        <f>'08_GDE_RISK_ENGINE'!B29</f>
        <v>Piping</v>
      </c>
      <c r="C29" s="8" t="str">
        <f>'08_GDE_RISK_ENGINE'!C29</f>
        <v>SAGS</v>
      </c>
      <c r="D29" s="8" t="str">
        <f>'08_GDE_RISK_ENGINE'!D29</f>
        <v>CL-SAGS-LBA-STEAM-CS-V-T3_150C_PLUS</v>
      </c>
      <c r="E29" s="8">
        <f>'08_GDE_RISK_ENGINE'!E29</f>
        <v>2</v>
      </c>
      <c r="F29" s="8">
        <f>'08_GDE_RISK_ENGINE'!F29</f>
        <v>5</v>
      </c>
      <c r="G29" s="8" t="str">
        <f>'08_GDE_RISK_ENGINE'!G29</f>
        <v>High</v>
      </c>
      <c r="H29" s="8">
        <f>IF(A29="","",MIN(5,E29+'14_GDE_RISK_MATRIX_DASHBOARD'!$C$6))</f>
        <v>3</v>
      </c>
      <c r="I29" s="8">
        <f>IF(A29="","",MAX(1,E29-'14_GDE_RISK_MATRIX_DASHBOARD'!$C$7))</f>
        <v>1</v>
      </c>
      <c r="J29" s="8" t="str">
        <f t="shared" si="0"/>
        <v>High</v>
      </c>
      <c r="K29" s="8" t="str">
        <f t="shared" si="1"/>
        <v>Medium</v>
      </c>
    </row>
    <row r="30" ht="29" spans="1:11">
      <c r="A30" s="8" t="str">
        <f>'08_GDE_RISK_ENGINE'!A30</f>
        <v>P2LBA21 BR501</v>
      </c>
      <c r="B30" s="8" t="str">
        <f>'08_GDE_RISK_ENGINE'!B30</f>
        <v>Piping</v>
      </c>
      <c r="C30" s="8" t="str">
        <f>'08_GDE_RISK_ENGINE'!C30</f>
        <v>SAGS</v>
      </c>
      <c r="D30" s="8" t="str">
        <f>'08_GDE_RISK_ENGINE'!D30</f>
        <v>CL-SAGS-LBA-STEAM-CS-V-T3_150C_PLUS</v>
      </c>
      <c r="E30" s="8">
        <f>'08_GDE_RISK_ENGINE'!E30</f>
        <v>2</v>
      </c>
      <c r="F30" s="8">
        <f>'08_GDE_RISK_ENGINE'!F30</f>
        <v>5</v>
      </c>
      <c r="G30" s="8" t="str">
        <f>'08_GDE_RISK_ENGINE'!G30</f>
        <v>High</v>
      </c>
      <c r="H30" s="8">
        <f>IF(A30="","",MIN(5,E30+'14_GDE_RISK_MATRIX_DASHBOARD'!$C$6))</f>
        <v>3</v>
      </c>
      <c r="I30" s="8">
        <f>IF(A30="","",MAX(1,E30-'14_GDE_RISK_MATRIX_DASHBOARD'!$C$7))</f>
        <v>1</v>
      </c>
      <c r="J30" s="8" t="str">
        <f t="shared" si="0"/>
        <v>High</v>
      </c>
      <c r="K30" s="8" t="str">
        <f t="shared" si="1"/>
        <v>Medium</v>
      </c>
    </row>
    <row r="31" ht="29" spans="1:11">
      <c r="A31" s="8" t="str">
        <f>'08_GDE_RISK_ENGINE'!A31</f>
        <v>P2LBA21 BR010</v>
      </c>
      <c r="B31" s="8" t="str">
        <f>'08_GDE_RISK_ENGINE'!B31</f>
        <v>Piping</v>
      </c>
      <c r="C31" s="8" t="str">
        <f>'08_GDE_RISK_ENGINE'!C31</f>
        <v>SAGS</v>
      </c>
      <c r="D31" s="8" t="str">
        <f>'08_GDE_RISK_ENGINE'!D31</f>
        <v>CL-SAGS-LBA-STEAM-CS-V-T3_150C_PLUS</v>
      </c>
      <c r="E31" s="8">
        <f>'08_GDE_RISK_ENGINE'!E31</f>
        <v>2</v>
      </c>
      <c r="F31" s="8">
        <f>'08_GDE_RISK_ENGINE'!F31</f>
        <v>5</v>
      </c>
      <c r="G31" s="8" t="str">
        <f>'08_GDE_RISK_ENGINE'!G31</f>
        <v>High</v>
      </c>
      <c r="H31" s="8">
        <f>IF(A31="","",MIN(5,E31+'14_GDE_RISK_MATRIX_DASHBOARD'!$C$6))</f>
        <v>3</v>
      </c>
      <c r="I31" s="8">
        <f>IF(A31="","",MAX(1,E31-'14_GDE_RISK_MATRIX_DASHBOARD'!$C$7))</f>
        <v>1</v>
      </c>
      <c r="J31" s="8" t="str">
        <f t="shared" si="0"/>
        <v>High</v>
      </c>
      <c r="K31" s="8" t="str">
        <f t="shared" si="1"/>
        <v>Medium</v>
      </c>
    </row>
    <row r="32" ht="29" spans="1:11">
      <c r="A32" s="8" t="str">
        <f>'08_GDE_RISK_ENGINE'!A32</f>
        <v>P2LBA21 BR301</v>
      </c>
      <c r="B32" s="8" t="str">
        <f>'08_GDE_RISK_ENGINE'!B32</f>
        <v>Piping</v>
      </c>
      <c r="C32" s="8" t="str">
        <f>'08_GDE_RISK_ENGINE'!C32</f>
        <v>SAGS</v>
      </c>
      <c r="D32" s="8" t="str">
        <f>'08_GDE_RISK_ENGINE'!D32</f>
        <v>CL-SAGS-LBA-STEAM-CS-V-T3_150C_PLUS</v>
      </c>
      <c r="E32" s="8">
        <f>'08_GDE_RISK_ENGINE'!E32</f>
        <v>2</v>
      </c>
      <c r="F32" s="8">
        <f>'08_GDE_RISK_ENGINE'!F32</f>
        <v>5</v>
      </c>
      <c r="G32" s="8" t="str">
        <f>'08_GDE_RISK_ENGINE'!G32</f>
        <v>High</v>
      </c>
      <c r="H32" s="8">
        <f>IF(A32="","",MIN(5,E32+'14_GDE_RISK_MATRIX_DASHBOARD'!$C$6))</f>
        <v>3</v>
      </c>
      <c r="I32" s="8">
        <f>IF(A32="","",MAX(1,E32-'14_GDE_RISK_MATRIX_DASHBOARD'!$C$7))</f>
        <v>1</v>
      </c>
      <c r="J32" s="8" t="str">
        <f t="shared" si="0"/>
        <v>High</v>
      </c>
      <c r="K32" s="8" t="str">
        <f t="shared" si="1"/>
        <v>Medium</v>
      </c>
    </row>
    <row r="33" ht="29" spans="1:11">
      <c r="A33" s="8" t="str">
        <f>'08_GDE_RISK_ENGINE'!A33</f>
        <v>P2LBA22 BR001</v>
      </c>
      <c r="B33" s="8" t="str">
        <f>'08_GDE_RISK_ENGINE'!B33</f>
        <v>Piping</v>
      </c>
      <c r="C33" s="8" t="str">
        <f>'08_GDE_RISK_ENGINE'!C33</f>
        <v>SAGS</v>
      </c>
      <c r="D33" s="8" t="str">
        <f>'08_GDE_RISK_ENGINE'!D33</f>
        <v>CL-SAGS-LBA-STEAM-CS-V-T3_150C_PLUS</v>
      </c>
      <c r="E33" s="8">
        <f>'08_GDE_RISK_ENGINE'!E33</f>
        <v>2</v>
      </c>
      <c r="F33" s="8">
        <f>'08_GDE_RISK_ENGINE'!F33</f>
        <v>5</v>
      </c>
      <c r="G33" s="8" t="str">
        <f>'08_GDE_RISK_ENGINE'!G33</f>
        <v>High</v>
      </c>
      <c r="H33" s="8">
        <f>IF(A33="","",MIN(5,E33+'14_GDE_RISK_MATRIX_DASHBOARD'!$C$6))</f>
        <v>3</v>
      </c>
      <c r="I33" s="8">
        <f>IF(A33="","",MAX(1,E33-'14_GDE_RISK_MATRIX_DASHBOARD'!$C$7))</f>
        <v>1</v>
      </c>
      <c r="J33" s="8" t="str">
        <f t="shared" si="0"/>
        <v>High</v>
      </c>
      <c r="K33" s="8" t="str">
        <f t="shared" si="1"/>
        <v>Medium</v>
      </c>
    </row>
    <row r="34" ht="29" spans="1:11">
      <c r="A34" s="8" t="str">
        <f>'08_GDE_RISK_ENGINE'!A34</f>
        <v>P2LBA22 BR501</v>
      </c>
      <c r="B34" s="8" t="str">
        <f>'08_GDE_RISK_ENGINE'!B34</f>
        <v>Piping</v>
      </c>
      <c r="C34" s="8" t="str">
        <f>'08_GDE_RISK_ENGINE'!C34</f>
        <v>SAGS</v>
      </c>
      <c r="D34" s="8" t="str">
        <f>'08_GDE_RISK_ENGINE'!D34</f>
        <v>CL-SAGS-LBA-STEAM-CS-V-T3_150C_PLUS</v>
      </c>
      <c r="E34" s="8">
        <f>'08_GDE_RISK_ENGINE'!E34</f>
        <v>2</v>
      </c>
      <c r="F34" s="8">
        <f>'08_GDE_RISK_ENGINE'!F34</f>
        <v>5</v>
      </c>
      <c r="G34" s="8" t="str">
        <f>'08_GDE_RISK_ENGINE'!G34</f>
        <v>High</v>
      </c>
      <c r="H34" s="8">
        <f>IF(A34="","",MIN(5,E34+'14_GDE_RISK_MATRIX_DASHBOARD'!$C$6))</f>
        <v>3</v>
      </c>
      <c r="I34" s="8">
        <f>IF(A34="","",MAX(1,E34-'14_GDE_RISK_MATRIX_DASHBOARD'!$C$7))</f>
        <v>1</v>
      </c>
      <c r="J34" s="8" t="str">
        <f t="shared" si="0"/>
        <v>High</v>
      </c>
      <c r="K34" s="8" t="str">
        <f t="shared" si="1"/>
        <v>Medium</v>
      </c>
    </row>
    <row r="35" ht="29" spans="1:11">
      <c r="A35" s="8" t="str">
        <f>'08_GDE_RISK_ENGINE'!A35</f>
        <v>P2LBA22 BR011</v>
      </c>
      <c r="B35" s="8" t="str">
        <f>'08_GDE_RISK_ENGINE'!B35</f>
        <v>Piping</v>
      </c>
      <c r="C35" s="8" t="str">
        <f>'08_GDE_RISK_ENGINE'!C35</f>
        <v>SAGS</v>
      </c>
      <c r="D35" s="8" t="str">
        <f>'08_GDE_RISK_ENGINE'!D35</f>
        <v>CL-SAGS-LBA-STEAM-CS-V-T3_150C_PLUS</v>
      </c>
      <c r="E35" s="8">
        <f>'08_GDE_RISK_ENGINE'!E35</f>
        <v>2</v>
      </c>
      <c r="F35" s="8">
        <f>'08_GDE_RISK_ENGINE'!F35</f>
        <v>5</v>
      </c>
      <c r="G35" s="8" t="str">
        <f>'08_GDE_RISK_ENGINE'!G35</f>
        <v>High</v>
      </c>
      <c r="H35" s="8">
        <f>IF(A35="","",MIN(5,E35+'14_GDE_RISK_MATRIX_DASHBOARD'!$C$6))</f>
        <v>3</v>
      </c>
      <c r="I35" s="8">
        <f>IF(A35="","",MAX(1,E35-'14_GDE_RISK_MATRIX_DASHBOARD'!$C$7))</f>
        <v>1</v>
      </c>
      <c r="J35" s="8" t="str">
        <f t="shared" si="0"/>
        <v>High</v>
      </c>
      <c r="K35" s="8" t="str">
        <f t="shared" si="1"/>
        <v>Medium</v>
      </c>
    </row>
    <row r="36" ht="29" spans="1:11">
      <c r="A36" s="8" t="str">
        <f>'08_GDE_RISK_ENGINE'!A36</f>
        <v>P2LBA22 BR010</v>
      </c>
      <c r="B36" s="8" t="str">
        <f>'08_GDE_RISK_ENGINE'!B36</f>
        <v>Piping</v>
      </c>
      <c r="C36" s="8" t="str">
        <f>'08_GDE_RISK_ENGINE'!C36</f>
        <v>SAGS</v>
      </c>
      <c r="D36" s="8" t="str">
        <f>'08_GDE_RISK_ENGINE'!D36</f>
        <v>CL-SAGS-LBA-STEAM-CS-V-T3_150C_PLUS</v>
      </c>
      <c r="E36" s="8">
        <f>'08_GDE_RISK_ENGINE'!E36</f>
        <v>2</v>
      </c>
      <c r="F36" s="8">
        <f>'08_GDE_RISK_ENGINE'!F36</f>
        <v>5</v>
      </c>
      <c r="G36" s="8" t="str">
        <f>'08_GDE_RISK_ENGINE'!G36</f>
        <v>High</v>
      </c>
      <c r="H36" s="8">
        <f>IF(A36="","",MIN(5,E36+'14_GDE_RISK_MATRIX_DASHBOARD'!$C$6))</f>
        <v>3</v>
      </c>
      <c r="I36" s="8">
        <f>IF(A36="","",MAX(1,E36-'14_GDE_RISK_MATRIX_DASHBOARD'!$C$7))</f>
        <v>1</v>
      </c>
      <c r="J36" s="8" t="str">
        <f t="shared" si="0"/>
        <v>High</v>
      </c>
      <c r="K36" s="8" t="str">
        <f t="shared" si="1"/>
        <v>Medium</v>
      </c>
    </row>
    <row r="37" ht="29" spans="1:11">
      <c r="A37" s="8" t="str">
        <f>'08_GDE_RISK_ENGINE'!A37</f>
        <v>P2LBA22 BR301</v>
      </c>
      <c r="B37" s="8" t="str">
        <f>'08_GDE_RISK_ENGINE'!B37</f>
        <v>Piping</v>
      </c>
      <c r="C37" s="8" t="str">
        <f>'08_GDE_RISK_ENGINE'!C37</f>
        <v>SAGS</v>
      </c>
      <c r="D37" s="8" t="str">
        <f>'08_GDE_RISK_ENGINE'!D37</f>
        <v>CL-SAGS-LBA-STEAM-CS-V-T3_150C_PLUS</v>
      </c>
      <c r="E37" s="8">
        <f>'08_GDE_RISK_ENGINE'!E37</f>
        <v>2</v>
      </c>
      <c r="F37" s="8">
        <f>'08_GDE_RISK_ENGINE'!F37</f>
        <v>5</v>
      </c>
      <c r="G37" s="8" t="str">
        <f>'08_GDE_RISK_ENGINE'!G37</f>
        <v>High</v>
      </c>
      <c r="H37" s="8">
        <f>IF(A37="","",MIN(5,E37+'14_GDE_RISK_MATRIX_DASHBOARD'!$C$6))</f>
        <v>3</v>
      </c>
      <c r="I37" s="8">
        <f>IF(A37="","",MAX(1,E37-'14_GDE_RISK_MATRIX_DASHBOARD'!$C$7))</f>
        <v>1</v>
      </c>
      <c r="J37" s="8" t="str">
        <f t="shared" si="0"/>
        <v>High</v>
      </c>
      <c r="K37" s="8" t="str">
        <f t="shared" si="1"/>
        <v>Medium</v>
      </c>
    </row>
    <row r="38" ht="29" spans="1:11">
      <c r="A38" s="8" t="str">
        <f>'08_GDE_RISK_ENGINE'!A38</f>
        <v>P2LBA25 BR001</v>
      </c>
      <c r="B38" s="8" t="str">
        <f>'08_GDE_RISK_ENGINE'!B38</f>
        <v>Piping</v>
      </c>
      <c r="C38" s="8" t="str">
        <f>'08_GDE_RISK_ENGINE'!C38</f>
        <v>SAGS</v>
      </c>
      <c r="D38" s="8" t="str">
        <f>'08_GDE_RISK_ENGINE'!D38</f>
        <v>CL-SAGS-LBA-STEAM-CS-V-T3_150C_PLUS</v>
      </c>
      <c r="E38" s="8">
        <f>'08_GDE_RISK_ENGINE'!E38</f>
        <v>2</v>
      </c>
      <c r="F38" s="8">
        <f>'08_GDE_RISK_ENGINE'!F38</f>
        <v>5</v>
      </c>
      <c r="G38" s="8" t="str">
        <f>'08_GDE_RISK_ENGINE'!G38</f>
        <v>High</v>
      </c>
      <c r="H38" s="8">
        <f>IF(A38="","",MIN(5,E38+'14_GDE_RISK_MATRIX_DASHBOARD'!$C$6))</f>
        <v>3</v>
      </c>
      <c r="I38" s="8">
        <f>IF(A38="","",MAX(1,E38-'14_GDE_RISK_MATRIX_DASHBOARD'!$C$7))</f>
        <v>1</v>
      </c>
      <c r="J38" s="8" t="str">
        <f t="shared" si="0"/>
        <v>High</v>
      </c>
      <c r="K38" s="8" t="str">
        <f t="shared" si="1"/>
        <v>Medium</v>
      </c>
    </row>
    <row r="39" ht="29" spans="1:11">
      <c r="A39" s="8" t="str">
        <f>'08_GDE_RISK_ENGINE'!A39</f>
        <v>P2LBA25 BR501</v>
      </c>
      <c r="B39" s="8" t="str">
        <f>'08_GDE_RISK_ENGINE'!B39</f>
        <v>Piping</v>
      </c>
      <c r="C39" s="8" t="str">
        <f>'08_GDE_RISK_ENGINE'!C39</f>
        <v>SAGS</v>
      </c>
      <c r="D39" s="8" t="str">
        <f>'08_GDE_RISK_ENGINE'!D39</f>
        <v>CL-SAGS-LBA-STEAM-CS-V-T3_150C_PLUS</v>
      </c>
      <c r="E39" s="8">
        <f>'08_GDE_RISK_ENGINE'!E39</f>
        <v>2</v>
      </c>
      <c r="F39" s="8">
        <f>'08_GDE_RISK_ENGINE'!F39</f>
        <v>5</v>
      </c>
      <c r="G39" s="8" t="str">
        <f>'08_GDE_RISK_ENGINE'!G39</f>
        <v>High</v>
      </c>
      <c r="H39" s="8">
        <f>IF(A39="","",MIN(5,E39+'14_GDE_RISK_MATRIX_DASHBOARD'!$C$6))</f>
        <v>3</v>
      </c>
      <c r="I39" s="8">
        <f>IF(A39="","",MAX(1,E39-'14_GDE_RISK_MATRIX_DASHBOARD'!$C$7))</f>
        <v>1</v>
      </c>
      <c r="J39" s="8" t="str">
        <f t="shared" si="0"/>
        <v>High</v>
      </c>
      <c r="K39" s="8" t="str">
        <f t="shared" si="1"/>
        <v>Medium</v>
      </c>
    </row>
    <row r="40" ht="29" spans="1:11">
      <c r="A40" s="8" t="str">
        <f>'08_GDE_RISK_ENGINE'!A40</f>
        <v>P2LBA25 BR003</v>
      </c>
      <c r="B40" s="8" t="str">
        <f>'08_GDE_RISK_ENGINE'!B40</f>
        <v>Piping</v>
      </c>
      <c r="C40" s="8" t="str">
        <f>'08_GDE_RISK_ENGINE'!C40</f>
        <v>SAGS</v>
      </c>
      <c r="D40" s="8" t="str">
        <f>'08_GDE_RISK_ENGINE'!D40</f>
        <v>CL-SAGS-LBA-STEAM-CS-V-T3_150C_PLUS</v>
      </c>
      <c r="E40" s="8">
        <f>'08_GDE_RISK_ENGINE'!E40</f>
        <v>2</v>
      </c>
      <c r="F40" s="8">
        <f>'08_GDE_RISK_ENGINE'!F40</f>
        <v>5</v>
      </c>
      <c r="G40" s="8" t="str">
        <f>'08_GDE_RISK_ENGINE'!G40</f>
        <v>High</v>
      </c>
      <c r="H40" s="8">
        <f>IF(A40="","",MIN(5,E40+'14_GDE_RISK_MATRIX_DASHBOARD'!$C$6))</f>
        <v>3</v>
      </c>
      <c r="I40" s="8">
        <f>IF(A40="","",MAX(1,E40-'14_GDE_RISK_MATRIX_DASHBOARD'!$C$7))</f>
        <v>1</v>
      </c>
      <c r="J40" s="8" t="str">
        <f t="shared" si="0"/>
        <v>High</v>
      </c>
      <c r="K40" s="8" t="str">
        <f t="shared" si="1"/>
        <v>Medium</v>
      </c>
    </row>
    <row r="41" ht="29" spans="1:11">
      <c r="A41" s="8" t="str">
        <f>'08_GDE_RISK_ENGINE'!A41</f>
        <v>P2LBA25 BR011</v>
      </c>
      <c r="B41" s="8" t="str">
        <f>'08_GDE_RISK_ENGINE'!B41</f>
        <v>Piping</v>
      </c>
      <c r="C41" s="8" t="str">
        <f>'08_GDE_RISK_ENGINE'!C41</f>
        <v>SAGS</v>
      </c>
      <c r="D41" s="8" t="str">
        <f>'08_GDE_RISK_ENGINE'!D41</f>
        <v>CL-SAGS-LBA-STEAM-CS-V-T3_150C_PLUS</v>
      </c>
      <c r="E41" s="8">
        <f>'08_GDE_RISK_ENGINE'!E41</f>
        <v>2</v>
      </c>
      <c r="F41" s="8">
        <f>'08_GDE_RISK_ENGINE'!F41</f>
        <v>5</v>
      </c>
      <c r="G41" s="8" t="str">
        <f>'08_GDE_RISK_ENGINE'!G41</f>
        <v>High</v>
      </c>
      <c r="H41" s="8">
        <f>IF(A41="","",MIN(5,E41+'14_GDE_RISK_MATRIX_DASHBOARD'!$C$6))</f>
        <v>3</v>
      </c>
      <c r="I41" s="8">
        <f>IF(A41="","",MAX(1,E41-'14_GDE_RISK_MATRIX_DASHBOARD'!$C$7))</f>
        <v>1</v>
      </c>
      <c r="J41" s="8" t="str">
        <f t="shared" si="0"/>
        <v>High</v>
      </c>
      <c r="K41" s="8" t="str">
        <f t="shared" si="1"/>
        <v>Medium</v>
      </c>
    </row>
    <row r="42" ht="29" spans="1:11">
      <c r="A42" s="8" t="str">
        <f>'08_GDE_RISK_ENGINE'!A42</f>
        <v>P2LBA25 BR010</v>
      </c>
      <c r="B42" s="8" t="str">
        <f>'08_GDE_RISK_ENGINE'!B42</f>
        <v>Piping</v>
      </c>
      <c r="C42" s="8" t="str">
        <f>'08_GDE_RISK_ENGINE'!C42</f>
        <v>SAGS</v>
      </c>
      <c r="D42" s="8" t="str">
        <f>'08_GDE_RISK_ENGINE'!D42</f>
        <v>CL-SAGS-LBA-STEAM-CS-V-T3_150C_PLUS</v>
      </c>
      <c r="E42" s="8">
        <f>'08_GDE_RISK_ENGINE'!E42</f>
        <v>2</v>
      </c>
      <c r="F42" s="8">
        <f>'08_GDE_RISK_ENGINE'!F42</f>
        <v>5</v>
      </c>
      <c r="G42" s="8" t="str">
        <f>'08_GDE_RISK_ENGINE'!G42</f>
        <v>High</v>
      </c>
      <c r="H42" s="8">
        <f>IF(A42="","",MIN(5,E42+'14_GDE_RISK_MATRIX_DASHBOARD'!$C$6))</f>
        <v>3</v>
      </c>
      <c r="I42" s="8">
        <f>IF(A42="","",MAX(1,E42-'14_GDE_RISK_MATRIX_DASHBOARD'!$C$7))</f>
        <v>1</v>
      </c>
      <c r="J42" s="8" t="str">
        <f t="shared" si="0"/>
        <v>High</v>
      </c>
      <c r="K42" s="8" t="str">
        <f t="shared" si="1"/>
        <v>Medium</v>
      </c>
    </row>
    <row r="43" ht="29" spans="1:11">
      <c r="A43" s="8" t="str">
        <f>'08_GDE_RISK_ENGINE'!A43</f>
        <v>P2LBA25 BR301</v>
      </c>
      <c r="B43" s="8" t="str">
        <f>'08_GDE_RISK_ENGINE'!B43</f>
        <v>Piping</v>
      </c>
      <c r="C43" s="8" t="str">
        <f>'08_GDE_RISK_ENGINE'!C43</f>
        <v>SAGS</v>
      </c>
      <c r="D43" s="8" t="str">
        <f>'08_GDE_RISK_ENGINE'!D43</f>
        <v>CL-SAGS-LBA-STEAM-CS-V-T3_150C_PLUS</v>
      </c>
      <c r="E43" s="8">
        <f>'08_GDE_RISK_ENGINE'!E43</f>
        <v>2</v>
      </c>
      <c r="F43" s="8">
        <f>'08_GDE_RISK_ENGINE'!F43</f>
        <v>5</v>
      </c>
      <c r="G43" s="8" t="str">
        <f>'08_GDE_RISK_ENGINE'!G43</f>
        <v>High</v>
      </c>
      <c r="H43" s="8">
        <f>IF(A43="","",MIN(5,E43+'14_GDE_RISK_MATRIX_DASHBOARD'!$C$6))</f>
        <v>3</v>
      </c>
      <c r="I43" s="8">
        <f>IF(A43="","",MAX(1,E43-'14_GDE_RISK_MATRIX_DASHBOARD'!$C$7))</f>
        <v>1</v>
      </c>
      <c r="J43" s="8" t="str">
        <f t="shared" si="0"/>
        <v>High</v>
      </c>
      <c r="K43" s="8" t="str">
        <f t="shared" si="1"/>
        <v>Medium</v>
      </c>
    </row>
    <row r="44" ht="29" spans="1:11">
      <c r="A44" s="8" t="str">
        <f>'08_GDE_RISK_ENGINE'!A44</f>
        <v>P2LBA26 BR001</v>
      </c>
      <c r="B44" s="8" t="str">
        <f>'08_GDE_RISK_ENGINE'!B44</f>
        <v>Piping</v>
      </c>
      <c r="C44" s="8" t="str">
        <f>'08_GDE_RISK_ENGINE'!C44</f>
        <v>SAGS</v>
      </c>
      <c r="D44" s="8" t="str">
        <f>'08_GDE_RISK_ENGINE'!D44</f>
        <v>CL-SAGS-LBA-STEAM-CS-LG-T3_150C_PLUS</v>
      </c>
      <c r="E44" s="8">
        <f>'08_GDE_RISK_ENGINE'!E44</f>
        <v>4</v>
      </c>
      <c r="F44" s="8">
        <f>'08_GDE_RISK_ENGINE'!F44</f>
        <v>5</v>
      </c>
      <c r="G44" s="8" t="str">
        <f>'08_GDE_RISK_ENGINE'!G44</f>
        <v>Extreme High</v>
      </c>
      <c r="H44" s="8">
        <f>IF(A44="","",MIN(5,E44+'14_GDE_RISK_MATRIX_DASHBOARD'!$C$6))</f>
        <v>5</v>
      </c>
      <c r="I44" s="8">
        <f>IF(A44="","",MAX(1,E44-'14_GDE_RISK_MATRIX_DASHBOARD'!$C$7))</f>
        <v>3</v>
      </c>
      <c r="J44" s="8" t="str">
        <f t="shared" si="0"/>
        <v>Extreme High</v>
      </c>
      <c r="K44" s="8" t="str">
        <f t="shared" si="1"/>
        <v>High</v>
      </c>
    </row>
    <row r="45" ht="29" spans="1:11">
      <c r="A45" s="8" t="str">
        <f>'08_GDE_RISK_ENGINE'!A45</f>
        <v>P2LBA26 BR501</v>
      </c>
      <c r="B45" s="8" t="str">
        <f>'08_GDE_RISK_ENGINE'!B45</f>
        <v>Piping</v>
      </c>
      <c r="C45" s="8" t="str">
        <f>'08_GDE_RISK_ENGINE'!C45</f>
        <v>SAGS</v>
      </c>
      <c r="D45" s="8" t="str">
        <f>'08_GDE_RISK_ENGINE'!D45</f>
        <v>CL-SAGS-LBA-STEAM-CS-LG-T3_150C_PLUS</v>
      </c>
      <c r="E45" s="8">
        <f>'08_GDE_RISK_ENGINE'!E45</f>
        <v>4</v>
      </c>
      <c r="F45" s="8">
        <f>'08_GDE_RISK_ENGINE'!F45</f>
        <v>5</v>
      </c>
      <c r="G45" s="8" t="str">
        <f>'08_GDE_RISK_ENGINE'!G45</f>
        <v>Extreme High</v>
      </c>
      <c r="H45" s="8">
        <f>IF(A45="","",MIN(5,E45+'14_GDE_RISK_MATRIX_DASHBOARD'!$C$6))</f>
        <v>5</v>
      </c>
      <c r="I45" s="8">
        <f>IF(A45="","",MAX(1,E45-'14_GDE_RISK_MATRIX_DASHBOARD'!$C$7))</f>
        <v>3</v>
      </c>
      <c r="J45" s="8" t="str">
        <f t="shared" si="0"/>
        <v>Extreme High</v>
      </c>
      <c r="K45" s="8" t="str">
        <f t="shared" si="1"/>
        <v>High</v>
      </c>
    </row>
    <row r="46" ht="29" spans="1:11">
      <c r="A46" s="8" t="str">
        <f>'08_GDE_RISK_ENGINE'!A46</f>
        <v>P2LBA26 BR003</v>
      </c>
      <c r="B46" s="8" t="str">
        <f>'08_GDE_RISK_ENGINE'!B46</f>
        <v>Piping</v>
      </c>
      <c r="C46" s="8" t="str">
        <f>'08_GDE_RISK_ENGINE'!C46</f>
        <v>SAGS</v>
      </c>
      <c r="D46" s="8" t="str">
        <f>'08_GDE_RISK_ENGINE'!D46</f>
        <v>CL-SAGS-LBA-STEAM-CS-LG-T3_150C_PLUS</v>
      </c>
      <c r="E46" s="8">
        <f>'08_GDE_RISK_ENGINE'!E46</f>
        <v>4</v>
      </c>
      <c r="F46" s="8">
        <f>'08_GDE_RISK_ENGINE'!F46</f>
        <v>5</v>
      </c>
      <c r="G46" s="8" t="str">
        <f>'08_GDE_RISK_ENGINE'!G46</f>
        <v>Extreme High</v>
      </c>
      <c r="H46" s="8">
        <f>IF(A46="","",MIN(5,E46+'14_GDE_RISK_MATRIX_DASHBOARD'!$C$6))</f>
        <v>5</v>
      </c>
      <c r="I46" s="8">
        <f>IF(A46="","",MAX(1,E46-'14_GDE_RISK_MATRIX_DASHBOARD'!$C$7))</f>
        <v>3</v>
      </c>
      <c r="J46" s="8" t="str">
        <f t="shared" si="0"/>
        <v>Extreme High</v>
      </c>
      <c r="K46" s="8" t="str">
        <f t="shared" si="1"/>
        <v>High</v>
      </c>
    </row>
    <row r="47" ht="29" spans="1:11">
      <c r="A47" s="8" t="str">
        <f>'08_GDE_RISK_ENGINE'!A47</f>
        <v>P2LBA26 BR011</v>
      </c>
      <c r="B47" s="8" t="str">
        <f>'08_GDE_RISK_ENGINE'!B47</f>
        <v>Piping</v>
      </c>
      <c r="C47" s="8" t="str">
        <f>'08_GDE_RISK_ENGINE'!C47</f>
        <v>SAGS</v>
      </c>
      <c r="D47" s="8" t="str">
        <f>'08_GDE_RISK_ENGINE'!D47</f>
        <v>CL-SAGS-LBA-STEAM-CS-LG-T3_150C_PLUS</v>
      </c>
      <c r="E47" s="8">
        <f>'08_GDE_RISK_ENGINE'!E47</f>
        <v>4</v>
      </c>
      <c r="F47" s="8">
        <f>'08_GDE_RISK_ENGINE'!F47</f>
        <v>5</v>
      </c>
      <c r="G47" s="8" t="str">
        <f>'08_GDE_RISK_ENGINE'!G47</f>
        <v>Extreme High</v>
      </c>
      <c r="H47" s="8">
        <f>IF(A47="","",MIN(5,E47+'14_GDE_RISK_MATRIX_DASHBOARD'!$C$6))</f>
        <v>5</v>
      </c>
      <c r="I47" s="8">
        <f>IF(A47="","",MAX(1,E47-'14_GDE_RISK_MATRIX_DASHBOARD'!$C$7))</f>
        <v>3</v>
      </c>
      <c r="J47" s="8" t="str">
        <f t="shared" si="0"/>
        <v>Extreme High</v>
      </c>
      <c r="K47" s="8" t="str">
        <f t="shared" si="1"/>
        <v>High</v>
      </c>
    </row>
    <row r="48" ht="29" spans="1:11">
      <c r="A48" s="8" t="str">
        <f>'08_GDE_RISK_ENGINE'!A48</f>
        <v>P2LBA26 BR010</v>
      </c>
      <c r="B48" s="8" t="str">
        <f>'08_GDE_RISK_ENGINE'!B48</f>
        <v>Piping</v>
      </c>
      <c r="C48" s="8" t="str">
        <f>'08_GDE_RISK_ENGINE'!C48</f>
        <v>SAGS</v>
      </c>
      <c r="D48" s="8" t="str">
        <f>'08_GDE_RISK_ENGINE'!D48</f>
        <v>CL-SAGS-LBA-STEAM-CS-LG-T3_150C_PLUS</v>
      </c>
      <c r="E48" s="8">
        <f>'08_GDE_RISK_ENGINE'!E48</f>
        <v>4</v>
      </c>
      <c r="F48" s="8">
        <f>'08_GDE_RISK_ENGINE'!F48</f>
        <v>5</v>
      </c>
      <c r="G48" s="8" t="str">
        <f>'08_GDE_RISK_ENGINE'!G48</f>
        <v>Extreme High</v>
      </c>
      <c r="H48" s="8">
        <f>IF(A48="","",MIN(5,E48+'14_GDE_RISK_MATRIX_DASHBOARD'!$C$6))</f>
        <v>5</v>
      </c>
      <c r="I48" s="8">
        <f>IF(A48="","",MAX(1,E48-'14_GDE_RISK_MATRIX_DASHBOARD'!$C$7))</f>
        <v>3</v>
      </c>
      <c r="J48" s="8" t="str">
        <f t="shared" si="0"/>
        <v>Extreme High</v>
      </c>
      <c r="K48" s="8" t="str">
        <f t="shared" si="1"/>
        <v>High</v>
      </c>
    </row>
    <row r="49" ht="29" spans="1:11">
      <c r="A49" s="8" t="str">
        <f>'08_GDE_RISK_ENGINE'!A49</f>
        <v>P2LBA26 BR301</v>
      </c>
      <c r="B49" s="8" t="str">
        <f>'08_GDE_RISK_ENGINE'!B49</f>
        <v>Piping</v>
      </c>
      <c r="C49" s="8" t="str">
        <f>'08_GDE_RISK_ENGINE'!C49</f>
        <v>SAGS</v>
      </c>
      <c r="D49" s="8" t="str">
        <f>'08_GDE_RISK_ENGINE'!D49</f>
        <v>CL-SAGS-LBA-STEAM-CS-LG-T3_150C_PLUS</v>
      </c>
      <c r="E49" s="8">
        <f>'08_GDE_RISK_ENGINE'!E49</f>
        <v>4</v>
      </c>
      <c r="F49" s="8">
        <f>'08_GDE_RISK_ENGINE'!F49</f>
        <v>5</v>
      </c>
      <c r="G49" s="8" t="str">
        <f>'08_GDE_RISK_ENGINE'!G49</f>
        <v>Extreme High</v>
      </c>
      <c r="H49" s="8">
        <f>IF(A49="","",MIN(5,E49+'14_GDE_RISK_MATRIX_DASHBOARD'!$C$6))</f>
        <v>5</v>
      </c>
      <c r="I49" s="8">
        <f>IF(A49="","",MAX(1,E49-'14_GDE_RISK_MATRIX_DASHBOARD'!$C$7))</f>
        <v>3</v>
      </c>
      <c r="J49" s="8" t="str">
        <f t="shared" si="0"/>
        <v>Extreme High</v>
      </c>
      <c r="K49" s="8" t="str">
        <f t="shared" si="1"/>
        <v>High</v>
      </c>
    </row>
    <row r="50" ht="29" spans="1:11">
      <c r="A50" s="8" t="str">
        <f>'08_GDE_RISK_ENGINE'!A50</f>
        <v>P2LBA27 BR001</v>
      </c>
      <c r="B50" s="8" t="str">
        <f>'08_GDE_RISK_ENGINE'!B50</f>
        <v>Piping</v>
      </c>
      <c r="C50" s="8" t="str">
        <f>'08_GDE_RISK_ENGINE'!C50</f>
        <v>SAGS</v>
      </c>
      <c r="D50" s="8" t="str">
        <f>'08_GDE_RISK_ENGINE'!D50</f>
        <v>CL-SAGS-LBA-STEAM-CS-LG-T3_150C_PLUS</v>
      </c>
      <c r="E50" s="8">
        <f>'08_GDE_RISK_ENGINE'!E50</f>
        <v>4</v>
      </c>
      <c r="F50" s="8">
        <f>'08_GDE_RISK_ENGINE'!F50</f>
        <v>5</v>
      </c>
      <c r="G50" s="8" t="str">
        <f>'08_GDE_RISK_ENGINE'!G50</f>
        <v>Extreme High</v>
      </c>
      <c r="H50" s="8">
        <f>IF(A50="","",MIN(5,E50+'14_GDE_RISK_MATRIX_DASHBOARD'!$C$6))</f>
        <v>5</v>
      </c>
      <c r="I50" s="8">
        <f>IF(A50="","",MAX(1,E50-'14_GDE_RISK_MATRIX_DASHBOARD'!$C$7))</f>
        <v>3</v>
      </c>
      <c r="J50" s="8" t="str">
        <f t="shared" si="0"/>
        <v>Extreme High</v>
      </c>
      <c r="K50" s="8" t="str">
        <f t="shared" si="1"/>
        <v>High</v>
      </c>
    </row>
    <row r="51" ht="29" spans="1:11">
      <c r="A51" s="8" t="str">
        <f>'08_GDE_RISK_ENGINE'!A51</f>
        <v>P2LBA27 BR501</v>
      </c>
      <c r="B51" s="8" t="str">
        <f>'08_GDE_RISK_ENGINE'!B51</f>
        <v>Piping</v>
      </c>
      <c r="C51" s="8" t="str">
        <f>'08_GDE_RISK_ENGINE'!C51</f>
        <v>SAGS</v>
      </c>
      <c r="D51" s="8" t="str">
        <f>'08_GDE_RISK_ENGINE'!D51</f>
        <v>CL-SAGS-LBA-STEAM-CS-LG-T3_150C_PLUS</v>
      </c>
      <c r="E51" s="8">
        <f>'08_GDE_RISK_ENGINE'!E51</f>
        <v>4</v>
      </c>
      <c r="F51" s="8">
        <f>'08_GDE_RISK_ENGINE'!F51</f>
        <v>5</v>
      </c>
      <c r="G51" s="8" t="str">
        <f>'08_GDE_RISK_ENGINE'!G51</f>
        <v>Extreme High</v>
      </c>
      <c r="H51" s="8">
        <f>IF(A51="","",MIN(5,E51+'14_GDE_RISK_MATRIX_DASHBOARD'!$C$6))</f>
        <v>5</v>
      </c>
      <c r="I51" s="8">
        <f>IF(A51="","",MAX(1,E51-'14_GDE_RISK_MATRIX_DASHBOARD'!$C$7))</f>
        <v>3</v>
      </c>
      <c r="J51" s="8" t="str">
        <f t="shared" si="0"/>
        <v>Extreme High</v>
      </c>
      <c r="K51" s="8" t="str">
        <f t="shared" si="1"/>
        <v>High</v>
      </c>
    </row>
    <row r="52" ht="29" spans="1:11">
      <c r="A52" s="8" t="str">
        <f>'08_GDE_RISK_ENGINE'!A52</f>
        <v>P2LBA27 BR011</v>
      </c>
      <c r="B52" s="8" t="str">
        <f>'08_GDE_RISK_ENGINE'!B52</f>
        <v>Piping</v>
      </c>
      <c r="C52" s="8" t="str">
        <f>'08_GDE_RISK_ENGINE'!C52</f>
        <v>SAGS</v>
      </c>
      <c r="D52" s="8" t="str">
        <f>'08_GDE_RISK_ENGINE'!D52</f>
        <v>CL-SAGS-LBA-STEAM-CS-LG-T3_150C_PLUS</v>
      </c>
      <c r="E52" s="8">
        <f>'08_GDE_RISK_ENGINE'!E52</f>
        <v>4</v>
      </c>
      <c r="F52" s="8">
        <f>'08_GDE_RISK_ENGINE'!F52</f>
        <v>5</v>
      </c>
      <c r="G52" s="8" t="str">
        <f>'08_GDE_RISK_ENGINE'!G52</f>
        <v>Extreme High</v>
      </c>
      <c r="H52" s="8">
        <f>IF(A52="","",MIN(5,E52+'14_GDE_RISK_MATRIX_DASHBOARD'!$C$6))</f>
        <v>5</v>
      </c>
      <c r="I52" s="8">
        <f>IF(A52="","",MAX(1,E52-'14_GDE_RISK_MATRIX_DASHBOARD'!$C$7))</f>
        <v>3</v>
      </c>
      <c r="J52" s="8" t="str">
        <f t="shared" si="0"/>
        <v>Extreme High</v>
      </c>
      <c r="K52" s="8" t="str">
        <f t="shared" si="1"/>
        <v>High</v>
      </c>
    </row>
    <row r="53" ht="29" spans="1:11">
      <c r="A53" s="8" t="str">
        <f>'08_GDE_RISK_ENGINE'!A53</f>
        <v>P2LBA27 BR010</v>
      </c>
      <c r="B53" s="8" t="str">
        <f>'08_GDE_RISK_ENGINE'!B53</f>
        <v>Piping</v>
      </c>
      <c r="C53" s="8" t="str">
        <f>'08_GDE_RISK_ENGINE'!C53</f>
        <v>SAGS</v>
      </c>
      <c r="D53" s="8" t="str">
        <f>'08_GDE_RISK_ENGINE'!D53</f>
        <v>CL-SAGS-LBA-STEAM-CS-LG-T3_150C_PLUS</v>
      </c>
      <c r="E53" s="8">
        <f>'08_GDE_RISK_ENGINE'!E53</f>
        <v>4</v>
      </c>
      <c r="F53" s="8">
        <f>'08_GDE_RISK_ENGINE'!F53</f>
        <v>5</v>
      </c>
      <c r="G53" s="8" t="str">
        <f>'08_GDE_RISK_ENGINE'!G53</f>
        <v>Extreme High</v>
      </c>
      <c r="H53" s="8">
        <f>IF(A53="","",MIN(5,E53+'14_GDE_RISK_MATRIX_DASHBOARD'!$C$6))</f>
        <v>5</v>
      </c>
      <c r="I53" s="8">
        <f>IF(A53="","",MAX(1,E53-'14_GDE_RISK_MATRIX_DASHBOARD'!$C$7))</f>
        <v>3</v>
      </c>
      <c r="J53" s="8" t="str">
        <f t="shared" si="0"/>
        <v>Extreme High</v>
      </c>
      <c r="K53" s="8" t="str">
        <f t="shared" si="1"/>
        <v>High</v>
      </c>
    </row>
    <row r="54" ht="29" spans="1:11">
      <c r="A54" s="8" t="str">
        <f>'08_GDE_RISK_ENGINE'!A54</f>
        <v>P2LBA27 BR301</v>
      </c>
      <c r="B54" s="8" t="str">
        <f>'08_GDE_RISK_ENGINE'!B54</f>
        <v>Piping</v>
      </c>
      <c r="C54" s="8" t="str">
        <f>'08_GDE_RISK_ENGINE'!C54</f>
        <v>SAGS</v>
      </c>
      <c r="D54" s="8" t="str">
        <f>'08_GDE_RISK_ENGINE'!D54</f>
        <v>CL-SAGS-LBA-STEAM-CS-LG-T3_150C_PLUS</v>
      </c>
      <c r="E54" s="8">
        <f>'08_GDE_RISK_ENGINE'!E54</f>
        <v>4</v>
      </c>
      <c r="F54" s="8">
        <f>'08_GDE_RISK_ENGINE'!F54</f>
        <v>5</v>
      </c>
      <c r="G54" s="8" t="str">
        <f>'08_GDE_RISK_ENGINE'!G54</f>
        <v>Extreme High</v>
      </c>
      <c r="H54" s="8">
        <f>IF(A54="","",MIN(5,E54+'14_GDE_RISK_MATRIX_DASHBOARD'!$C$6))</f>
        <v>5</v>
      </c>
      <c r="I54" s="8">
        <f>IF(A54="","",MAX(1,E54-'14_GDE_RISK_MATRIX_DASHBOARD'!$C$7))</f>
        <v>3</v>
      </c>
      <c r="J54" s="8" t="str">
        <f t="shared" si="0"/>
        <v>Extreme High</v>
      </c>
      <c r="K54" s="8" t="str">
        <f t="shared" si="1"/>
        <v>High</v>
      </c>
    </row>
    <row r="55" ht="29" spans="1:11">
      <c r="A55" s="8" t="str">
        <f>'08_GDE_RISK_ENGINE'!A55</f>
        <v>P2LBA28 BR001</v>
      </c>
      <c r="B55" s="8" t="str">
        <f>'08_GDE_RISK_ENGINE'!B55</f>
        <v>Piping</v>
      </c>
      <c r="C55" s="8" t="str">
        <f>'08_GDE_RISK_ENGINE'!C55</f>
        <v>SAGS</v>
      </c>
      <c r="D55" s="8" t="str">
        <f>'08_GDE_RISK_ENGINE'!D55</f>
        <v>CL-SAGS-LBA-STEAM-CS-V-T3_150C_PLUS</v>
      </c>
      <c r="E55" s="8">
        <f>'08_GDE_RISK_ENGINE'!E55</f>
        <v>2</v>
      </c>
      <c r="F55" s="8">
        <f>'08_GDE_RISK_ENGINE'!F55</f>
        <v>5</v>
      </c>
      <c r="G55" s="8" t="str">
        <f>'08_GDE_RISK_ENGINE'!G55</f>
        <v>High</v>
      </c>
      <c r="H55" s="8">
        <f>IF(A55="","",MIN(5,E55+'14_GDE_RISK_MATRIX_DASHBOARD'!$C$6))</f>
        <v>3</v>
      </c>
      <c r="I55" s="8">
        <f>IF(A55="","",MAX(1,E55-'14_GDE_RISK_MATRIX_DASHBOARD'!$C$7))</f>
        <v>1</v>
      </c>
      <c r="J55" s="8" t="str">
        <f t="shared" si="0"/>
        <v>High</v>
      </c>
      <c r="K55" s="8" t="str">
        <f t="shared" si="1"/>
        <v>Medium</v>
      </c>
    </row>
    <row r="56" ht="29" spans="1:11">
      <c r="A56" s="8" t="str">
        <f>'08_GDE_RISK_ENGINE'!A56</f>
        <v>P2LBA28 BR501</v>
      </c>
      <c r="B56" s="8" t="str">
        <f>'08_GDE_RISK_ENGINE'!B56</f>
        <v>Piping</v>
      </c>
      <c r="C56" s="8" t="str">
        <f>'08_GDE_RISK_ENGINE'!C56</f>
        <v>SAGS</v>
      </c>
      <c r="D56" s="8" t="str">
        <f>'08_GDE_RISK_ENGINE'!D56</f>
        <v>CL-SAGS-LBA-STEAM-CS-V-T3_150C_PLUS</v>
      </c>
      <c r="E56" s="8">
        <f>'08_GDE_RISK_ENGINE'!E56</f>
        <v>2</v>
      </c>
      <c r="F56" s="8">
        <f>'08_GDE_RISK_ENGINE'!F56</f>
        <v>5</v>
      </c>
      <c r="G56" s="8" t="str">
        <f>'08_GDE_RISK_ENGINE'!G56</f>
        <v>High</v>
      </c>
      <c r="H56" s="8">
        <f>IF(A56="","",MIN(5,E56+'14_GDE_RISK_MATRIX_DASHBOARD'!$C$6))</f>
        <v>3</v>
      </c>
      <c r="I56" s="8">
        <f>IF(A56="","",MAX(1,E56-'14_GDE_RISK_MATRIX_DASHBOARD'!$C$7))</f>
        <v>1</v>
      </c>
      <c r="J56" s="8" t="str">
        <f t="shared" si="0"/>
        <v>High</v>
      </c>
      <c r="K56" s="8" t="str">
        <f t="shared" si="1"/>
        <v>Medium</v>
      </c>
    </row>
    <row r="57" ht="29" spans="1:11">
      <c r="A57" s="8" t="str">
        <f>'08_GDE_RISK_ENGINE'!A57</f>
        <v>P2LBA28 BR011</v>
      </c>
      <c r="B57" s="8" t="str">
        <f>'08_GDE_RISK_ENGINE'!B57</f>
        <v>Piping</v>
      </c>
      <c r="C57" s="8" t="str">
        <f>'08_GDE_RISK_ENGINE'!C57</f>
        <v>SAGS</v>
      </c>
      <c r="D57" s="8" t="str">
        <f>'08_GDE_RISK_ENGINE'!D57</f>
        <v>CL-SAGS-LBA-STEAM-CS-V-T3_150C_PLUS</v>
      </c>
      <c r="E57" s="8">
        <f>'08_GDE_RISK_ENGINE'!E57</f>
        <v>2</v>
      </c>
      <c r="F57" s="8">
        <f>'08_GDE_RISK_ENGINE'!F57</f>
        <v>5</v>
      </c>
      <c r="G57" s="8" t="str">
        <f>'08_GDE_RISK_ENGINE'!G57</f>
        <v>High</v>
      </c>
      <c r="H57" s="8">
        <f>IF(A57="","",MIN(5,E57+'14_GDE_RISK_MATRIX_DASHBOARD'!$C$6))</f>
        <v>3</v>
      </c>
      <c r="I57" s="8">
        <f>IF(A57="","",MAX(1,E57-'14_GDE_RISK_MATRIX_DASHBOARD'!$C$7))</f>
        <v>1</v>
      </c>
      <c r="J57" s="8" t="str">
        <f t="shared" si="0"/>
        <v>High</v>
      </c>
      <c r="K57" s="8" t="str">
        <f t="shared" si="1"/>
        <v>Medium</v>
      </c>
    </row>
    <row r="58" ht="29" spans="1:11">
      <c r="A58" s="8" t="str">
        <f>'08_GDE_RISK_ENGINE'!A58</f>
        <v>P2LBA28 BR010</v>
      </c>
      <c r="B58" s="8" t="str">
        <f>'08_GDE_RISK_ENGINE'!B58</f>
        <v>Piping</v>
      </c>
      <c r="C58" s="8" t="str">
        <f>'08_GDE_RISK_ENGINE'!C58</f>
        <v>SAGS</v>
      </c>
      <c r="D58" s="8" t="str">
        <f>'08_GDE_RISK_ENGINE'!D58</f>
        <v>CL-SAGS-LBA-STEAM-CS-V-T3_150C_PLUS</v>
      </c>
      <c r="E58" s="8">
        <f>'08_GDE_RISK_ENGINE'!E58</f>
        <v>2</v>
      </c>
      <c r="F58" s="8">
        <f>'08_GDE_RISK_ENGINE'!F58</f>
        <v>5</v>
      </c>
      <c r="G58" s="8" t="str">
        <f>'08_GDE_RISK_ENGINE'!G58</f>
        <v>High</v>
      </c>
      <c r="H58" s="8">
        <f>IF(A58="","",MIN(5,E58+'14_GDE_RISK_MATRIX_DASHBOARD'!$C$6))</f>
        <v>3</v>
      </c>
      <c r="I58" s="8">
        <f>IF(A58="","",MAX(1,E58-'14_GDE_RISK_MATRIX_DASHBOARD'!$C$7))</f>
        <v>1</v>
      </c>
      <c r="J58" s="8" t="str">
        <f t="shared" si="0"/>
        <v>High</v>
      </c>
      <c r="K58" s="8" t="str">
        <f t="shared" si="1"/>
        <v>Medium</v>
      </c>
    </row>
    <row r="59" ht="29" spans="1:11">
      <c r="A59" s="8" t="str">
        <f>'08_GDE_RISK_ENGINE'!A59</f>
        <v>P2LBA28 BR301</v>
      </c>
      <c r="B59" s="8" t="str">
        <f>'08_GDE_RISK_ENGINE'!B59</f>
        <v>Piping</v>
      </c>
      <c r="C59" s="8" t="str">
        <f>'08_GDE_RISK_ENGINE'!C59</f>
        <v>SAGS</v>
      </c>
      <c r="D59" s="8" t="str">
        <f>'08_GDE_RISK_ENGINE'!D59</f>
        <v>CL-SAGS-LBA-STEAM-CS-V-T3_150C_PLUS</v>
      </c>
      <c r="E59" s="8">
        <f>'08_GDE_RISK_ENGINE'!E59</f>
        <v>2</v>
      </c>
      <c r="F59" s="8">
        <f>'08_GDE_RISK_ENGINE'!F59</f>
        <v>5</v>
      </c>
      <c r="G59" s="8" t="str">
        <f>'08_GDE_RISK_ENGINE'!G59</f>
        <v>High</v>
      </c>
      <c r="H59" s="8">
        <f>IF(A59="","",MIN(5,E59+'14_GDE_RISK_MATRIX_DASHBOARD'!$C$6))</f>
        <v>3</v>
      </c>
      <c r="I59" s="8">
        <f>IF(A59="","",MAX(1,E59-'14_GDE_RISK_MATRIX_DASHBOARD'!$C$7))</f>
        <v>1</v>
      </c>
      <c r="J59" s="8" t="str">
        <f t="shared" si="0"/>
        <v>High</v>
      </c>
      <c r="K59" s="8" t="str">
        <f t="shared" si="1"/>
        <v>Medium</v>
      </c>
    </row>
    <row r="60" ht="29" spans="1:11">
      <c r="A60" s="8" t="str">
        <f>'08_GDE_RISK_ENGINE'!A60</f>
        <v>P2LBA29 BR001</v>
      </c>
      <c r="B60" s="8" t="str">
        <f>'08_GDE_RISK_ENGINE'!B60</f>
        <v>Piping</v>
      </c>
      <c r="C60" s="8" t="str">
        <f>'08_GDE_RISK_ENGINE'!C60</f>
        <v>SAGS</v>
      </c>
      <c r="D60" s="8" t="str">
        <f>'08_GDE_RISK_ENGINE'!D60</f>
        <v>CL-SAGS-LBA-STEAM-CS-V-T3_150C_PLUS</v>
      </c>
      <c r="E60" s="8">
        <f>'08_GDE_RISK_ENGINE'!E60</f>
        <v>2</v>
      </c>
      <c r="F60" s="8">
        <f>'08_GDE_RISK_ENGINE'!F60</f>
        <v>5</v>
      </c>
      <c r="G60" s="8" t="str">
        <f>'08_GDE_RISK_ENGINE'!G60</f>
        <v>High</v>
      </c>
      <c r="H60" s="8">
        <f>IF(A60="","",MIN(5,E60+'14_GDE_RISK_MATRIX_DASHBOARD'!$C$6))</f>
        <v>3</v>
      </c>
      <c r="I60" s="8">
        <f>IF(A60="","",MAX(1,E60-'14_GDE_RISK_MATRIX_DASHBOARD'!$C$7))</f>
        <v>1</v>
      </c>
      <c r="J60" s="8" t="str">
        <f t="shared" si="0"/>
        <v>High</v>
      </c>
      <c r="K60" s="8" t="str">
        <f t="shared" si="1"/>
        <v>Medium</v>
      </c>
    </row>
    <row r="61" ht="29" spans="1:11">
      <c r="A61" s="8" t="str">
        <f>'08_GDE_RISK_ENGINE'!A61</f>
        <v>P2LBA29 BR501</v>
      </c>
      <c r="B61" s="8" t="str">
        <f>'08_GDE_RISK_ENGINE'!B61</f>
        <v>Piping</v>
      </c>
      <c r="C61" s="8" t="str">
        <f>'08_GDE_RISK_ENGINE'!C61</f>
        <v>SAGS</v>
      </c>
      <c r="D61" s="8" t="str">
        <f>'08_GDE_RISK_ENGINE'!D61</f>
        <v>CL-SAGS-LBA-STEAM-CS-V-T3_150C_PLUS</v>
      </c>
      <c r="E61" s="8">
        <f>'08_GDE_RISK_ENGINE'!E61</f>
        <v>2</v>
      </c>
      <c r="F61" s="8">
        <f>'08_GDE_RISK_ENGINE'!F61</f>
        <v>5</v>
      </c>
      <c r="G61" s="8" t="str">
        <f>'08_GDE_RISK_ENGINE'!G61</f>
        <v>High</v>
      </c>
      <c r="H61" s="8">
        <f>IF(A61="","",MIN(5,E61+'14_GDE_RISK_MATRIX_DASHBOARD'!$C$6))</f>
        <v>3</v>
      </c>
      <c r="I61" s="8">
        <f>IF(A61="","",MAX(1,E61-'14_GDE_RISK_MATRIX_DASHBOARD'!$C$7))</f>
        <v>1</v>
      </c>
      <c r="J61" s="8" t="str">
        <f t="shared" si="0"/>
        <v>High</v>
      </c>
      <c r="K61" s="8" t="str">
        <f t="shared" si="1"/>
        <v>Medium</v>
      </c>
    </row>
    <row r="62" ht="29" spans="1:11">
      <c r="A62" s="8" t="str">
        <f>'08_GDE_RISK_ENGINE'!A62</f>
        <v>P2LBA29 BR011</v>
      </c>
      <c r="B62" s="8" t="str">
        <f>'08_GDE_RISK_ENGINE'!B62</f>
        <v>Piping</v>
      </c>
      <c r="C62" s="8" t="str">
        <f>'08_GDE_RISK_ENGINE'!C62</f>
        <v>SAGS</v>
      </c>
      <c r="D62" s="8" t="str">
        <f>'08_GDE_RISK_ENGINE'!D62</f>
        <v>CL-SAGS-LBA-STEAM-CS-V-T3_150C_PLUS</v>
      </c>
      <c r="E62" s="8">
        <f>'08_GDE_RISK_ENGINE'!E62</f>
        <v>2</v>
      </c>
      <c r="F62" s="8">
        <f>'08_GDE_RISK_ENGINE'!F62</f>
        <v>5</v>
      </c>
      <c r="G62" s="8" t="str">
        <f>'08_GDE_RISK_ENGINE'!G62</f>
        <v>High</v>
      </c>
      <c r="H62" s="8">
        <f>IF(A62="","",MIN(5,E62+'14_GDE_RISK_MATRIX_DASHBOARD'!$C$6))</f>
        <v>3</v>
      </c>
      <c r="I62" s="8">
        <f>IF(A62="","",MAX(1,E62-'14_GDE_RISK_MATRIX_DASHBOARD'!$C$7))</f>
        <v>1</v>
      </c>
      <c r="J62" s="8" t="str">
        <f t="shared" si="0"/>
        <v>High</v>
      </c>
      <c r="K62" s="8" t="str">
        <f t="shared" si="1"/>
        <v>Medium</v>
      </c>
    </row>
    <row r="63" ht="29" spans="1:11">
      <c r="A63" s="8" t="str">
        <f>'08_GDE_RISK_ENGINE'!A63</f>
        <v>P2LBA29 BR010</v>
      </c>
      <c r="B63" s="8" t="str">
        <f>'08_GDE_RISK_ENGINE'!B63</f>
        <v>Piping</v>
      </c>
      <c r="C63" s="8" t="str">
        <f>'08_GDE_RISK_ENGINE'!C63</f>
        <v>SAGS</v>
      </c>
      <c r="D63" s="8" t="str">
        <f>'08_GDE_RISK_ENGINE'!D63</f>
        <v>CL-SAGS-LBA-STEAM-CS-V-T3_150C_PLUS</v>
      </c>
      <c r="E63" s="8">
        <f>'08_GDE_RISK_ENGINE'!E63</f>
        <v>2</v>
      </c>
      <c r="F63" s="8">
        <f>'08_GDE_RISK_ENGINE'!F63</f>
        <v>5</v>
      </c>
      <c r="G63" s="8" t="str">
        <f>'08_GDE_RISK_ENGINE'!G63</f>
        <v>High</v>
      </c>
      <c r="H63" s="8">
        <f>IF(A63="","",MIN(5,E63+'14_GDE_RISK_MATRIX_DASHBOARD'!$C$6))</f>
        <v>3</v>
      </c>
      <c r="I63" s="8">
        <f>IF(A63="","",MAX(1,E63-'14_GDE_RISK_MATRIX_DASHBOARD'!$C$7))</f>
        <v>1</v>
      </c>
      <c r="J63" s="8" t="str">
        <f t="shared" si="0"/>
        <v>High</v>
      </c>
      <c r="K63" s="8" t="str">
        <f t="shared" si="1"/>
        <v>Medium</v>
      </c>
    </row>
    <row r="64" ht="29" spans="1:11">
      <c r="A64" s="8" t="str">
        <f>'08_GDE_RISK_ENGINE'!A64</f>
        <v>P2LBA29 BR301</v>
      </c>
      <c r="B64" s="8" t="str">
        <f>'08_GDE_RISK_ENGINE'!B64</f>
        <v>Piping</v>
      </c>
      <c r="C64" s="8" t="str">
        <f>'08_GDE_RISK_ENGINE'!C64</f>
        <v>SAGS</v>
      </c>
      <c r="D64" s="8" t="str">
        <f>'08_GDE_RISK_ENGINE'!D64</f>
        <v>CL-SAGS-LBA-STEAM-CS-V-T3_150C_PLUS</v>
      </c>
      <c r="E64" s="8">
        <f>'08_GDE_RISK_ENGINE'!E64</f>
        <v>2</v>
      </c>
      <c r="F64" s="8">
        <f>'08_GDE_RISK_ENGINE'!F64</f>
        <v>5</v>
      </c>
      <c r="G64" s="8" t="str">
        <f>'08_GDE_RISK_ENGINE'!G64</f>
        <v>High</v>
      </c>
      <c r="H64" s="8">
        <f>IF(A64="","",MIN(5,E64+'14_GDE_RISK_MATRIX_DASHBOARD'!$C$6))</f>
        <v>3</v>
      </c>
      <c r="I64" s="8">
        <f>IF(A64="","",MAX(1,E64-'14_GDE_RISK_MATRIX_DASHBOARD'!$C$7))</f>
        <v>1</v>
      </c>
      <c r="J64" s="8" t="str">
        <f t="shared" si="0"/>
        <v>High</v>
      </c>
      <c r="K64" s="8" t="str">
        <f t="shared" si="1"/>
        <v>Medium</v>
      </c>
    </row>
    <row r="65" ht="29" spans="1:11">
      <c r="A65" s="8" t="str">
        <f>'08_GDE_RISK_ENGINE'!A65</f>
        <v>P2LBA20 BR007</v>
      </c>
      <c r="B65" s="8" t="str">
        <f>'08_GDE_RISK_ENGINE'!B65</f>
        <v>Piping</v>
      </c>
      <c r="C65" s="8" t="str">
        <f>'08_GDE_RISK_ENGINE'!C65</f>
        <v>SAGS</v>
      </c>
      <c r="D65" s="8" t="str">
        <f>'08_GDE_RISK_ENGINE'!D65</f>
        <v>CL-SAGS-LBA-STEAM-CS-V-T3_150C_PLUS</v>
      </c>
      <c r="E65" s="8">
        <f>'08_GDE_RISK_ENGINE'!E65</f>
        <v>2</v>
      </c>
      <c r="F65" s="8">
        <f>'08_GDE_RISK_ENGINE'!F65</f>
        <v>5</v>
      </c>
      <c r="G65" s="8" t="str">
        <f>'08_GDE_RISK_ENGINE'!G65</f>
        <v>High</v>
      </c>
      <c r="H65" s="8">
        <f>IF(A65="","",MIN(5,E65+'14_GDE_RISK_MATRIX_DASHBOARD'!$C$6))</f>
        <v>3</v>
      </c>
      <c r="I65" s="8">
        <f>IF(A65="","",MAX(1,E65-'14_GDE_RISK_MATRIX_DASHBOARD'!$C$7))</f>
        <v>1</v>
      </c>
      <c r="J65" s="8" t="str">
        <f t="shared" si="0"/>
        <v>High</v>
      </c>
      <c r="K65" s="8" t="str">
        <f t="shared" si="1"/>
        <v>Medium</v>
      </c>
    </row>
    <row r="66" ht="43.5" spans="1:11">
      <c r="A66" s="8" t="str">
        <f>'08_GDE_RISK_ENGINE'!A66</f>
        <v>P2LCM01 BR010</v>
      </c>
      <c r="B66" s="8" t="str">
        <f>'08_GDE_RISK_ENGINE'!B66</f>
        <v>Piping</v>
      </c>
      <c r="C66" s="8" t="str">
        <f>'08_GDE_RISK_ENGINE'!C66</f>
        <v>SAGS</v>
      </c>
      <c r="D66" s="8" t="str">
        <f>'08_GDE_RISK_ENGINE'!D66</f>
        <v>CL-SAGS-LCM-CONDENSATE-CS-L-T1_BELOW_80C</v>
      </c>
      <c r="E66" s="8">
        <f>'08_GDE_RISK_ENGINE'!E66</f>
        <v>4</v>
      </c>
      <c r="F66" s="8">
        <f>'08_GDE_RISK_ENGINE'!F66</f>
        <v>2</v>
      </c>
      <c r="G66" s="8" t="str">
        <f>'08_GDE_RISK_ENGINE'!G66</f>
        <v>High</v>
      </c>
      <c r="H66" s="8">
        <f>IF(A66="","",MIN(5,E66+'14_GDE_RISK_MATRIX_DASHBOARD'!$C$6))</f>
        <v>5</v>
      </c>
      <c r="I66" s="8">
        <f>IF(A66="","",MAX(1,E66-'14_GDE_RISK_MATRIX_DASHBOARD'!$C$7))</f>
        <v>3</v>
      </c>
      <c r="J66" s="8" t="str">
        <f t="shared" si="0"/>
        <v>Medium</v>
      </c>
      <c r="K66" s="8" t="str">
        <f t="shared" si="1"/>
        <v>Medium</v>
      </c>
    </row>
    <row r="67" ht="43.5" spans="1:11">
      <c r="A67" s="8" t="str">
        <f>'08_GDE_RISK_ENGINE'!A67</f>
        <v>P2LCM01 BR009</v>
      </c>
      <c r="B67" s="8" t="str">
        <f>'08_GDE_RISK_ENGINE'!B67</f>
        <v>Piping</v>
      </c>
      <c r="C67" s="8" t="str">
        <f>'08_GDE_RISK_ENGINE'!C67</f>
        <v>SAGS</v>
      </c>
      <c r="D67" s="8" t="str">
        <f>'08_GDE_RISK_ENGINE'!D67</f>
        <v>CL-SAGS-LCM-CONDENSATE-CS-L-T1_BELOW_80C</v>
      </c>
      <c r="E67" s="8">
        <f>'08_GDE_RISK_ENGINE'!E67</f>
        <v>4</v>
      </c>
      <c r="F67" s="8">
        <f>'08_GDE_RISK_ENGINE'!F67</f>
        <v>2</v>
      </c>
      <c r="G67" s="8" t="str">
        <f>'08_GDE_RISK_ENGINE'!G67</f>
        <v>High</v>
      </c>
      <c r="H67" s="8">
        <f>IF(A67="","",MIN(5,E67+'14_GDE_RISK_MATRIX_DASHBOARD'!$C$6))</f>
        <v>5</v>
      </c>
      <c r="I67" s="8">
        <f>IF(A67="","",MAX(1,E67-'14_GDE_RISK_MATRIX_DASHBOARD'!$C$7))</f>
        <v>3</v>
      </c>
      <c r="J67" s="8" t="str">
        <f t="shared" si="0"/>
        <v>Medium</v>
      </c>
      <c r="K67" s="8" t="str">
        <f t="shared" si="1"/>
        <v>Medium</v>
      </c>
    </row>
    <row r="68" ht="29" spans="1:11">
      <c r="A68" s="8" t="str">
        <f>'08_GDE_RISK_ENGINE'!A68</f>
        <v>P2LBA10 BR591</v>
      </c>
      <c r="B68" s="8" t="str">
        <f>'08_GDE_RISK_ENGINE'!B68</f>
        <v>Piping</v>
      </c>
      <c r="C68" s="8" t="str">
        <f>'08_GDE_RISK_ENGINE'!C68</f>
        <v>SAGS</v>
      </c>
      <c r="D68" s="8" t="str">
        <f>'08_GDE_RISK_ENGINE'!D68</f>
        <v>CL-SAGS-LBA-STEAM-CS-V-T1_BELOW_80C</v>
      </c>
      <c r="E68" s="8">
        <f>'08_GDE_RISK_ENGINE'!E68</f>
        <v>2</v>
      </c>
      <c r="F68" s="8">
        <f>'08_GDE_RISK_ENGINE'!F68</f>
        <v>5</v>
      </c>
      <c r="G68" s="8" t="str">
        <f>'08_GDE_RISK_ENGINE'!G68</f>
        <v>High</v>
      </c>
      <c r="H68" s="8">
        <f>IF(A68="","",MIN(5,E68+'14_GDE_RISK_MATRIX_DASHBOARD'!$C$6))</f>
        <v>3</v>
      </c>
      <c r="I68" s="8">
        <f>IF(A68="","",MAX(1,E68-'14_GDE_RISK_MATRIX_DASHBOARD'!$C$7))</f>
        <v>1</v>
      </c>
      <c r="J68" s="8" t="str">
        <f t="shared" ref="J68:J131" si="2">IF(A68="","",IF(OR(AND(H68&gt;=4,F68&gt;=4),AND(H68=5,F68&gt;=3)),"Extreme High",IF(OR(AND(H68&gt;=3,F68&gt;=3),AND(F68=5,H68&gt;=2)),"High",IF(OR(H68&gt;=2,F68&gt;=2),"Medium","Low"))))</f>
        <v>High</v>
      </c>
      <c r="K68" s="8" t="str">
        <f t="shared" ref="K68:K131" si="3">IF(A68="","",IF(OR(AND(I68&gt;=4,F68&gt;=4),AND(I68=5,F68&gt;=3)),"Extreme High",IF(OR(AND(I68&gt;=3,F68&gt;=3),AND(F68=5,I68&gt;=2)),"High",IF(OR(I68&gt;=2,F68&gt;=2),"Medium","Low"))))</f>
        <v>Medium</v>
      </c>
    </row>
    <row r="69" ht="29" spans="1:11">
      <c r="A69" s="8" t="str">
        <f>'08_GDE_RISK_ENGINE'!A69</f>
        <v>P2LBA10 BR592</v>
      </c>
      <c r="B69" s="8" t="str">
        <f>'08_GDE_RISK_ENGINE'!B69</f>
        <v>Piping</v>
      </c>
      <c r="C69" s="8" t="str">
        <f>'08_GDE_RISK_ENGINE'!C69</f>
        <v>SAGS</v>
      </c>
      <c r="D69" s="8" t="str">
        <f>'08_GDE_RISK_ENGINE'!D69</f>
        <v>CL-SAGS-LBA-STEAM-CS-V-T1_BELOW_80C</v>
      </c>
      <c r="E69" s="8">
        <f>'08_GDE_RISK_ENGINE'!E69</f>
        <v>2</v>
      </c>
      <c r="F69" s="8">
        <f>'08_GDE_RISK_ENGINE'!F69</f>
        <v>5</v>
      </c>
      <c r="G69" s="8" t="str">
        <f>'08_GDE_RISK_ENGINE'!G69</f>
        <v>High</v>
      </c>
      <c r="H69" s="8">
        <f>IF(A69="","",MIN(5,E69+'14_GDE_RISK_MATRIX_DASHBOARD'!$C$6))</f>
        <v>3</v>
      </c>
      <c r="I69" s="8">
        <f>IF(A69="","",MAX(1,E69-'14_GDE_RISK_MATRIX_DASHBOARD'!$C$7))</f>
        <v>1</v>
      </c>
      <c r="J69" s="8" t="str">
        <f t="shared" si="2"/>
        <v>High</v>
      </c>
      <c r="K69" s="8" t="str">
        <f t="shared" si="3"/>
        <v>Medium</v>
      </c>
    </row>
    <row r="70" ht="29" spans="1:11">
      <c r="A70" s="8" t="str">
        <f>'08_GDE_RISK_ENGINE'!A70</f>
        <v>P2LBA10 BR593</v>
      </c>
      <c r="B70" s="8" t="str">
        <f>'08_GDE_RISK_ENGINE'!B70</f>
        <v>Piping</v>
      </c>
      <c r="C70" s="8" t="str">
        <f>'08_GDE_RISK_ENGINE'!C70</f>
        <v>SAGS</v>
      </c>
      <c r="D70" s="8" t="str">
        <f>'08_GDE_RISK_ENGINE'!D70</f>
        <v>CL-SAGS-LBA-STEAM-CS-V-T1_BELOW_80C</v>
      </c>
      <c r="E70" s="8">
        <f>'08_GDE_RISK_ENGINE'!E70</f>
        <v>2</v>
      </c>
      <c r="F70" s="8">
        <f>'08_GDE_RISK_ENGINE'!F70</f>
        <v>5</v>
      </c>
      <c r="G70" s="8" t="str">
        <f>'08_GDE_RISK_ENGINE'!G70</f>
        <v>High</v>
      </c>
      <c r="H70" s="8">
        <f>IF(A70="","",MIN(5,E70+'14_GDE_RISK_MATRIX_DASHBOARD'!$C$6))</f>
        <v>3</v>
      </c>
      <c r="I70" s="8">
        <f>IF(A70="","",MAX(1,E70-'14_GDE_RISK_MATRIX_DASHBOARD'!$C$7))</f>
        <v>1</v>
      </c>
      <c r="J70" s="8" t="str">
        <f t="shared" si="2"/>
        <v>High</v>
      </c>
      <c r="K70" s="8" t="str">
        <f t="shared" si="3"/>
        <v>Medium</v>
      </c>
    </row>
    <row r="71" ht="29" spans="1:11">
      <c r="A71" s="8" t="str">
        <f>'08_GDE_RISK_ENGINE'!A71</f>
        <v>P2LBA10 BR594</v>
      </c>
      <c r="B71" s="8" t="str">
        <f>'08_GDE_RISK_ENGINE'!B71</f>
        <v>Piping</v>
      </c>
      <c r="C71" s="8" t="str">
        <f>'08_GDE_RISK_ENGINE'!C71</f>
        <v>SAGS</v>
      </c>
      <c r="D71" s="8" t="str">
        <f>'08_GDE_RISK_ENGINE'!D71</f>
        <v>CL-SAGS-LBA-STEAM-CS-V-T1_BELOW_80C</v>
      </c>
      <c r="E71" s="8">
        <f>'08_GDE_RISK_ENGINE'!E71</f>
        <v>2</v>
      </c>
      <c r="F71" s="8">
        <f>'08_GDE_RISK_ENGINE'!F71</f>
        <v>5</v>
      </c>
      <c r="G71" s="8" t="str">
        <f>'08_GDE_RISK_ENGINE'!G71</f>
        <v>High</v>
      </c>
      <c r="H71" s="8">
        <f>IF(A71="","",MIN(5,E71+'14_GDE_RISK_MATRIX_DASHBOARD'!$C$6))</f>
        <v>3</v>
      </c>
      <c r="I71" s="8">
        <f>IF(A71="","",MAX(1,E71-'14_GDE_RISK_MATRIX_DASHBOARD'!$C$7))</f>
        <v>1</v>
      </c>
      <c r="J71" s="8" t="str">
        <f t="shared" si="2"/>
        <v>High</v>
      </c>
      <c r="K71" s="8" t="str">
        <f t="shared" si="3"/>
        <v>Medium</v>
      </c>
    </row>
    <row r="72" ht="29" spans="1:11">
      <c r="A72" s="8" t="str">
        <f>'08_GDE_RISK_ENGINE'!A72</f>
        <v>P2LBA10 BR595</v>
      </c>
      <c r="B72" s="8" t="str">
        <f>'08_GDE_RISK_ENGINE'!B72</f>
        <v>Piping</v>
      </c>
      <c r="C72" s="8" t="str">
        <f>'08_GDE_RISK_ENGINE'!C72</f>
        <v>SAGS</v>
      </c>
      <c r="D72" s="8" t="str">
        <f>'08_GDE_RISK_ENGINE'!D72</f>
        <v>CL-SAGS-LBA-STEAM-CS-V-T1_BELOW_80C</v>
      </c>
      <c r="E72" s="8">
        <f>'08_GDE_RISK_ENGINE'!E72</f>
        <v>2</v>
      </c>
      <c r="F72" s="8">
        <f>'08_GDE_RISK_ENGINE'!F72</f>
        <v>5</v>
      </c>
      <c r="G72" s="8" t="str">
        <f>'08_GDE_RISK_ENGINE'!G72</f>
        <v>High</v>
      </c>
      <c r="H72" s="8">
        <f>IF(A72="","",MIN(5,E72+'14_GDE_RISK_MATRIX_DASHBOARD'!$C$6))</f>
        <v>3</v>
      </c>
      <c r="I72" s="8">
        <f>IF(A72="","",MAX(1,E72-'14_GDE_RISK_MATRIX_DASHBOARD'!$C$7))</f>
        <v>1</v>
      </c>
      <c r="J72" s="8" t="str">
        <f t="shared" si="2"/>
        <v>High</v>
      </c>
      <c r="K72" s="8" t="str">
        <f t="shared" si="3"/>
        <v>Medium</v>
      </c>
    </row>
    <row r="73" ht="29" spans="1:11">
      <c r="A73" s="8" t="str">
        <f>'08_GDE_RISK_ENGINE'!A73</f>
        <v>P2LBF10 BR009</v>
      </c>
      <c r="B73" s="8" t="str">
        <f>'08_GDE_RISK_ENGINE'!B73</f>
        <v>Piping</v>
      </c>
      <c r="C73" s="8" t="str">
        <f>'08_GDE_RISK_ENGINE'!C73</f>
        <v>SAGS</v>
      </c>
      <c r="D73" s="8" t="str">
        <f>'08_GDE_RISK_ENGINE'!D73</f>
        <v>CL-SAGS-LBF-STEAM-CS-V-T1_BELOW_80C</v>
      </c>
      <c r="E73" s="8">
        <f>'08_GDE_RISK_ENGINE'!E73</f>
        <v>2</v>
      </c>
      <c r="F73" s="8">
        <f>'08_GDE_RISK_ENGINE'!F73</f>
        <v>2</v>
      </c>
      <c r="G73" s="8" t="str">
        <f>'08_GDE_RISK_ENGINE'!G73</f>
        <v>Medium</v>
      </c>
      <c r="H73" s="8">
        <f>IF(A73="","",MIN(5,E73+'14_GDE_RISK_MATRIX_DASHBOARD'!$C$6))</f>
        <v>3</v>
      </c>
      <c r="I73" s="8">
        <f>IF(A73="","",MAX(1,E73-'14_GDE_RISK_MATRIX_DASHBOARD'!$C$7))</f>
        <v>1</v>
      </c>
      <c r="J73" s="8" t="str">
        <f t="shared" si="2"/>
        <v>Medium</v>
      </c>
      <c r="K73" s="8" t="str">
        <f t="shared" si="3"/>
        <v>Medium</v>
      </c>
    </row>
    <row r="74" ht="29" spans="1:11">
      <c r="A74" s="8" t="str">
        <f>'08_GDE_RISK_ENGINE'!A74</f>
        <v>P2LBF10 BR010</v>
      </c>
      <c r="B74" s="8" t="str">
        <f>'08_GDE_RISK_ENGINE'!B74</f>
        <v>Piping</v>
      </c>
      <c r="C74" s="8" t="str">
        <f>'08_GDE_RISK_ENGINE'!C74</f>
        <v>SAGS</v>
      </c>
      <c r="D74" s="8" t="str">
        <f>'08_GDE_RISK_ENGINE'!D74</f>
        <v>CL-SAGS-LBF-STEAM-CS-V-T1_BELOW_80C</v>
      </c>
      <c r="E74" s="8">
        <f>'08_GDE_RISK_ENGINE'!E74</f>
        <v>2</v>
      </c>
      <c r="F74" s="8">
        <f>'08_GDE_RISK_ENGINE'!F74</f>
        <v>2</v>
      </c>
      <c r="G74" s="8" t="str">
        <f>'08_GDE_RISK_ENGINE'!G74</f>
        <v>Medium</v>
      </c>
      <c r="H74" s="8">
        <f>IF(A74="","",MIN(5,E74+'14_GDE_RISK_MATRIX_DASHBOARD'!$C$6))</f>
        <v>3</v>
      </c>
      <c r="I74" s="8">
        <f>IF(A74="","",MAX(1,E74-'14_GDE_RISK_MATRIX_DASHBOARD'!$C$7))</f>
        <v>1</v>
      </c>
      <c r="J74" s="8" t="str">
        <f t="shared" si="2"/>
        <v>Medium</v>
      </c>
      <c r="K74" s="8" t="str">
        <f t="shared" si="3"/>
        <v>Medium</v>
      </c>
    </row>
    <row r="75" ht="29" spans="1:11">
      <c r="A75" s="8" t="str">
        <f>'08_GDE_RISK_ENGINE'!A75</f>
        <v>P2LBF10 BR011</v>
      </c>
      <c r="B75" s="8" t="str">
        <f>'08_GDE_RISK_ENGINE'!B75</f>
        <v>Piping</v>
      </c>
      <c r="C75" s="8" t="str">
        <f>'08_GDE_RISK_ENGINE'!C75</f>
        <v>SAGS</v>
      </c>
      <c r="D75" s="8" t="str">
        <f>'08_GDE_RISK_ENGINE'!D75</f>
        <v>CL-SAGS-LBF-STEAM-CS-V-T1_BELOW_80C</v>
      </c>
      <c r="E75" s="8">
        <f>'08_GDE_RISK_ENGINE'!E75</f>
        <v>2</v>
      </c>
      <c r="F75" s="8">
        <f>'08_GDE_RISK_ENGINE'!F75</f>
        <v>2</v>
      </c>
      <c r="G75" s="8" t="str">
        <f>'08_GDE_RISK_ENGINE'!G75</f>
        <v>Medium</v>
      </c>
      <c r="H75" s="8">
        <f>IF(A75="","",MIN(5,E75+'14_GDE_RISK_MATRIX_DASHBOARD'!$C$6))</f>
        <v>3</v>
      </c>
      <c r="I75" s="8">
        <f>IF(A75="","",MAX(1,E75-'14_GDE_RISK_MATRIX_DASHBOARD'!$C$7))</f>
        <v>1</v>
      </c>
      <c r="J75" s="8" t="str">
        <f t="shared" si="2"/>
        <v>Medium</v>
      </c>
      <c r="K75" s="8" t="str">
        <f t="shared" si="3"/>
        <v>Medium</v>
      </c>
    </row>
    <row r="76" ht="29" spans="1:11">
      <c r="A76" s="8" t="str">
        <f>'08_GDE_RISK_ENGINE'!A76</f>
        <v>P2LBF10 BR012</v>
      </c>
      <c r="B76" s="8" t="str">
        <f>'08_GDE_RISK_ENGINE'!B76</f>
        <v>Piping</v>
      </c>
      <c r="C76" s="8" t="str">
        <f>'08_GDE_RISK_ENGINE'!C76</f>
        <v>SAGS</v>
      </c>
      <c r="D76" s="8" t="str">
        <f>'08_GDE_RISK_ENGINE'!D76</f>
        <v>CL-SAGS-LBF-STEAM-CS-V-T1_BELOW_80C</v>
      </c>
      <c r="E76" s="8">
        <f>'08_GDE_RISK_ENGINE'!E76</f>
        <v>2</v>
      </c>
      <c r="F76" s="8">
        <f>'08_GDE_RISK_ENGINE'!F76</f>
        <v>2</v>
      </c>
      <c r="G76" s="8" t="str">
        <f>'08_GDE_RISK_ENGINE'!G76</f>
        <v>Medium</v>
      </c>
      <c r="H76" s="8">
        <f>IF(A76="","",MIN(5,E76+'14_GDE_RISK_MATRIX_DASHBOARD'!$C$6))</f>
        <v>3</v>
      </c>
      <c r="I76" s="8">
        <f>IF(A76="","",MAX(1,E76-'14_GDE_RISK_MATRIX_DASHBOARD'!$C$7))</f>
        <v>1</v>
      </c>
      <c r="J76" s="8" t="str">
        <f t="shared" si="2"/>
        <v>Medium</v>
      </c>
      <c r="K76" s="8" t="str">
        <f t="shared" si="3"/>
        <v>Medium</v>
      </c>
    </row>
    <row r="77" ht="29" spans="1:11">
      <c r="A77" s="8" t="str">
        <f>'08_GDE_RISK_ENGINE'!A77</f>
        <v>P2LBF10 BR013</v>
      </c>
      <c r="B77" s="8" t="str">
        <f>'08_GDE_RISK_ENGINE'!B77</f>
        <v>Piping</v>
      </c>
      <c r="C77" s="8" t="str">
        <f>'08_GDE_RISK_ENGINE'!C77</f>
        <v>SAGS</v>
      </c>
      <c r="D77" s="8" t="str">
        <f>'08_GDE_RISK_ENGINE'!D77</f>
        <v>CL-SAGS-LBF-STEAM-CS-V-T1_BELOW_80C</v>
      </c>
      <c r="E77" s="8">
        <f>'08_GDE_RISK_ENGINE'!E77</f>
        <v>2</v>
      </c>
      <c r="F77" s="8">
        <f>'08_GDE_RISK_ENGINE'!F77</f>
        <v>2</v>
      </c>
      <c r="G77" s="8" t="str">
        <f>'08_GDE_RISK_ENGINE'!G77</f>
        <v>Medium</v>
      </c>
      <c r="H77" s="8">
        <f>IF(A77="","",MIN(5,E77+'14_GDE_RISK_MATRIX_DASHBOARD'!$C$6))</f>
        <v>3</v>
      </c>
      <c r="I77" s="8">
        <f>IF(A77="","",MAX(1,E77-'14_GDE_RISK_MATRIX_DASHBOARD'!$C$7))</f>
        <v>1</v>
      </c>
      <c r="J77" s="8" t="str">
        <f t="shared" si="2"/>
        <v>Medium</v>
      </c>
      <c r="K77" s="8" t="str">
        <f t="shared" si="3"/>
        <v>Medium</v>
      </c>
    </row>
    <row r="78" ht="29" spans="1:11">
      <c r="A78" s="8" t="str">
        <f>'08_GDE_RISK_ENGINE'!A78</f>
        <v>P2LBF10 BR008</v>
      </c>
      <c r="B78" s="8" t="str">
        <f>'08_GDE_RISK_ENGINE'!B78</f>
        <v>Piping</v>
      </c>
      <c r="C78" s="8" t="str">
        <f>'08_GDE_RISK_ENGINE'!C78</f>
        <v>SAGS</v>
      </c>
      <c r="D78" s="8" t="str">
        <f>'08_GDE_RISK_ENGINE'!D78</f>
        <v>CL-SAGS-LBF-STEAM-CS-V-T3_150C_PLUS</v>
      </c>
      <c r="E78" s="8">
        <f>'08_GDE_RISK_ENGINE'!E78</f>
        <v>2</v>
      </c>
      <c r="F78" s="8">
        <f>'08_GDE_RISK_ENGINE'!F78</f>
        <v>2</v>
      </c>
      <c r="G78" s="8" t="str">
        <f>'08_GDE_RISK_ENGINE'!G78</f>
        <v>Medium</v>
      </c>
      <c r="H78" s="8">
        <f>IF(A78="","",MIN(5,E78+'14_GDE_RISK_MATRIX_DASHBOARD'!$C$6))</f>
        <v>3</v>
      </c>
      <c r="I78" s="8">
        <f>IF(A78="","",MAX(1,E78-'14_GDE_RISK_MATRIX_DASHBOARD'!$C$7))</f>
        <v>1</v>
      </c>
      <c r="J78" s="8" t="str">
        <f t="shared" si="2"/>
        <v>Medium</v>
      </c>
      <c r="K78" s="8" t="str">
        <f t="shared" si="3"/>
        <v>Medium</v>
      </c>
    </row>
    <row r="79" ht="29" spans="1:11">
      <c r="A79" s="8" t="str">
        <f>'08_GDE_RISK_ENGINE'!A79</f>
        <v>P2LBA10 BR503</v>
      </c>
      <c r="B79" s="8" t="str">
        <f>'08_GDE_RISK_ENGINE'!B79</f>
        <v>Piping</v>
      </c>
      <c r="C79" s="8" t="str">
        <f>'08_GDE_RISK_ENGINE'!C79</f>
        <v>SAGS</v>
      </c>
      <c r="D79" s="8" t="str">
        <f>'08_GDE_RISK_ENGINE'!D79</f>
        <v>CL-SAGS-LBA-STEAM-CS-V-T3_150C_PLUS</v>
      </c>
      <c r="E79" s="8">
        <f>'08_GDE_RISK_ENGINE'!E79</f>
        <v>2</v>
      </c>
      <c r="F79" s="8">
        <f>'08_GDE_RISK_ENGINE'!F79</f>
        <v>5</v>
      </c>
      <c r="G79" s="8" t="str">
        <f>'08_GDE_RISK_ENGINE'!G79</f>
        <v>High</v>
      </c>
      <c r="H79" s="8">
        <f>IF(A79="","",MIN(5,E79+'14_GDE_RISK_MATRIX_DASHBOARD'!$C$6))</f>
        <v>3</v>
      </c>
      <c r="I79" s="8">
        <f>IF(A79="","",MAX(1,E79-'14_GDE_RISK_MATRIX_DASHBOARD'!$C$7))</f>
        <v>1</v>
      </c>
      <c r="J79" s="8" t="str">
        <f t="shared" si="2"/>
        <v>High</v>
      </c>
      <c r="K79" s="8" t="str">
        <f t="shared" si="3"/>
        <v>Medium</v>
      </c>
    </row>
    <row r="80" ht="43.5" spans="1:11">
      <c r="A80" s="8" t="str">
        <f>'08_GDE_RISK_ENGINE'!A80</f>
        <v>P2PAB08 BR005</v>
      </c>
      <c r="B80" s="8" t="str">
        <f>'08_GDE_RISK_ENGINE'!B80</f>
        <v>Piping</v>
      </c>
      <c r="C80" s="8" t="str">
        <f>'08_GDE_RISK_ENGINE'!C80</f>
        <v>BOP/Utility</v>
      </c>
      <c r="D80" s="8" t="str">
        <f>'08_GDE_RISK_ENGINE'!D80</f>
        <v>CL-BOPUT-PAB-COOLINGWATER-SS316L-L-T1_BELOW_80C</v>
      </c>
      <c r="E80" s="8">
        <f>'08_GDE_RISK_ENGINE'!E80</f>
        <v>2</v>
      </c>
      <c r="F80" s="8">
        <f>'08_GDE_RISK_ENGINE'!F80</f>
        <v>3</v>
      </c>
      <c r="G80" s="8" t="str">
        <f>'08_GDE_RISK_ENGINE'!G80</f>
        <v>High</v>
      </c>
      <c r="H80" s="8">
        <f>IF(A80="","",MIN(5,E80+'14_GDE_RISK_MATRIX_DASHBOARD'!$C$6))</f>
        <v>3</v>
      </c>
      <c r="I80" s="8">
        <f>IF(A80="","",MAX(1,E80-'14_GDE_RISK_MATRIX_DASHBOARD'!$C$7))</f>
        <v>1</v>
      </c>
      <c r="J80" s="8" t="str">
        <f t="shared" si="2"/>
        <v>High</v>
      </c>
      <c r="K80" s="8" t="str">
        <f t="shared" si="3"/>
        <v>Medium</v>
      </c>
    </row>
    <row r="81" ht="43.5" spans="1:11">
      <c r="A81" s="8" t="str">
        <f>'08_GDE_RISK_ENGINE'!A81</f>
        <v>P2PAB08 BR006</v>
      </c>
      <c r="B81" s="8" t="str">
        <f>'08_GDE_RISK_ENGINE'!B81</f>
        <v>Piping</v>
      </c>
      <c r="C81" s="8" t="str">
        <f>'08_GDE_RISK_ENGINE'!C81</f>
        <v>BOP/Utility</v>
      </c>
      <c r="D81" s="8" t="str">
        <f>'08_GDE_RISK_ENGINE'!D81</f>
        <v>CL-BOPUT-PAB-COOLINGWATER-SS316L-L-T1_BELOW_80C</v>
      </c>
      <c r="E81" s="8">
        <f>'08_GDE_RISK_ENGINE'!E81</f>
        <v>2</v>
      </c>
      <c r="F81" s="8">
        <f>'08_GDE_RISK_ENGINE'!F81</f>
        <v>3</v>
      </c>
      <c r="G81" s="8" t="str">
        <f>'08_GDE_RISK_ENGINE'!G81</f>
        <v>High</v>
      </c>
      <c r="H81" s="8">
        <f>IF(A81="","",MIN(5,E81+'14_GDE_RISK_MATRIX_DASHBOARD'!$C$6))</f>
        <v>3</v>
      </c>
      <c r="I81" s="8">
        <f>IF(A81="","",MAX(1,E81-'14_GDE_RISK_MATRIX_DASHBOARD'!$C$7))</f>
        <v>1</v>
      </c>
      <c r="J81" s="8" t="str">
        <f t="shared" si="2"/>
        <v>High</v>
      </c>
      <c r="K81" s="8" t="str">
        <f t="shared" si="3"/>
        <v>Medium</v>
      </c>
    </row>
    <row r="82" ht="43.5" spans="1:11">
      <c r="A82" s="8" t="str">
        <f>'08_GDE_RISK_ENGINE'!A82</f>
        <v>P2PAB08 BR007</v>
      </c>
      <c r="B82" s="8" t="str">
        <f>'08_GDE_RISK_ENGINE'!B82</f>
        <v>Piping</v>
      </c>
      <c r="C82" s="8" t="str">
        <f>'08_GDE_RISK_ENGINE'!C82</f>
        <v>BOP/Utility</v>
      </c>
      <c r="D82" s="8" t="str">
        <f>'08_GDE_RISK_ENGINE'!D82</f>
        <v>CL-BOPUT-PAB-COOLINGWATER-SS316L-L-T1_BELOW_80C</v>
      </c>
      <c r="E82" s="8">
        <f>'08_GDE_RISK_ENGINE'!E82</f>
        <v>2</v>
      </c>
      <c r="F82" s="8">
        <f>'08_GDE_RISK_ENGINE'!F82</f>
        <v>3</v>
      </c>
      <c r="G82" s="8" t="str">
        <f>'08_GDE_RISK_ENGINE'!G82</f>
        <v>High</v>
      </c>
      <c r="H82" s="8">
        <f>IF(A82="","",MIN(5,E82+'14_GDE_RISK_MATRIX_DASHBOARD'!$C$6))</f>
        <v>3</v>
      </c>
      <c r="I82" s="8">
        <f>IF(A82="","",MAX(1,E82-'14_GDE_RISK_MATRIX_DASHBOARD'!$C$7))</f>
        <v>1</v>
      </c>
      <c r="J82" s="8" t="str">
        <f t="shared" si="2"/>
        <v>High</v>
      </c>
      <c r="K82" s="8" t="str">
        <f t="shared" si="3"/>
        <v>Medium</v>
      </c>
    </row>
    <row r="83" ht="43.5" spans="1:11">
      <c r="A83" s="8" t="str">
        <f>'08_GDE_RISK_ENGINE'!A83</f>
        <v>P2PAB08 BR008</v>
      </c>
      <c r="B83" s="8" t="str">
        <f>'08_GDE_RISK_ENGINE'!B83</f>
        <v>Piping</v>
      </c>
      <c r="C83" s="8" t="str">
        <f>'08_GDE_RISK_ENGINE'!C83</f>
        <v>BOP/Utility</v>
      </c>
      <c r="D83" s="8" t="str">
        <f>'08_GDE_RISK_ENGINE'!D83</f>
        <v>CL-BOPUT-PAB-COOLINGWATER-SS316L-L-T1_BELOW_80C</v>
      </c>
      <c r="E83" s="8">
        <f>'08_GDE_RISK_ENGINE'!E83</f>
        <v>2</v>
      </c>
      <c r="F83" s="8">
        <f>'08_GDE_RISK_ENGINE'!F83</f>
        <v>3</v>
      </c>
      <c r="G83" s="8" t="str">
        <f>'08_GDE_RISK_ENGINE'!G83</f>
        <v>High</v>
      </c>
      <c r="H83" s="8">
        <f>IF(A83="","",MIN(5,E83+'14_GDE_RISK_MATRIX_DASHBOARD'!$C$6))</f>
        <v>3</v>
      </c>
      <c r="I83" s="8">
        <f>IF(A83="","",MAX(1,E83-'14_GDE_RISK_MATRIX_DASHBOARD'!$C$7))</f>
        <v>1</v>
      </c>
      <c r="J83" s="8" t="str">
        <f t="shared" si="2"/>
        <v>High</v>
      </c>
      <c r="K83" s="8" t="str">
        <f t="shared" si="3"/>
        <v>Medium</v>
      </c>
    </row>
    <row r="84" ht="43.5" spans="1:11">
      <c r="A84" s="8" t="str">
        <f>'08_GDE_RISK_ENGINE'!A84</f>
        <v>P2LCM01 BR016</v>
      </c>
      <c r="B84" s="8" t="str">
        <f>'08_GDE_RISK_ENGINE'!B84</f>
        <v>Piping</v>
      </c>
      <c r="C84" s="8" t="str">
        <f>'08_GDE_RISK_ENGINE'!C84</f>
        <v>SAGS</v>
      </c>
      <c r="D84" s="8" t="str">
        <f>'08_GDE_RISK_ENGINE'!D84</f>
        <v>CL-SAGS-LCM-CONDENSATE-CS-L-T1_BELOW_80C</v>
      </c>
      <c r="E84" s="8">
        <f>'08_GDE_RISK_ENGINE'!E84</f>
        <v>4</v>
      </c>
      <c r="F84" s="8">
        <f>'08_GDE_RISK_ENGINE'!F84</f>
        <v>2</v>
      </c>
      <c r="G84" s="8" t="str">
        <f>'08_GDE_RISK_ENGINE'!G84</f>
        <v>High</v>
      </c>
      <c r="H84" s="8">
        <f>IF(A84="","",MIN(5,E84+'14_GDE_RISK_MATRIX_DASHBOARD'!$C$6))</f>
        <v>5</v>
      </c>
      <c r="I84" s="8">
        <f>IF(A84="","",MAX(1,E84-'14_GDE_RISK_MATRIX_DASHBOARD'!$C$7))</f>
        <v>3</v>
      </c>
      <c r="J84" s="8" t="str">
        <f t="shared" si="2"/>
        <v>Medium</v>
      </c>
      <c r="K84" s="8" t="str">
        <f t="shared" si="3"/>
        <v>Medium</v>
      </c>
    </row>
    <row r="85" ht="29" spans="1:11">
      <c r="A85" s="8" t="str">
        <f>'08_GDE_RISK_ENGINE'!A85</f>
        <v>P2LBF10 BR001</v>
      </c>
      <c r="B85" s="8" t="str">
        <f>'08_GDE_RISK_ENGINE'!B85</f>
        <v>Piping</v>
      </c>
      <c r="C85" s="8" t="str">
        <f>'08_GDE_RISK_ENGINE'!C85</f>
        <v>SAGS</v>
      </c>
      <c r="D85" s="8" t="str">
        <f>'08_GDE_RISK_ENGINE'!D85</f>
        <v>CL-SAGS-LBF-STEAM-CS-V-T3_150C_PLUS</v>
      </c>
      <c r="E85" s="8">
        <f>'08_GDE_RISK_ENGINE'!E85</f>
        <v>2</v>
      </c>
      <c r="F85" s="8">
        <f>'08_GDE_RISK_ENGINE'!F85</f>
        <v>2</v>
      </c>
      <c r="G85" s="8" t="str">
        <f>'08_GDE_RISK_ENGINE'!G85</f>
        <v>Medium</v>
      </c>
      <c r="H85" s="8">
        <f>IF(A85="","",MIN(5,E85+'14_GDE_RISK_MATRIX_DASHBOARD'!$C$6))</f>
        <v>3</v>
      </c>
      <c r="I85" s="8">
        <f>IF(A85="","",MAX(1,E85-'14_GDE_RISK_MATRIX_DASHBOARD'!$C$7))</f>
        <v>1</v>
      </c>
      <c r="J85" s="8" t="str">
        <f t="shared" si="2"/>
        <v>Medium</v>
      </c>
      <c r="K85" s="8" t="str">
        <f t="shared" si="3"/>
        <v>Medium</v>
      </c>
    </row>
    <row r="86" ht="29" spans="1:11">
      <c r="A86" s="8" t="str">
        <f>'08_GDE_RISK_ENGINE'!A86</f>
        <v>P2LBF10 BR002</v>
      </c>
      <c r="B86" s="8" t="str">
        <f>'08_GDE_RISK_ENGINE'!B86</f>
        <v>Piping</v>
      </c>
      <c r="C86" s="8" t="str">
        <f>'08_GDE_RISK_ENGINE'!C86</f>
        <v>SAGS</v>
      </c>
      <c r="D86" s="8" t="str">
        <f>'08_GDE_RISK_ENGINE'!D86</f>
        <v>CL-SAGS-LBF-STEAM-CS-V-T3_150C_PLUS</v>
      </c>
      <c r="E86" s="8">
        <f>'08_GDE_RISK_ENGINE'!E86</f>
        <v>2</v>
      </c>
      <c r="F86" s="8">
        <f>'08_GDE_RISK_ENGINE'!F86</f>
        <v>2</v>
      </c>
      <c r="G86" s="8" t="str">
        <f>'08_GDE_RISK_ENGINE'!G86</f>
        <v>Medium</v>
      </c>
      <c r="H86" s="8">
        <f>IF(A86="","",MIN(5,E86+'14_GDE_RISK_MATRIX_DASHBOARD'!$C$6))</f>
        <v>3</v>
      </c>
      <c r="I86" s="8">
        <f>IF(A86="","",MAX(1,E86-'14_GDE_RISK_MATRIX_DASHBOARD'!$C$7))</f>
        <v>1</v>
      </c>
      <c r="J86" s="8" t="str">
        <f t="shared" si="2"/>
        <v>Medium</v>
      </c>
      <c r="K86" s="8" t="str">
        <f t="shared" si="3"/>
        <v>Medium</v>
      </c>
    </row>
    <row r="87" ht="29" spans="1:11">
      <c r="A87" s="8" t="str">
        <f>'08_GDE_RISK_ENGINE'!A87</f>
        <v>P2LBF10 BR014</v>
      </c>
      <c r="B87" s="8" t="str">
        <f>'08_GDE_RISK_ENGINE'!B87</f>
        <v>Piping</v>
      </c>
      <c r="C87" s="8" t="str">
        <f>'08_GDE_RISK_ENGINE'!C87</f>
        <v>SAGS</v>
      </c>
      <c r="D87" s="8" t="str">
        <f>'08_GDE_RISK_ENGINE'!D87</f>
        <v>CL-SAGS-LBF-STEAM-CS-V-T3_150C_PLUS</v>
      </c>
      <c r="E87" s="8">
        <f>'08_GDE_RISK_ENGINE'!E87</f>
        <v>2</v>
      </c>
      <c r="F87" s="8">
        <f>'08_GDE_RISK_ENGINE'!F87</f>
        <v>2</v>
      </c>
      <c r="G87" s="8" t="str">
        <f>'08_GDE_RISK_ENGINE'!G87</f>
        <v>Medium</v>
      </c>
      <c r="H87" s="8">
        <f>IF(A87="","",MIN(5,E87+'14_GDE_RISK_MATRIX_DASHBOARD'!$C$6))</f>
        <v>3</v>
      </c>
      <c r="I87" s="8">
        <f>IF(A87="","",MAX(1,E87-'14_GDE_RISK_MATRIX_DASHBOARD'!$C$7))</f>
        <v>1</v>
      </c>
      <c r="J87" s="8" t="str">
        <f t="shared" si="2"/>
        <v>Medium</v>
      </c>
      <c r="K87" s="8" t="str">
        <f t="shared" si="3"/>
        <v>Medium</v>
      </c>
    </row>
    <row r="88" ht="29" spans="1:11">
      <c r="A88" s="8" t="str">
        <f>'08_GDE_RISK_ENGINE'!A88</f>
        <v>P2LBF10 BR003</v>
      </c>
      <c r="B88" s="8" t="str">
        <f>'08_GDE_RISK_ENGINE'!B88</f>
        <v>Piping</v>
      </c>
      <c r="C88" s="8" t="str">
        <f>'08_GDE_RISK_ENGINE'!C88</f>
        <v>SAGS</v>
      </c>
      <c r="D88" s="8" t="str">
        <f>'08_GDE_RISK_ENGINE'!D88</f>
        <v>CL-SAGS-LBF-STEAM-CS-V-T3_150C_PLUS</v>
      </c>
      <c r="E88" s="8">
        <f>'08_GDE_RISK_ENGINE'!E88</f>
        <v>2</v>
      </c>
      <c r="F88" s="8">
        <f>'08_GDE_RISK_ENGINE'!F88</f>
        <v>2</v>
      </c>
      <c r="G88" s="8" t="str">
        <f>'08_GDE_RISK_ENGINE'!G88</f>
        <v>Medium</v>
      </c>
      <c r="H88" s="8">
        <f>IF(A88="","",MIN(5,E88+'14_GDE_RISK_MATRIX_DASHBOARD'!$C$6))</f>
        <v>3</v>
      </c>
      <c r="I88" s="8">
        <f>IF(A88="","",MAX(1,E88-'14_GDE_RISK_MATRIX_DASHBOARD'!$C$7))</f>
        <v>1</v>
      </c>
      <c r="J88" s="8" t="str">
        <f t="shared" si="2"/>
        <v>Medium</v>
      </c>
      <c r="K88" s="8" t="str">
        <f t="shared" si="3"/>
        <v>Medium</v>
      </c>
    </row>
    <row r="89" ht="29" spans="1:11">
      <c r="A89" s="8" t="str">
        <f>'08_GDE_RISK_ENGINE'!A89</f>
        <v>P2LBF10 BR004</v>
      </c>
      <c r="B89" s="8" t="str">
        <f>'08_GDE_RISK_ENGINE'!B89</f>
        <v>Piping</v>
      </c>
      <c r="C89" s="8" t="str">
        <f>'08_GDE_RISK_ENGINE'!C89</f>
        <v>SAGS</v>
      </c>
      <c r="D89" s="8" t="str">
        <f>'08_GDE_RISK_ENGINE'!D89</f>
        <v>CL-SAGS-LBF-STEAM-CS-V-T3_150C_PLUS</v>
      </c>
      <c r="E89" s="8">
        <f>'08_GDE_RISK_ENGINE'!E89</f>
        <v>2</v>
      </c>
      <c r="F89" s="8">
        <f>'08_GDE_RISK_ENGINE'!F89</f>
        <v>2</v>
      </c>
      <c r="G89" s="8" t="str">
        <f>'08_GDE_RISK_ENGINE'!G89</f>
        <v>Medium</v>
      </c>
      <c r="H89" s="8">
        <f>IF(A89="","",MIN(5,E89+'14_GDE_RISK_MATRIX_DASHBOARD'!$C$6))</f>
        <v>3</v>
      </c>
      <c r="I89" s="8">
        <f>IF(A89="","",MAX(1,E89-'14_GDE_RISK_MATRIX_DASHBOARD'!$C$7))</f>
        <v>1</v>
      </c>
      <c r="J89" s="8" t="str">
        <f t="shared" si="2"/>
        <v>Medium</v>
      </c>
      <c r="K89" s="8" t="str">
        <f t="shared" si="3"/>
        <v>Medium</v>
      </c>
    </row>
    <row r="90" ht="29" spans="1:11">
      <c r="A90" s="8" t="str">
        <f>'08_GDE_RISK_ENGINE'!A90</f>
        <v>P2LBF10 BR015</v>
      </c>
      <c r="B90" s="8" t="str">
        <f>'08_GDE_RISK_ENGINE'!B90</f>
        <v>Piping</v>
      </c>
      <c r="C90" s="8" t="str">
        <f>'08_GDE_RISK_ENGINE'!C90</f>
        <v>SAGS</v>
      </c>
      <c r="D90" s="8" t="str">
        <f>'08_GDE_RISK_ENGINE'!D90</f>
        <v>CL-SAGS-LBF-STEAM-CS-V-T3_150C_PLUS</v>
      </c>
      <c r="E90" s="8">
        <f>'08_GDE_RISK_ENGINE'!E90</f>
        <v>2</v>
      </c>
      <c r="F90" s="8">
        <f>'08_GDE_RISK_ENGINE'!F90</f>
        <v>2</v>
      </c>
      <c r="G90" s="8" t="str">
        <f>'08_GDE_RISK_ENGINE'!G90</f>
        <v>Medium</v>
      </c>
      <c r="H90" s="8">
        <f>IF(A90="","",MIN(5,E90+'14_GDE_RISK_MATRIX_DASHBOARD'!$C$6))</f>
        <v>3</v>
      </c>
      <c r="I90" s="8">
        <f>IF(A90="","",MAX(1,E90-'14_GDE_RISK_MATRIX_DASHBOARD'!$C$7))</f>
        <v>1</v>
      </c>
      <c r="J90" s="8" t="str">
        <f t="shared" si="2"/>
        <v>Medium</v>
      </c>
      <c r="K90" s="8" t="str">
        <f t="shared" si="3"/>
        <v>Medium</v>
      </c>
    </row>
    <row r="91" ht="29" spans="1:11">
      <c r="A91" s="8" t="str">
        <f>'08_GDE_RISK_ENGINE'!A91</f>
        <v>P2LBF10 BR005</v>
      </c>
      <c r="B91" s="8" t="str">
        <f>'08_GDE_RISK_ENGINE'!B91</f>
        <v>Piping</v>
      </c>
      <c r="C91" s="8" t="str">
        <f>'08_GDE_RISK_ENGINE'!C91</f>
        <v>SAGS</v>
      </c>
      <c r="D91" s="8" t="str">
        <f>'08_GDE_RISK_ENGINE'!D91</f>
        <v>CL-SAGS-LBF-STEAM-CS-V-T3_150C_PLUS</v>
      </c>
      <c r="E91" s="8">
        <f>'08_GDE_RISK_ENGINE'!E91</f>
        <v>2</v>
      </c>
      <c r="F91" s="8">
        <f>'08_GDE_RISK_ENGINE'!F91</f>
        <v>2</v>
      </c>
      <c r="G91" s="8" t="str">
        <f>'08_GDE_RISK_ENGINE'!G91</f>
        <v>Medium</v>
      </c>
      <c r="H91" s="8">
        <f>IF(A91="","",MIN(5,E91+'14_GDE_RISK_MATRIX_DASHBOARD'!$C$6))</f>
        <v>3</v>
      </c>
      <c r="I91" s="8">
        <f>IF(A91="","",MAX(1,E91-'14_GDE_RISK_MATRIX_DASHBOARD'!$C$7))</f>
        <v>1</v>
      </c>
      <c r="J91" s="8" t="str">
        <f t="shared" si="2"/>
        <v>Medium</v>
      </c>
      <c r="K91" s="8" t="str">
        <f t="shared" si="3"/>
        <v>Medium</v>
      </c>
    </row>
    <row r="92" ht="29" spans="1:11">
      <c r="A92" s="8" t="str">
        <f>'08_GDE_RISK_ENGINE'!A92</f>
        <v>P2LBF10 BR006</v>
      </c>
      <c r="B92" s="8" t="str">
        <f>'08_GDE_RISK_ENGINE'!B92</f>
        <v>Piping</v>
      </c>
      <c r="C92" s="8" t="str">
        <f>'08_GDE_RISK_ENGINE'!C92</f>
        <v>SAGS</v>
      </c>
      <c r="D92" s="8" t="str">
        <f>'08_GDE_RISK_ENGINE'!D92</f>
        <v>CL-SAGS-LBF-STEAM-CS-V-T3_150C_PLUS</v>
      </c>
      <c r="E92" s="8">
        <f>'08_GDE_RISK_ENGINE'!E92</f>
        <v>2</v>
      </c>
      <c r="F92" s="8">
        <f>'08_GDE_RISK_ENGINE'!F92</f>
        <v>2</v>
      </c>
      <c r="G92" s="8" t="str">
        <f>'08_GDE_RISK_ENGINE'!G92</f>
        <v>Medium</v>
      </c>
      <c r="H92" s="8">
        <f>IF(A92="","",MIN(5,E92+'14_GDE_RISK_MATRIX_DASHBOARD'!$C$6))</f>
        <v>3</v>
      </c>
      <c r="I92" s="8">
        <f>IF(A92="","",MAX(1,E92-'14_GDE_RISK_MATRIX_DASHBOARD'!$C$7))</f>
        <v>1</v>
      </c>
      <c r="J92" s="8" t="str">
        <f t="shared" si="2"/>
        <v>Medium</v>
      </c>
      <c r="K92" s="8" t="str">
        <f t="shared" si="3"/>
        <v>Medium</v>
      </c>
    </row>
    <row r="93" ht="29" spans="1:11">
      <c r="A93" s="8" t="str">
        <f>'08_GDE_RISK_ENGINE'!A93</f>
        <v>P2LBF10 BR016</v>
      </c>
      <c r="B93" s="8" t="str">
        <f>'08_GDE_RISK_ENGINE'!B93</f>
        <v>Piping</v>
      </c>
      <c r="C93" s="8" t="str">
        <f>'08_GDE_RISK_ENGINE'!C93</f>
        <v>SAGS</v>
      </c>
      <c r="D93" s="8" t="str">
        <f>'08_GDE_RISK_ENGINE'!D93</f>
        <v>CL-SAGS-LBF-STEAM-CS-V-T3_150C_PLUS</v>
      </c>
      <c r="E93" s="8">
        <f>'08_GDE_RISK_ENGINE'!E93</f>
        <v>2</v>
      </c>
      <c r="F93" s="8">
        <f>'08_GDE_RISK_ENGINE'!F93</f>
        <v>2</v>
      </c>
      <c r="G93" s="8" t="str">
        <f>'08_GDE_RISK_ENGINE'!G93</f>
        <v>Medium</v>
      </c>
      <c r="H93" s="8">
        <f>IF(A93="","",MIN(5,E93+'14_GDE_RISK_MATRIX_DASHBOARD'!$C$6))</f>
        <v>3</v>
      </c>
      <c r="I93" s="8">
        <f>IF(A93="","",MAX(1,E93-'14_GDE_RISK_MATRIX_DASHBOARD'!$C$7))</f>
        <v>1</v>
      </c>
      <c r="J93" s="8" t="str">
        <f t="shared" si="2"/>
        <v>Medium</v>
      </c>
      <c r="K93" s="8" t="str">
        <f t="shared" si="3"/>
        <v>Medium</v>
      </c>
    </row>
    <row r="94" ht="43.5" spans="1:11">
      <c r="A94" s="8" t="str">
        <f>'08_GDE_RISK_ENGINE'!A94</f>
        <v>P2LBF10 BR401</v>
      </c>
      <c r="B94" s="8" t="str">
        <f>'08_GDE_RISK_ENGINE'!B94</f>
        <v>Piping</v>
      </c>
      <c r="C94" s="8" t="str">
        <f>'08_GDE_RISK_ENGINE'!C94</f>
        <v>SAGS</v>
      </c>
      <c r="D94" s="8" t="str">
        <f>'08_GDE_RISK_ENGINE'!D94</f>
        <v>CL-SAGS-LBF-CONDENSATE-CS-L-T1_BELOW_80C</v>
      </c>
      <c r="E94" s="8">
        <f>'08_GDE_RISK_ENGINE'!E94</f>
        <v>4</v>
      </c>
      <c r="F94" s="8">
        <f>'08_GDE_RISK_ENGINE'!F94</f>
        <v>2</v>
      </c>
      <c r="G94" s="8" t="str">
        <f>'08_GDE_RISK_ENGINE'!G94</f>
        <v>High</v>
      </c>
      <c r="H94" s="8">
        <f>IF(A94="","",MIN(5,E94+'14_GDE_RISK_MATRIX_DASHBOARD'!$C$6))</f>
        <v>5</v>
      </c>
      <c r="I94" s="8">
        <f>IF(A94="","",MAX(1,E94-'14_GDE_RISK_MATRIX_DASHBOARD'!$C$7))</f>
        <v>3</v>
      </c>
      <c r="J94" s="8" t="str">
        <f t="shared" si="2"/>
        <v>Medium</v>
      </c>
      <c r="K94" s="8" t="str">
        <f t="shared" si="3"/>
        <v>Medium</v>
      </c>
    </row>
    <row r="95" ht="43.5" spans="1:11">
      <c r="A95" s="8" t="str">
        <f>'08_GDE_RISK_ENGINE'!A95</f>
        <v>P2LBF10 BR402</v>
      </c>
      <c r="B95" s="8" t="str">
        <f>'08_GDE_RISK_ENGINE'!B95</f>
        <v>Piping</v>
      </c>
      <c r="C95" s="8" t="str">
        <f>'08_GDE_RISK_ENGINE'!C95</f>
        <v>SAGS</v>
      </c>
      <c r="D95" s="8" t="str">
        <f>'08_GDE_RISK_ENGINE'!D95</f>
        <v>CL-SAGS-LBF-CONDENSATE-CS-L-T1_BELOW_80C</v>
      </c>
      <c r="E95" s="8">
        <f>'08_GDE_RISK_ENGINE'!E95</f>
        <v>4</v>
      </c>
      <c r="F95" s="8">
        <f>'08_GDE_RISK_ENGINE'!F95</f>
        <v>2</v>
      </c>
      <c r="G95" s="8" t="str">
        <f>'08_GDE_RISK_ENGINE'!G95</f>
        <v>High</v>
      </c>
      <c r="H95" s="8">
        <f>IF(A95="","",MIN(5,E95+'14_GDE_RISK_MATRIX_DASHBOARD'!$C$6))</f>
        <v>5</v>
      </c>
      <c r="I95" s="8">
        <f>IF(A95="","",MAX(1,E95-'14_GDE_RISK_MATRIX_DASHBOARD'!$C$7))</f>
        <v>3</v>
      </c>
      <c r="J95" s="8" t="str">
        <f t="shared" si="2"/>
        <v>Medium</v>
      </c>
      <c r="K95" s="8" t="str">
        <f t="shared" si="3"/>
        <v>Medium</v>
      </c>
    </row>
    <row r="96" ht="43.5" spans="1:11">
      <c r="A96" s="8" t="str">
        <f>'08_GDE_RISK_ENGINE'!A96</f>
        <v>P2LBF10 BR403</v>
      </c>
      <c r="B96" s="8" t="str">
        <f>'08_GDE_RISK_ENGINE'!B96</f>
        <v>Piping</v>
      </c>
      <c r="C96" s="8" t="str">
        <f>'08_GDE_RISK_ENGINE'!C96</f>
        <v>SAGS</v>
      </c>
      <c r="D96" s="8" t="str">
        <f>'08_GDE_RISK_ENGINE'!D96</f>
        <v>CL-SAGS-LBF-CONDENSATE-CS-L-T1_BELOW_80C</v>
      </c>
      <c r="E96" s="8">
        <f>'08_GDE_RISK_ENGINE'!E96</f>
        <v>4</v>
      </c>
      <c r="F96" s="8">
        <f>'08_GDE_RISK_ENGINE'!F96</f>
        <v>2</v>
      </c>
      <c r="G96" s="8" t="str">
        <f>'08_GDE_RISK_ENGINE'!G96</f>
        <v>High</v>
      </c>
      <c r="H96" s="8">
        <f>IF(A96="","",MIN(5,E96+'14_GDE_RISK_MATRIX_DASHBOARD'!$C$6))</f>
        <v>5</v>
      </c>
      <c r="I96" s="8">
        <f>IF(A96="","",MAX(1,E96-'14_GDE_RISK_MATRIX_DASHBOARD'!$C$7))</f>
        <v>3</v>
      </c>
      <c r="J96" s="8" t="str">
        <f t="shared" si="2"/>
        <v>Medium</v>
      </c>
      <c r="K96" s="8" t="str">
        <f t="shared" si="3"/>
        <v>Medium</v>
      </c>
    </row>
    <row r="97" ht="43.5" spans="1:11">
      <c r="A97" s="8" t="str">
        <f>'08_GDE_RISK_ENGINE'!A97</f>
        <v>P2LBF10 BR405</v>
      </c>
      <c r="B97" s="8" t="str">
        <f>'08_GDE_RISK_ENGINE'!B97</f>
        <v>Piping</v>
      </c>
      <c r="C97" s="8" t="str">
        <f>'08_GDE_RISK_ENGINE'!C97</f>
        <v>SAGS</v>
      </c>
      <c r="D97" s="8" t="str">
        <f>'08_GDE_RISK_ENGINE'!D97</f>
        <v>CL-SAGS-LBF-CONDENSATE-CS-L-T1_BELOW_80C</v>
      </c>
      <c r="E97" s="8">
        <f>'08_GDE_RISK_ENGINE'!E97</f>
        <v>4</v>
      </c>
      <c r="F97" s="8">
        <f>'08_GDE_RISK_ENGINE'!F97</f>
        <v>2</v>
      </c>
      <c r="G97" s="8" t="str">
        <f>'08_GDE_RISK_ENGINE'!G97</f>
        <v>High</v>
      </c>
      <c r="H97" s="8">
        <f>IF(A97="","",MIN(5,E97+'14_GDE_RISK_MATRIX_DASHBOARD'!$C$6))</f>
        <v>5</v>
      </c>
      <c r="I97" s="8">
        <f>IF(A97="","",MAX(1,E97-'14_GDE_RISK_MATRIX_DASHBOARD'!$C$7))</f>
        <v>3</v>
      </c>
      <c r="J97" s="8" t="str">
        <f t="shared" si="2"/>
        <v>Medium</v>
      </c>
      <c r="K97" s="8" t="str">
        <f t="shared" si="3"/>
        <v>Medium</v>
      </c>
    </row>
    <row r="98" ht="29" spans="1:11">
      <c r="A98" s="8" t="str">
        <f>'08_GDE_RISK_ENGINE'!A98</f>
        <v>P2LBA10 BR009</v>
      </c>
      <c r="B98" s="8" t="str">
        <f>'08_GDE_RISK_ENGINE'!B98</f>
        <v>Piping</v>
      </c>
      <c r="C98" s="8" t="str">
        <f>'08_GDE_RISK_ENGINE'!C98</f>
        <v>SAGS</v>
      </c>
      <c r="D98" s="8" t="str">
        <f>'08_GDE_RISK_ENGINE'!D98</f>
        <v>CL-SAGS-LBA-STEAM-CS-V-T3_150C_PLUS</v>
      </c>
      <c r="E98" s="8">
        <f>'08_GDE_RISK_ENGINE'!E98</f>
        <v>2</v>
      </c>
      <c r="F98" s="8">
        <f>'08_GDE_RISK_ENGINE'!F98</f>
        <v>5</v>
      </c>
      <c r="G98" s="8" t="str">
        <f>'08_GDE_RISK_ENGINE'!G98</f>
        <v>High</v>
      </c>
      <c r="H98" s="8">
        <f>IF(A98="","",MIN(5,E98+'14_GDE_RISK_MATRIX_DASHBOARD'!$C$6))</f>
        <v>3</v>
      </c>
      <c r="I98" s="8">
        <f>IF(A98="","",MAX(1,E98-'14_GDE_RISK_MATRIX_DASHBOARD'!$C$7))</f>
        <v>1</v>
      </c>
      <c r="J98" s="8" t="str">
        <f t="shared" si="2"/>
        <v>High</v>
      </c>
      <c r="K98" s="8" t="str">
        <f t="shared" si="3"/>
        <v>Medium</v>
      </c>
    </row>
    <row r="99" ht="43.5" spans="1:11">
      <c r="A99" s="8" t="str">
        <f>'08_GDE_RISK_ENGINE'!A99</f>
        <v>P2LCA10 BR017</v>
      </c>
      <c r="B99" s="8" t="str">
        <f>'08_GDE_RISK_ENGINE'!B99</f>
        <v>Piping</v>
      </c>
      <c r="C99" s="8" t="str">
        <f>'08_GDE_RISK_ENGINE'!C99</f>
        <v>BOP/Utility</v>
      </c>
      <c r="D99" s="8" t="str">
        <f>'08_GDE_RISK_ENGINE'!D99</f>
        <v>CL-BOPUT-LCA-CONDENSATE-CS-L-T1_BELOW_80C</v>
      </c>
      <c r="E99" s="8">
        <f>'08_GDE_RISK_ENGINE'!E99</f>
        <v>4</v>
      </c>
      <c r="F99" s="8">
        <f>'08_GDE_RISK_ENGINE'!F99</f>
        <v>2</v>
      </c>
      <c r="G99" s="8" t="str">
        <f>'08_GDE_RISK_ENGINE'!G99</f>
        <v>High</v>
      </c>
      <c r="H99" s="8">
        <f>IF(A99="","",MIN(5,E99+'14_GDE_RISK_MATRIX_DASHBOARD'!$C$6))</f>
        <v>5</v>
      </c>
      <c r="I99" s="8">
        <f>IF(A99="","",MAX(1,E99-'14_GDE_RISK_MATRIX_DASHBOARD'!$C$7))</f>
        <v>3</v>
      </c>
      <c r="J99" s="8" t="str">
        <f t="shared" si="2"/>
        <v>Medium</v>
      </c>
      <c r="K99" s="8" t="str">
        <f t="shared" si="3"/>
        <v>Medium</v>
      </c>
    </row>
    <row r="100" ht="43.5" spans="1:11">
      <c r="A100" s="8" t="str">
        <f>'08_GDE_RISK_ENGINE'!A100</f>
        <v>P2LCA10 BR018</v>
      </c>
      <c r="B100" s="8" t="str">
        <f>'08_GDE_RISK_ENGINE'!B100</f>
        <v>Piping</v>
      </c>
      <c r="C100" s="8" t="str">
        <f>'08_GDE_RISK_ENGINE'!C100</f>
        <v>BOP/Utility</v>
      </c>
      <c r="D100" s="8" t="str">
        <f>'08_GDE_RISK_ENGINE'!D100</f>
        <v>CL-BOPUT-LCA-CONDENSATE-CS-L-T1_BELOW_80C</v>
      </c>
      <c r="E100" s="8">
        <f>'08_GDE_RISK_ENGINE'!E100</f>
        <v>4</v>
      </c>
      <c r="F100" s="8">
        <f>'08_GDE_RISK_ENGINE'!F100</f>
        <v>2</v>
      </c>
      <c r="G100" s="8" t="str">
        <f>'08_GDE_RISK_ENGINE'!G100</f>
        <v>High</v>
      </c>
      <c r="H100" s="8">
        <f>IF(A100="","",MIN(5,E100+'14_GDE_RISK_MATRIX_DASHBOARD'!$C$6))</f>
        <v>5</v>
      </c>
      <c r="I100" s="8">
        <f>IF(A100="","",MAX(1,E100-'14_GDE_RISK_MATRIX_DASHBOARD'!$C$7))</f>
        <v>3</v>
      </c>
      <c r="J100" s="8" t="str">
        <f t="shared" si="2"/>
        <v>Medium</v>
      </c>
      <c r="K100" s="8" t="str">
        <f t="shared" si="3"/>
        <v>Medium</v>
      </c>
    </row>
    <row r="101" ht="43.5" spans="1:11">
      <c r="A101" s="8" t="str">
        <f>'08_GDE_RISK_ENGINE'!A101</f>
        <v>P2LCA10 BR019</v>
      </c>
      <c r="B101" s="8" t="str">
        <f>'08_GDE_RISK_ENGINE'!B101</f>
        <v>Piping</v>
      </c>
      <c r="C101" s="8" t="str">
        <f>'08_GDE_RISK_ENGINE'!C101</f>
        <v>BOP/Utility</v>
      </c>
      <c r="D101" s="8" t="str">
        <f>'08_GDE_RISK_ENGINE'!D101</f>
        <v>CL-BOPUT-LCA-CONDENSATE-CS-L-T1_BELOW_80C</v>
      </c>
      <c r="E101" s="8">
        <f>'08_GDE_RISK_ENGINE'!E101</f>
        <v>4</v>
      </c>
      <c r="F101" s="8">
        <f>'08_GDE_RISK_ENGINE'!F101</f>
        <v>2</v>
      </c>
      <c r="G101" s="8" t="str">
        <f>'08_GDE_RISK_ENGINE'!G101</f>
        <v>High</v>
      </c>
      <c r="H101" s="8">
        <f>IF(A101="","",MIN(5,E101+'14_GDE_RISK_MATRIX_DASHBOARD'!$C$6))</f>
        <v>5</v>
      </c>
      <c r="I101" s="8">
        <f>IF(A101="","",MAX(1,E101-'14_GDE_RISK_MATRIX_DASHBOARD'!$C$7))</f>
        <v>3</v>
      </c>
      <c r="J101" s="8" t="str">
        <f t="shared" si="2"/>
        <v>Medium</v>
      </c>
      <c r="K101" s="8" t="str">
        <f t="shared" si="3"/>
        <v>Medium</v>
      </c>
    </row>
    <row r="102" ht="29" spans="1:11">
      <c r="A102" s="8" t="str">
        <f>'08_GDE_RISK_ENGINE'!A102</f>
        <v>P2LBG01 BR001</v>
      </c>
      <c r="B102" s="8" t="str">
        <f>'08_GDE_RISK_ENGINE'!B102</f>
        <v>Piping</v>
      </c>
      <c r="C102" s="8" t="str">
        <f>'08_GDE_RISK_ENGINE'!C102</f>
        <v>Power Block</v>
      </c>
      <c r="D102" s="8" t="str">
        <f>'08_GDE_RISK_ENGINE'!D102</f>
        <v>CL-POWER-LBG-STEAM-CS-V-T1_BELOW_80C</v>
      </c>
      <c r="E102" s="8">
        <f>'08_GDE_RISK_ENGINE'!E102</f>
        <v>2</v>
      </c>
      <c r="F102" s="8">
        <f>'08_GDE_RISK_ENGINE'!F102</f>
        <v>4</v>
      </c>
      <c r="G102" s="8" t="str">
        <f>'08_GDE_RISK_ENGINE'!G102</f>
        <v>High</v>
      </c>
      <c r="H102" s="8">
        <f>IF(A102="","",MIN(5,E102+'14_GDE_RISK_MATRIX_DASHBOARD'!$C$6))</f>
        <v>3</v>
      </c>
      <c r="I102" s="8">
        <f>IF(A102="","",MAX(1,E102-'14_GDE_RISK_MATRIX_DASHBOARD'!$C$7))</f>
        <v>1</v>
      </c>
      <c r="J102" s="8" t="str">
        <f t="shared" si="2"/>
        <v>High</v>
      </c>
      <c r="K102" s="8" t="str">
        <f t="shared" si="3"/>
        <v>Medium</v>
      </c>
    </row>
    <row r="103" ht="29" spans="1:11">
      <c r="A103" s="8" t="str">
        <f>'08_GDE_RISK_ENGINE'!A103</f>
        <v>P2LBA09 BR004</v>
      </c>
      <c r="B103" s="8" t="str">
        <f>'08_GDE_RISK_ENGINE'!B103</f>
        <v>Piping</v>
      </c>
      <c r="C103" s="8" t="str">
        <f>'08_GDE_RISK_ENGINE'!C103</f>
        <v>SAGS</v>
      </c>
      <c r="D103" s="8" t="str">
        <f>'08_GDE_RISK_ENGINE'!D103</f>
        <v>CL-SAGS-LBA-STEAM-CS-V-T1_BELOW_80C</v>
      </c>
      <c r="E103" s="8">
        <f>'08_GDE_RISK_ENGINE'!E103</f>
        <v>2</v>
      </c>
      <c r="F103" s="8">
        <f>'08_GDE_RISK_ENGINE'!F103</f>
        <v>5</v>
      </c>
      <c r="G103" s="8" t="str">
        <f>'08_GDE_RISK_ENGINE'!G103</f>
        <v>High</v>
      </c>
      <c r="H103" s="8">
        <f>IF(A103="","",MIN(5,E103+'14_GDE_RISK_MATRIX_DASHBOARD'!$C$6))</f>
        <v>3</v>
      </c>
      <c r="I103" s="8">
        <f>IF(A103="","",MAX(1,E103-'14_GDE_RISK_MATRIX_DASHBOARD'!$C$7))</f>
        <v>1</v>
      </c>
      <c r="J103" s="8" t="str">
        <f t="shared" si="2"/>
        <v>High</v>
      </c>
      <c r="K103" s="8" t="str">
        <f t="shared" si="3"/>
        <v>Medium</v>
      </c>
    </row>
    <row r="104" ht="29" spans="1:11">
      <c r="A104" s="8" t="str">
        <f>'08_GDE_RISK_ENGINE'!A104</f>
        <v>P2LBA09 BR005</v>
      </c>
      <c r="B104" s="8" t="str">
        <f>'08_GDE_RISK_ENGINE'!B104</f>
        <v>Piping</v>
      </c>
      <c r="C104" s="8" t="str">
        <f>'08_GDE_RISK_ENGINE'!C104</f>
        <v>SAGS</v>
      </c>
      <c r="D104" s="8" t="str">
        <f>'08_GDE_RISK_ENGINE'!D104</f>
        <v>CL-SAGS-LBA-STEAM--V-T3_150C_PLUS</v>
      </c>
      <c r="E104" s="8">
        <f>'08_GDE_RISK_ENGINE'!E104</f>
        <v>2</v>
      </c>
      <c r="F104" s="8">
        <f>'08_GDE_RISK_ENGINE'!F104</f>
        <v>5</v>
      </c>
      <c r="G104" s="8" t="str">
        <f>'08_GDE_RISK_ENGINE'!G104</f>
        <v>High</v>
      </c>
      <c r="H104" s="8">
        <f>IF(A104="","",MIN(5,E104+'14_GDE_RISK_MATRIX_DASHBOARD'!$C$6))</f>
        <v>3</v>
      </c>
      <c r="I104" s="8">
        <f>IF(A104="","",MAX(1,E104-'14_GDE_RISK_MATRIX_DASHBOARD'!$C$7))</f>
        <v>1</v>
      </c>
      <c r="J104" s="8" t="str">
        <f t="shared" si="2"/>
        <v>High</v>
      </c>
      <c r="K104" s="8" t="str">
        <f t="shared" si="3"/>
        <v>Medium</v>
      </c>
    </row>
    <row r="105" ht="29" spans="1:11">
      <c r="A105" s="8" t="str">
        <f>'08_GDE_RISK_ENGINE'!A105</f>
        <v>P2LBA09 BR006</v>
      </c>
      <c r="B105" s="8" t="str">
        <f>'08_GDE_RISK_ENGINE'!B105</f>
        <v>Piping</v>
      </c>
      <c r="C105" s="8" t="str">
        <f>'08_GDE_RISK_ENGINE'!C105</f>
        <v>SAGS</v>
      </c>
      <c r="D105" s="8" t="str">
        <f>'08_GDE_RISK_ENGINE'!D105</f>
        <v>CL-SAGS-LBA-STEAM-CS-V-T3_150C_PLUS</v>
      </c>
      <c r="E105" s="8">
        <f>'08_GDE_RISK_ENGINE'!E105</f>
        <v>2</v>
      </c>
      <c r="F105" s="8">
        <f>'08_GDE_RISK_ENGINE'!F105</f>
        <v>5</v>
      </c>
      <c r="G105" s="8" t="str">
        <f>'08_GDE_RISK_ENGINE'!G105</f>
        <v>High</v>
      </c>
      <c r="H105" s="8">
        <f>IF(A105="","",MIN(5,E105+'14_GDE_RISK_MATRIX_DASHBOARD'!$C$6))</f>
        <v>3</v>
      </c>
      <c r="I105" s="8">
        <f>IF(A105="","",MAX(1,E105-'14_GDE_RISK_MATRIX_DASHBOARD'!$C$7))</f>
        <v>1</v>
      </c>
      <c r="J105" s="8" t="str">
        <f t="shared" si="2"/>
        <v>High</v>
      </c>
      <c r="K105" s="8" t="str">
        <f t="shared" si="3"/>
        <v>Medium</v>
      </c>
    </row>
    <row r="106" ht="43.5" spans="1:11">
      <c r="A106" s="8" t="str">
        <f>'08_GDE_RISK_ENGINE'!A106</f>
        <v>P2LBB05 BR001</v>
      </c>
      <c r="B106" s="8" t="str">
        <f>'08_GDE_RISK_ENGINE'!B106</f>
        <v>Piping</v>
      </c>
      <c r="C106" s="8" t="str">
        <f>'08_GDE_RISK_ENGINE'!C106</f>
        <v>SAGS</v>
      </c>
      <c r="D106" s="8" t="str">
        <f>'08_GDE_RISK_ENGINE'!D106</f>
        <v>CL-SAGS-LBB-CONDENSATESTEAM-SS316L-L-T0_UNKNOWN</v>
      </c>
      <c r="E106" s="8">
        <f>'08_GDE_RISK_ENGINE'!E106</f>
        <v>2</v>
      </c>
      <c r="F106" s="8">
        <f>'08_GDE_RISK_ENGINE'!F106</f>
        <v>2</v>
      </c>
      <c r="G106" s="8" t="str">
        <f>'08_GDE_RISK_ENGINE'!G106</f>
        <v>Medium</v>
      </c>
      <c r="H106" s="8">
        <f>IF(A106="","",MIN(5,E106+'14_GDE_RISK_MATRIX_DASHBOARD'!$C$6))</f>
        <v>3</v>
      </c>
      <c r="I106" s="8">
        <f>IF(A106="","",MAX(1,E106-'14_GDE_RISK_MATRIX_DASHBOARD'!$C$7))</f>
        <v>1</v>
      </c>
      <c r="J106" s="8" t="str">
        <f t="shared" si="2"/>
        <v>Medium</v>
      </c>
      <c r="K106" s="8" t="str">
        <f t="shared" si="3"/>
        <v>Medium</v>
      </c>
    </row>
    <row r="107" ht="43.5" spans="1:11">
      <c r="A107" s="8" t="str">
        <f>'08_GDE_RISK_ENGINE'!A107</f>
        <v>P2LBB04 BR001</v>
      </c>
      <c r="B107" s="8" t="str">
        <f>'08_GDE_RISK_ENGINE'!B107</f>
        <v>Piping</v>
      </c>
      <c r="C107" s="8" t="str">
        <f>'08_GDE_RISK_ENGINE'!C107</f>
        <v>SAGS</v>
      </c>
      <c r="D107" s="8" t="str">
        <f>'08_GDE_RISK_ENGINE'!D107</f>
        <v>CL-SAGS-LBB-CONDENSATESTEAM-SS316L-L-T0_UNKNOWN</v>
      </c>
      <c r="E107" s="8">
        <f>'08_GDE_RISK_ENGINE'!E107</f>
        <v>2</v>
      </c>
      <c r="F107" s="8">
        <f>'08_GDE_RISK_ENGINE'!F107</f>
        <v>2</v>
      </c>
      <c r="G107" s="8" t="str">
        <f>'08_GDE_RISK_ENGINE'!G107</f>
        <v>Medium</v>
      </c>
      <c r="H107" s="8">
        <f>IF(A107="","",MIN(5,E107+'14_GDE_RISK_MATRIX_DASHBOARD'!$C$6))</f>
        <v>3</v>
      </c>
      <c r="I107" s="8">
        <f>IF(A107="","",MAX(1,E107-'14_GDE_RISK_MATRIX_DASHBOARD'!$C$7))</f>
        <v>1</v>
      </c>
      <c r="J107" s="8" t="str">
        <f t="shared" si="2"/>
        <v>Medium</v>
      </c>
      <c r="K107" s="8" t="str">
        <f t="shared" si="3"/>
        <v>Medium</v>
      </c>
    </row>
    <row r="108" ht="43.5" spans="1:11">
      <c r="A108" s="8" t="str">
        <f>'08_GDE_RISK_ENGINE'!A108</f>
        <v>P2LBB03 BR001</v>
      </c>
      <c r="B108" s="8" t="str">
        <f>'08_GDE_RISK_ENGINE'!B108</f>
        <v>Piping</v>
      </c>
      <c r="C108" s="8" t="str">
        <f>'08_GDE_RISK_ENGINE'!C108</f>
        <v>SAGS</v>
      </c>
      <c r="D108" s="8" t="str">
        <f>'08_GDE_RISK_ENGINE'!D108</f>
        <v>CL-SAGS-LBB-CONDENSATESTEAM-SS316L-L-T0_UNKNOWN</v>
      </c>
      <c r="E108" s="8">
        <f>'08_GDE_RISK_ENGINE'!E108</f>
        <v>2</v>
      </c>
      <c r="F108" s="8">
        <f>'08_GDE_RISK_ENGINE'!F108</f>
        <v>2</v>
      </c>
      <c r="G108" s="8" t="str">
        <f>'08_GDE_RISK_ENGINE'!G108</f>
        <v>Medium</v>
      </c>
      <c r="H108" s="8">
        <f>IF(A108="","",MIN(5,E108+'14_GDE_RISK_MATRIX_DASHBOARD'!$C$6))</f>
        <v>3</v>
      </c>
      <c r="I108" s="8">
        <f>IF(A108="","",MAX(1,E108-'14_GDE_RISK_MATRIX_DASHBOARD'!$C$7))</f>
        <v>1</v>
      </c>
      <c r="J108" s="8" t="str">
        <f t="shared" si="2"/>
        <v>Medium</v>
      </c>
      <c r="K108" s="8" t="str">
        <f t="shared" si="3"/>
        <v>Medium</v>
      </c>
    </row>
    <row r="109" ht="43.5" spans="1:11">
      <c r="A109" s="8" t="str">
        <f>'08_GDE_RISK_ENGINE'!A109</f>
        <v>P2MAW01 BR001</v>
      </c>
      <c r="B109" s="8" t="str">
        <f>'08_GDE_RISK_ENGINE'!B109</f>
        <v>Piping</v>
      </c>
      <c r="C109" s="8" t="str">
        <f>'08_GDE_RISK_ENGINE'!C109</f>
        <v>Power Block</v>
      </c>
      <c r="D109" s="8" t="str">
        <f>'08_GDE_RISK_ENGINE'!D109</f>
        <v>CL-POWER-MAW-GLANDSTEAM-SS316L-V-T2_80_150C</v>
      </c>
      <c r="E109" s="8">
        <f>'08_GDE_RISK_ENGINE'!E109</f>
        <v>2</v>
      </c>
      <c r="F109" s="8">
        <f>'08_GDE_RISK_ENGINE'!F109</f>
        <v>4</v>
      </c>
      <c r="G109" s="8" t="str">
        <f>'08_GDE_RISK_ENGINE'!G109</f>
        <v>High</v>
      </c>
      <c r="H109" s="8">
        <f>IF(A109="","",MIN(5,E109+'14_GDE_RISK_MATRIX_DASHBOARD'!$C$6))</f>
        <v>3</v>
      </c>
      <c r="I109" s="8">
        <f>IF(A109="","",MAX(1,E109-'14_GDE_RISK_MATRIX_DASHBOARD'!$C$7))</f>
        <v>1</v>
      </c>
      <c r="J109" s="8" t="str">
        <f t="shared" si="2"/>
        <v>High</v>
      </c>
      <c r="K109" s="8" t="str">
        <f t="shared" si="3"/>
        <v>Medium</v>
      </c>
    </row>
    <row r="110" ht="43.5" spans="1:11">
      <c r="A110" s="8" t="str">
        <f>'08_GDE_RISK_ENGINE'!A110</f>
        <v>P2PAB01 BR002</v>
      </c>
      <c r="B110" s="8" t="str">
        <f>'08_GDE_RISK_ENGINE'!B110</f>
        <v>Piping</v>
      </c>
      <c r="C110" s="8" t="str">
        <f>'08_GDE_RISK_ENGINE'!C110</f>
        <v>BOP/Utility</v>
      </c>
      <c r="D110" s="8" t="str">
        <f>'08_GDE_RISK_ENGINE'!D110</f>
        <v>CL-BOPUT-PAB-SPRAYWATER-SS316L-L-T0_UNKNOWN</v>
      </c>
      <c r="E110" s="8">
        <f>'08_GDE_RISK_ENGINE'!E110</f>
        <v>2</v>
      </c>
      <c r="F110" s="8">
        <f>'08_GDE_RISK_ENGINE'!F110</f>
        <v>3</v>
      </c>
      <c r="G110" s="8" t="str">
        <f>'08_GDE_RISK_ENGINE'!G110</f>
        <v>High</v>
      </c>
      <c r="H110" s="8">
        <f>IF(A110="","",MIN(5,E110+'14_GDE_RISK_MATRIX_DASHBOARD'!$C$6))</f>
        <v>3</v>
      </c>
      <c r="I110" s="8">
        <f>IF(A110="","",MAX(1,E110-'14_GDE_RISK_MATRIX_DASHBOARD'!$C$7))</f>
        <v>1</v>
      </c>
      <c r="J110" s="8" t="str">
        <f t="shared" si="2"/>
        <v>High</v>
      </c>
      <c r="K110" s="8" t="str">
        <f t="shared" si="3"/>
        <v>Medium</v>
      </c>
    </row>
    <row r="111" ht="43.5" spans="1:11">
      <c r="A111" s="8" t="str">
        <f>'08_GDE_RISK_ENGINE'!A111</f>
        <v>P2MAW01 BR002</v>
      </c>
      <c r="B111" s="8" t="str">
        <f>'08_GDE_RISK_ENGINE'!B111</f>
        <v>Piping</v>
      </c>
      <c r="C111" s="8" t="str">
        <f>'08_GDE_RISK_ENGINE'!C111</f>
        <v>Power Block</v>
      </c>
      <c r="D111" s="8" t="str">
        <f>'08_GDE_RISK_ENGINE'!D111</f>
        <v>CL-POWER-MAW-GLANDSTEAM-SS316L-L-T1_BELOW_80C</v>
      </c>
      <c r="E111" s="8">
        <f>'08_GDE_RISK_ENGINE'!E111</f>
        <v>2</v>
      </c>
      <c r="F111" s="8">
        <f>'08_GDE_RISK_ENGINE'!F111</f>
        <v>4</v>
      </c>
      <c r="G111" s="8" t="str">
        <f>'08_GDE_RISK_ENGINE'!G111</f>
        <v>High</v>
      </c>
      <c r="H111" s="8">
        <f>IF(A111="","",MIN(5,E111+'14_GDE_RISK_MATRIX_DASHBOARD'!$C$6))</f>
        <v>3</v>
      </c>
      <c r="I111" s="8">
        <f>IF(A111="","",MAX(1,E111-'14_GDE_RISK_MATRIX_DASHBOARD'!$C$7))</f>
        <v>1</v>
      </c>
      <c r="J111" s="8" t="str">
        <f t="shared" si="2"/>
        <v>High</v>
      </c>
      <c r="K111" s="8" t="str">
        <f t="shared" si="3"/>
        <v>Medium</v>
      </c>
    </row>
    <row r="112" ht="43.5" spans="1:11">
      <c r="A112" s="8" t="str">
        <f>'08_GDE_RISK_ENGINE'!A112</f>
        <v>P2MAW40 BR010</v>
      </c>
      <c r="B112" s="8" t="str">
        <f>'08_GDE_RISK_ENGINE'!B112</f>
        <v>Piping</v>
      </c>
      <c r="C112" s="8" t="str">
        <f>'08_GDE_RISK_ENGINE'!C112</f>
        <v>Power Block</v>
      </c>
      <c r="D112" s="8" t="str">
        <f>'08_GDE_RISK_ENGINE'!D112</f>
        <v>CL-POWER-MAW-CONDENSATESTEAM-CS-L-T1_BELOW_80C</v>
      </c>
      <c r="E112" s="8">
        <f>'08_GDE_RISK_ENGINE'!E112</f>
        <v>4</v>
      </c>
      <c r="F112" s="8">
        <f>'08_GDE_RISK_ENGINE'!F112</f>
        <v>4</v>
      </c>
      <c r="G112" s="8" t="str">
        <f>'08_GDE_RISK_ENGINE'!G112</f>
        <v>Extreme High</v>
      </c>
      <c r="H112" s="8">
        <f>IF(A112="","",MIN(5,E112+'14_GDE_RISK_MATRIX_DASHBOARD'!$C$6))</f>
        <v>5</v>
      </c>
      <c r="I112" s="8">
        <f>IF(A112="","",MAX(1,E112-'14_GDE_RISK_MATRIX_DASHBOARD'!$C$7))</f>
        <v>3</v>
      </c>
      <c r="J112" s="8" t="str">
        <f t="shared" si="2"/>
        <v>Extreme High</v>
      </c>
      <c r="K112" s="8" t="str">
        <f t="shared" si="3"/>
        <v>High</v>
      </c>
    </row>
    <row r="113" ht="29" spans="1:11">
      <c r="A113" s="8" t="str">
        <f>'08_GDE_RISK_ENGINE'!A113</f>
        <v>P2LBG02 BR001</v>
      </c>
      <c r="B113" s="8" t="str">
        <f>'08_GDE_RISK_ENGINE'!B113</f>
        <v>Piping</v>
      </c>
      <c r="C113" s="8" t="str">
        <f>'08_GDE_RISK_ENGINE'!C113</f>
        <v>Power Block</v>
      </c>
      <c r="D113" s="8" t="str">
        <f>'08_GDE_RISK_ENGINE'!D113</f>
        <v>CL-POWER-LBG-STEAM-CS-V-T3_150C_PLUS</v>
      </c>
      <c r="E113" s="8">
        <f>'08_GDE_RISK_ENGINE'!E113</f>
        <v>2</v>
      </c>
      <c r="F113" s="8">
        <f>'08_GDE_RISK_ENGINE'!F113</f>
        <v>4</v>
      </c>
      <c r="G113" s="8" t="str">
        <f>'08_GDE_RISK_ENGINE'!G113</f>
        <v>High</v>
      </c>
      <c r="H113" s="8">
        <f>IF(A113="","",MIN(5,E113+'14_GDE_RISK_MATRIX_DASHBOARD'!$C$6))</f>
        <v>3</v>
      </c>
      <c r="I113" s="8">
        <f>IF(A113="","",MAX(1,E113-'14_GDE_RISK_MATRIX_DASHBOARD'!$C$7))</f>
        <v>1</v>
      </c>
      <c r="J113" s="8" t="str">
        <f t="shared" si="2"/>
        <v>High</v>
      </c>
      <c r="K113" s="8" t="str">
        <f t="shared" si="3"/>
        <v>Medium</v>
      </c>
    </row>
    <row r="114" ht="29" spans="1:11">
      <c r="A114" s="8" t="str">
        <f>'08_GDE_RISK_ENGINE'!A114</f>
        <v>P2LBG03 BR001</v>
      </c>
      <c r="B114" s="8" t="str">
        <f>'08_GDE_RISK_ENGINE'!B114</f>
        <v>Piping</v>
      </c>
      <c r="C114" s="8" t="str">
        <f>'08_GDE_RISK_ENGINE'!C114</f>
        <v>Power Block</v>
      </c>
      <c r="D114" s="8" t="str">
        <f>'08_GDE_RISK_ENGINE'!D114</f>
        <v>CL-POWER-LBG-STEAM-CS-V-T3_150C_PLUS</v>
      </c>
      <c r="E114" s="8">
        <f>'08_GDE_RISK_ENGINE'!E114</f>
        <v>2</v>
      </c>
      <c r="F114" s="8">
        <f>'08_GDE_RISK_ENGINE'!F114</f>
        <v>4</v>
      </c>
      <c r="G114" s="8" t="str">
        <f>'08_GDE_RISK_ENGINE'!G114</f>
        <v>High</v>
      </c>
      <c r="H114" s="8">
        <f>IF(A114="","",MIN(5,E114+'14_GDE_RISK_MATRIX_DASHBOARD'!$C$6))</f>
        <v>3</v>
      </c>
      <c r="I114" s="8">
        <f>IF(A114="","",MAX(1,E114-'14_GDE_RISK_MATRIX_DASHBOARD'!$C$7))</f>
        <v>1</v>
      </c>
      <c r="J114" s="8" t="str">
        <f t="shared" si="2"/>
        <v>High</v>
      </c>
      <c r="K114" s="8" t="str">
        <f t="shared" si="3"/>
        <v>Medium</v>
      </c>
    </row>
    <row r="115" ht="29" spans="1:11">
      <c r="A115" s="8" t="str">
        <f>'08_GDE_RISK_ENGINE'!A115</f>
        <v>P2LBG04 BR001</v>
      </c>
      <c r="B115" s="8" t="str">
        <f>'08_GDE_RISK_ENGINE'!B115</f>
        <v>Piping</v>
      </c>
      <c r="C115" s="8" t="str">
        <f>'08_GDE_RISK_ENGINE'!C115</f>
        <v>Power Block</v>
      </c>
      <c r="D115" s="8" t="str">
        <f>'08_GDE_RISK_ENGINE'!D115</f>
        <v>CL-POWER-LBG-STEAM-CS-V-T3_150C_PLUS</v>
      </c>
      <c r="E115" s="8">
        <f>'08_GDE_RISK_ENGINE'!E115</f>
        <v>2</v>
      </c>
      <c r="F115" s="8">
        <f>'08_GDE_RISK_ENGINE'!F115</f>
        <v>4</v>
      </c>
      <c r="G115" s="8" t="str">
        <f>'08_GDE_RISK_ENGINE'!G115</f>
        <v>High</v>
      </c>
      <c r="H115" s="8">
        <f>IF(A115="","",MIN(5,E115+'14_GDE_RISK_MATRIX_DASHBOARD'!$C$6))</f>
        <v>3</v>
      </c>
      <c r="I115" s="8">
        <f>IF(A115="","",MAX(1,E115-'14_GDE_RISK_MATRIX_DASHBOARD'!$C$7))</f>
        <v>1</v>
      </c>
      <c r="J115" s="8" t="str">
        <f t="shared" si="2"/>
        <v>High</v>
      </c>
      <c r="K115" s="8" t="str">
        <f t="shared" si="3"/>
        <v>Medium</v>
      </c>
    </row>
    <row r="116" ht="29" spans="1:11">
      <c r="A116" s="8" t="str">
        <f>'08_GDE_RISK_ENGINE'!A116</f>
        <v>P2MAJ06 BR001</v>
      </c>
      <c r="B116" s="8" t="str">
        <f>'08_GDE_RISK_ENGINE'!B116</f>
        <v>Piping</v>
      </c>
      <c r="C116" s="8" t="str">
        <f>'08_GDE_RISK_ENGINE'!C116</f>
        <v>Power Block</v>
      </c>
      <c r="D116" s="8" t="str">
        <f>'08_GDE_RISK_ENGINE'!D116</f>
        <v>CL-POWER-MAJ-NCG-SS316L-V-T0_UNKNOWN</v>
      </c>
      <c r="E116" s="8">
        <f>'08_GDE_RISK_ENGINE'!E116</f>
        <v>2</v>
      </c>
      <c r="F116" s="8">
        <f>'08_GDE_RISK_ENGINE'!F116</f>
        <v>4</v>
      </c>
      <c r="G116" s="8" t="str">
        <f>'08_GDE_RISK_ENGINE'!G116</f>
        <v>High</v>
      </c>
      <c r="H116" s="8">
        <f>IF(A116="","",MIN(5,E116+'14_GDE_RISK_MATRIX_DASHBOARD'!$C$6))</f>
        <v>3</v>
      </c>
      <c r="I116" s="8">
        <f>IF(A116="","",MAX(1,E116-'14_GDE_RISK_MATRIX_DASHBOARD'!$C$7))</f>
        <v>1</v>
      </c>
      <c r="J116" s="8" t="str">
        <f t="shared" si="2"/>
        <v>High</v>
      </c>
      <c r="K116" s="8" t="str">
        <f t="shared" si="3"/>
        <v>Medium</v>
      </c>
    </row>
    <row r="117" ht="29" spans="1:11">
      <c r="A117" s="8" t="str">
        <f>'08_GDE_RISK_ENGINE'!A117</f>
        <v>P2MAJ06 BR002</v>
      </c>
      <c r="B117" s="8" t="str">
        <f>'08_GDE_RISK_ENGINE'!B117</f>
        <v>Piping</v>
      </c>
      <c r="C117" s="8" t="str">
        <f>'08_GDE_RISK_ENGINE'!C117</f>
        <v>Power Block</v>
      </c>
      <c r="D117" s="8" t="str">
        <f>'08_GDE_RISK_ENGINE'!D117</f>
        <v>CL-POWER-MAJ-NCG-SS316L-V-T0_UNKNOWN</v>
      </c>
      <c r="E117" s="8">
        <f>'08_GDE_RISK_ENGINE'!E117</f>
        <v>2</v>
      </c>
      <c r="F117" s="8">
        <f>'08_GDE_RISK_ENGINE'!F117</f>
        <v>4</v>
      </c>
      <c r="G117" s="8" t="str">
        <f>'08_GDE_RISK_ENGINE'!G117</f>
        <v>High</v>
      </c>
      <c r="H117" s="8">
        <f>IF(A117="","",MIN(5,E117+'14_GDE_RISK_MATRIX_DASHBOARD'!$C$6))</f>
        <v>3</v>
      </c>
      <c r="I117" s="8">
        <f>IF(A117="","",MAX(1,E117-'14_GDE_RISK_MATRIX_DASHBOARD'!$C$7))</f>
        <v>1</v>
      </c>
      <c r="J117" s="8" t="str">
        <f t="shared" si="2"/>
        <v>High</v>
      </c>
      <c r="K117" s="8" t="str">
        <f t="shared" si="3"/>
        <v>Medium</v>
      </c>
    </row>
    <row r="118" ht="29" spans="1:11">
      <c r="A118" s="8" t="str">
        <f>'08_GDE_RISK_ENGINE'!A118</f>
        <v>P2MAJ07 BR001</v>
      </c>
      <c r="B118" s="8" t="str">
        <f>'08_GDE_RISK_ENGINE'!B118</f>
        <v>Piping</v>
      </c>
      <c r="C118" s="8" t="str">
        <f>'08_GDE_RISK_ENGINE'!C118</f>
        <v>Power Block</v>
      </c>
      <c r="D118" s="8" t="str">
        <f>'08_GDE_RISK_ENGINE'!D118</f>
        <v>CL-POWER-MAJ-NCG-SS316L-V-T0_UNKNOWN</v>
      </c>
      <c r="E118" s="8">
        <f>'08_GDE_RISK_ENGINE'!E118</f>
        <v>2</v>
      </c>
      <c r="F118" s="8">
        <f>'08_GDE_RISK_ENGINE'!F118</f>
        <v>4</v>
      </c>
      <c r="G118" s="8" t="str">
        <f>'08_GDE_RISK_ENGINE'!G118</f>
        <v>High</v>
      </c>
      <c r="H118" s="8">
        <f>IF(A118="","",MIN(5,E118+'14_GDE_RISK_MATRIX_DASHBOARD'!$C$6))</f>
        <v>3</v>
      </c>
      <c r="I118" s="8">
        <f>IF(A118="","",MAX(1,E118-'14_GDE_RISK_MATRIX_DASHBOARD'!$C$7))</f>
        <v>1</v>
      </c>
      <c r="J118" s="8" t="str">
        <f t="shared" si="2"/>
        <v>High</v>
      </c>
      <c r="K118" s="8" t="str">
        <f t="shared" si="3"/>
        <v>Medium</v>
      </c>
    </row>
    <row r="119" ht="29" spans="1:11">
      <c r="A119" s="8" t="str">
        <f>'08_GDE_RISK_ENGINE'!A119</f>
        <v>P2MAJ07 BR002</v>
      </c>
      <c r="B119" s="8" t="str">
        <f>'08_GDE_RISK_ENGINE'!B119</f>
        <v>Piping</v>
      </c>
      <c r="C119" s="8" t="str">
        <f>'08_GDE_RISK_ENGINE'!C119</f>
        <v>Power Block</v>
      </c>
      <c r="D119" s="8" t="str">
        <f>'08_GDE_RISK_ENGINE'!D119</f>
        <v>CL-POWER-MAJ-NCG-SS316L-V-T0_UNKNOWN</v>
      </c>
      <c r="E119" s="8">
        <f>'08_GDE_RISK_ENGINE'!E119</f>
        <v>2</v>
      </c>
      <c r="F119" s="8">
        <f>'08_GDE_RISK_ENGINE'!F119</f>
        <v>4</v>
      </c>
      <c r="G119" s="8" t="str">
        <f>'08_GDE_RISK_ENGINE'!G119</f>
        <v>High</v>
      </c>
      <c r="H119" s="8">
        <f>IF(A119="","",MIN(5,E119+'14_GDE_RISK_MATRIX_DASHBOARD'!$C$6))</f>
        <v>3</v>
      </c>
      <c r="I119" s="8">
        <f>IF(A119="","",MAX(1,E119-'14_GDE_RISK_MATRIX_DASHBOARD'!$C$7))</f>
        <v>1</v>
      </c>
      <c r="J119" s="8" t="str">
        <f t="shared" si="2"/>
        <v>High</v>
      </c>
      <c r="K119" s="8" t="str">
        <f t="shared" si="3"/>
        <v>Medium</v>
      </c>
    </row>
    <row r="120" ht="29" spans="1:11">
      <c r="A120" s="8" t="str">
        <f>'08_GDE_RISK_ENGINE'!A120</f>
        <v>P2MAJ08 BR001</v>
      </c>
      <c r="B120" s="8" t="str">
        <f>'08_GDE_RISK_ENGINE'!B120</f>
        <v>Piping</v>
      </c>
      <c r="C120" s="8" t="str">
        <f>'08_GDE_RISK_ENGINE'!C120</f>
        <v>Power Block</v>
      </c>
      <c r="D120" s="8" t="str">
        <f>'08_GDE_RISK_ENGINE'!D120</f>
        <v>CL-POWER-MAJ-NCG-SS316L-V-T0_UNKNOWN</v>
      </c>
      <c r="E120" s="8">
        <f>'08_GDE_RISK_ENGINE'!E120</f>
        <v>2</v>
      </c>
      <c r="F120" s="8">
        <f>'08_GDE_RISK_ENGINE'!F120</f>
        <v>4</v>
      </c>
      <c r="G120" s="8" t="str">
        <f>'08_GDE_RISK_ENGINE'!G120</f>
        <v>High</v>
      </c>
      <c r="H120" s="8">
        <f>IF(A120="","",MIN(5,E120+'14_GDE_RISK_MATRIX_DASHBOARD'!$C$6))</f>
        <v>3</v>
      </c>
      <c r="I120" s="8">
        <f>IF(A120="","",MAX(1,E120-'14_GDE_RISK_MATRIX_DASHBOARD'!$C$7))</f>
        <v>1</v>
      </c>
      <c r="J120" s="8" t="str">
        <f t="shared" si="2"/>
        <v>High</v>
      </c>
      <c r="K120" s="8" t="str">
        <f t="shared" si="3"/>
        <v>Medium</v>
      </c>
    </row>
    <row r="121" ht="29" spans="1:11">
      <c r="A121" s="8" t="str">
        <f>'08_GDE_RISK_ENGINE'!A121</f>
        <v>P2MAJ08 BR002</v>
      </c>
      <c r="B121" s="8" t="str">
        <f>'08_GDE_RISK_ENGINE'!B121</f>
        <v>Piping</v>
      </c>
      <c r="C121" s="8" t="str">
        <f>'08_GDE_RISK_ENGINE'!C121</f>
        <v>Power Block</v>
      </c>
      <c r="D121" s="8" t="str">
        <f>'08_GDE_RISK_ENGINE'!D121</f>
        <v>CL-POWER-MAJ-NCG-SS316L-V-T0_UNKNOWN</v>
      </c>
      <c r="E121" s="8">
        <f>'08_GDE_RISK_ENGINE'!E121</f>
        <v>2</v>
      </c>
      <c r="F121" s="8">
        <f>'08_GDE_RISK_ENGINE'!F121</f>
        <v>4</v>
      </c>
      <c r="G121" s="8" t="str">
        <f>'08_GDE_RISK_ENGINE'!G121</f>
        <v>High</v>
      </c>
      <c r="H121" s="8">
        <f>IF(A121="","",MIN(5,E121+'14_GDE_RISK_MATRIX_DASHBOARD'!$C$6))</f>
        <v>3</v>
      </c>
      <c r="I121" s="8">
        <f>IF(A121="","",MAX(1,E121-'14_GDE_RISK_MATRIX_DASHBOARD'!$C$7))</f>
        <v>1</v>
      </c>
      <c r="J121" s="8" t="str">
        <f t="shared" si="2"/>
        <v>High</v>
      </c>
      <c r="K121" s="8" t="str">
        <f t="shared" si="3"/>
        <v>Medium</v>
      </c>
    </row>
    <row r="122" ht="29" spans="1:11">
      <c r="A122" s="8" t="str">
        <f>'08_GDE_RISK_ENGINE'!A122</f>
        <v>P2MAJ09 BR001</v>
      </c>
      <c r="B122" s="8" t="str">
        <f>'08_GDE_RISK_ENGINE'!B122</f>
        <v>Piping</v>
      </c>
      <c r="C122" s="8" t="str">
        <f>'08_GDE_RISK_ENGINE'!C122</f>
        <v>Power Block</v>
      </c>
      <c r="D122" s="8" t="str">
        <f>'08_GDE_RISK_ENGINE'!D122</f>
        <v>CL-POWER-MAJ-NCG-SS316L-V-T1_BELOW_80C</v>
      </c>
      <c r="E122" s="8">
        <f>'08_GDE_RISK_ENGINE'!E122</f>
        <v>2</v>
      </c>
      <c r="F122" s="8">
        <f>'08_GDE_RISK_ENGINE'!F122</f>
        <v>4</v>
      </c>
      <c r="G122" s="8" t="str">
        <f>'08_GDE_RISK_ENGINE'!G122</f>
        <v>High</v>
      </c>
      <c r="H122" s="8">
        <f>IF(A122="","",MIN(5,E122+'14_GDE_RISK_MATRIX_DASHBOARD'!$C$6))</f>
        <v>3</v>
      </c>
      <c r="I122" s="8">
        <f>IF(A122="","",MAX(1,E122-'14_GDE_RISK_MATRIX_DASHBOARD'!$C$7))</f>
        <v>1</v>
      </c>
      <c r="J122" s="8" t="str">
        <f t="shared" si="2"/>
        <v>High</v>
      </c>
      <c r="K122" s="8" t="str">
        <f t="shared" si="3"/>
        <v>Medium</v>
      </c>
    </row>
    <row r="123" ht="29" spans="1:11">
      <c r="A123" s="8" t="str">
        <f>'08_GDE_RISK_ENGINE'!A123</f>
        <v>P2MAJ10 BR001</v>
      </c>
      <c r="B123" s="8" t="str">
        <f>'08_GDE_RISK_ENGINE'!B123</f>
        <v>Piping</v>
      </c>
      <c r="C123" s="8" t="str">
        <f>'08_GDE_RISK_ENGINE'!C123</f>
        <v>Power Block</v>
      </c>
      <c r="D123" s="8" t="str">
        <f>'08_GDE_RISK_ENGINE'!D123</f>
        <v>CL-POWER-MAJ-NCG-SS316L-V-T0_UNKNOWN</v>
      </c>
      <c r="E123" s="8">
        <f>'08_GDE_RISK_ENGINE'!E123</f>
        <v>2</v>
      </c>
      <c r="F123" s="8">
        <f>'08_GDE_RISK_ENGINE'!F123</f>
        <v>4</v>
      </c>
      <c r="G123" s="8" t="str">
        <f>'08_GDE_RISK_ENGINE'!G123</f>
        <v>High</v>
      </c>
      <c r="H123" s="8">
        <f>IF(A123="","",MIN(5,E123+'14_GDE_RISK_MATRIX_DASHBOARD'!$C$6))</f>
        <v>3</v>
      </c>
      <c r="I123" s="8">
        <f>IF(A123="","",MAX(1,E123-'14_GDE_RISK_MATRIX_DASHBOARD'!$C$7))</f>
        <v>1</v>
      </c>
      <c r="J123" s="8" t="str">
        <f t="shared" si="2"/>
        <v>High</v>
      </c>
      <c r="K123" s="8" t="str">
        <f t="shared" si="3"/>
        <v>Medium</v>
      </c>
    </row>
    <row r="124" ht="43.5" spans="1:11">
      <c r="A124" s="8" t="str">
        <f>'08_GDE_RISK_ENGINE'!A124</f>
        <v>P2PCB03 BR001</v>
      </c>
      <c r="B124" s="8" t="str">
        <f>'08_GDE_RISK_ENGINE'!B124</f>
        <v>Piping</v>
      </c>
      <c r="C124" s="8" t="str">
        <f>'08_GDE_RISK_ENGINE'!C124</f>
        <v>BOP/Utility</v>
      </c>
      <c r="D124" s="8" t="str">
        <f>'08_GDE_RISK_ENGINE'!D124</f>
        <v>CL-BOPUT-PCB-COOLINGWATER--L-T1_BELOW_80C</v>
      </c>
      <c r="E124" s="8">
        <f>'08_GDE_RISK_ENGINE'!E124</f>
        <v>2</v>
      </c>
      <c r="F124" s="8">
        <f>'08_GDE_RISK_ENGINE'!F124</f>
        <v>3</v>
      </c>
      <c r="G124" s="8" t="str">
        <f>'08_GDE_RISK_ENGINE'!G124</f>
        <v>High</v>
      </c>
      <c r="H124" s="8">
        <f>IF(A124="","",MIN(5,E124+'14_GDE_RISK_MATRIX_DASHBOARD'!$C$6))</f>
        <v>3</v>
      </c>
      <c r="I124" s="8">
        <f>IF(A124="","",MAX(1,E124-'14_GDE_RISK_MATRIX_DASHBOARD'!$C$7))</f>
        <v>1</v>
      </c>
      <c r="J124" s="8" t="str">
        <f t="shared" si="2"/>
        <v>High</v>
      </c>
      <c r="K124" s="8" t="str">
        <f t="shared" si="3"/>
        <v>Medium</v>
      </c>
    </row>
    <row r="125" ht="43.5" spans="1:11">
      <c r="A125" s="8" t="str">
        <f>'08_GDE_RISK_ENGINE'!A125</f>
        <v>P2MAJ11 BR004</v>
      </c>
      <c r="B125" s="8" t="str">
        <f>'08_GDE_RISK_ENGINE'!B125</f>
        <v>Piping</v>
      </c>
      <c r="C125" s="8" t="str">
        <f>'08_GDE_RISK_ENGINE'!C125</f>
        <v>Power Block</v>
      </c>
      <c r="D125" s="8" t="str">
        <f>'08_GDE_RISK_ENGINE'!D125</f>
        <v>CL-POWER-MAJ-COOLINGWATER--L-T1_BELOW_80C</v>
      </c>
      <c r="E125" s="8">
        <f>'08_GDE_RISK_ENGINE'!E125</f>
        <v>2</v>
      </c>
      <c r="F125" s="8">
        <f>'08_GDE_RISK_ENGINE'!F125</f>
        <v>4</v>
      </c>
      <c r="G125" s="8" t="str">
        <f>'08_GDE_RISK_ENGINE'!G125</f>
        <v>High</v>
      </c>
      <c r="H125" s="8">
        <f>IF(A125="","",MIN(5,E125+'14_GDE_RISK_MATRIX_DASHBOARD'!$C$6))</f>
        <v>3</v>
      </c>
      <c r="I125" s="8">
        <f>IF(A125="","",MAX(1,E125-'14_GDE_RISK_MATRIX_DASHBOARD'!$C$7))</f>
        <v>1</v>
      </c>
      <c r="J125" s="8" t="str">
        <f t="shared" si="2"/>
        <v>High</v>
      </c>
      <c r="K125" s="8" t="str">
        <f t="shared" si="3"/>
        <v>Medium</v>
      </c>
    </row>
    <row r="126" ht="43.5" spans="1:11">
      <c r="A126" s="8" t="str">
        <f>'08_GDE_RISK_ENGINE'!A126</f>
        <v>P2PCB01 BR002</v>
      </c>
      <c r="B126" s="8" t="str">
        <f>'08_GDE_RISK_ENGINE'!B126</f>
        <v>Piping</v>
      </c>
      <c r="C126" s="8" t="str">
        <f>'08_GDE_RISK_ENGINE'!C126</f>
        <v>BOP/Utility</v>
      </c>
      <c r="D126" s="8" t="str">
        <f>'08_GDE_RISK_ENGINE'!D126</f>
        <v>CL-BOPUT-PCB-COOLINGWATER--L-T1_BELOW_80C</v>
      </c>
      <c r="E126" s="8">
        <f>'08_GDE_RISK_ENGINE'!E126</f>
        <v>2</v>
      </c>
      <c r="F126" s="8">
        <f>'08_GDE_RISK_ENGINE'!F126</f>
        <v>3</v>
      </c>
      <c r="G126" s="8" t="str">
        <f>'08_GDE_RISK_ENGINE'!G126</f>
        <v>High</v>
      </c>
      <c r="H126" s="8">
        <f>IF(A126="","",MIN(5,E126+'14_GDE_RISK_MATRIX_DASHBOARD'!$C$6))</f>
        <v>3</v>
      </c>
      <c r="I126" s="8">
        <f>IF(A126="","",MAX(1,E126-'14_GDE_RISK_MATRIX_DASHBOARD'!$C$7))</f>
        <v>1</v>
      </c>
      <c r="J126" s="8" t="str">
        <f t="shared" si="2"/>
        <v>High</v>
      </c>
      <c r="K126" s="8" t="str">
        <f t="shared" si="3"/>
        <v>Medium</v>
      </c>
    </row>
    <row r="127" ht="43.5" spans="1:11">
      <c r="A127" s="8" t="str">
        <f>'08_GDE_RISK_ENGINE'!A127</f>
        <v>P2PCB01 BR003</v>
      </c>
      <c r="B127" s="8" t="str">
        <f>'08_GDE_RISK_ENGINE'!B127</f>
        <v>Piping</v>
      </c>
      <c r="C127" s="8" t="str">
        <f>'08_GDE_RISK_ENGINE'!C127</f>
        <v>BOP/Utility</v>
      </c>
      <c r="D127" s="8" t="str">
        <f>'08_GDE_RISK_ENGINE'!D127</f>
        <v>CL-BOPUT-PCB-COOLINGWATER--L-T1_BELOW_80C</v>
      </c>
      <c r="E127" s="8">
        <f>'08_GDE_RISK_ENGINE'!E127</f>
        <v>2</v>
      </c>
      <c r="F127" s="8">
        <f>'08_GDE_RISK_ENGINE'!F127</f>
        <v>3</v>
      </c>
      <c r="G127" s="8" t="str">
        <f>'08_GDE_RISK_ENGINE'!G127</f>
        <v>High</v>
      </c>
      <c r="H127" s="8">
        <f>IF(A127="","",MIN(5,E127+'14_GDE_RISK_MATRIX_DASHBOARD'!$C$6))</f>
        <v>3</v>
      </c>
      <c r="I127" s="8">
        <f>IF(A127="","",MAX(1,E127-'14_GDE_RISK_MATRIX_DASHBOARD'!$C$7))</f>
        <v>1</v>
      </c>
      <c r="J127" s="8" t="str">
        <f t="shared" si="2"/>
        <v>High</v>
      </c>
      <c r="K127" s="8" t="str">
        <f t="shared" si="3"/>
        <v>Medium</v>
      </c>
    </row>
    <row r="128" ht="29" spans="1:11">
      <c r="A128" s="8" t="str">
        <f>'08_GDE_RISK_ENGINE'!A128</f>
        <v>P2MAJ10 BR002</v>
      </c>
      <c r="B128" s="8" t="str">
        <f>'08_GDE_RISK_ENGINE'!B128</f>
        <v>Piping</v>
      </c>
      <c r="C128" s="8" t="str">
        <f>'08_GDE_RISK_ENGINE'!C128</f>
        <v>Power Block</v>
      </c>
      <c r="D128" s="8" t="str">
        <f>'08_GDE_RISK_ENGINE'!D128</f>
        <v>CL-POWER-MAJ-AIR-SS316L-V-T1_BELOW_80C</v>
      </c>
      <c r="E128" s="8">
        <f>'08_GDE_RISK_ENGINE'!E128</f>
        <v>1</v>
      </c>
      <c r="F128" s="8">
        <f>'08_GDE_RISK_ENGINE'!F128</f>
        <v>4</v>
      </c>
      <c r="G128" s="8" t="str">
        <f>'08_GDE_RISK_ENGINE'!G128</f>
        <v>Medium</v>
      </c>
      <c r="H128" s="8">
        <f>IF(A128="","",MIN(5,E128+'14_GDE_RISK_MATRIX_DASHBOARD'!$C$6))</f>
        <v>2</v>
      </c>
      <c r="I128" s="8">
        <f>IF(A128="","",MAX(1,E128-'14_GDE_RISK_MATRIX_DASHBOARD'!$C$7))</f>
        <v>1</v>
      </c>
      <c r="J128" s="8" t="str">
        <f t="shared" si="2"/>
        <v>Medium</v>
      </c>
      <c r="K128" s="8" t="str">
        <f t="shared" si="3"/>
        <v>Medium</v>
      </c>
    </row>
    <row r="129" ht="29" spans="1:11">
      <c r="A129" s="8" t="str">
        <f>'08_GDE_RISK_ENGINE'!A129</f>
        <v>P2MAJ10 BR004</v>
      </c>
      <c r="B129" s="8" t="str">
        <f>'08_GDE_RISK_ENGINE'!B129</f>
        <v>Piping</v>
      </c>
      <c r="C129" s="8" t="str">
        <f>'08_GDE_RISK_ENGINE'!C129</f>
        <v>Power Block</v>
      </c>
      <c r="D129" s="8" t="str">
        <f>'08_GDE_RISK_ENGINE'!D129</f>
        <v>CL-POWER-MAJ-NCG-SS316L-V-T0_UNKNOWN</v>
      </c>
      <c r="E129" s="8">
        <f>'08_GDE_RISK_ENGINE'!E129</f>
        <v>2</v>
      </c>
      <c r="F129" s="8">
        <f>'08_GDE_RISK_ENGINE'!F129</f>
        <v>4</v>
      </c>
      <c r="G129" s="8" t="str">
        <f>'08_GDE_RISK_ENGINE'!G129</f>
        <v>High</v>
      </c>
      <c r="H129" s="8">
        <f>IF(A129="","",MIN(5,E129+'14_GDE_RISK_MATRIX_DASHBOARD'!$C$6))</f>
        <v>3</v>
      </c>
      <c r="I129" s="8">
        <f>IF(A129="","",MAX(1,E129-'14_GDE_RISK_MATRIX_DASHBOARD'!$C$7))</f>
        <v>1</v>
      </c>
      <c r="J129" s="8" t="str">
        <f t="shared" si="2"/>
        <v>High</v>
      </c>
      <c r="K129" s="8" t="str">
        <f t="shared" si="3"/>
        <v>Medium</v>
      </c>
    </row>
    <row r="130" ht="29" spans="1:11">
      <c r="A130" s="8" t="str">
        <f>'08_GDE_RISK_ENGINE'!A130</f>
        <v>P2MAJ11 BR001</v>
      </c>
      <c r="B130" s="8" t="str">
        <f>'08_GDE_RISK_ENGINE'!B130</f>
        <v>Piping</v>
      </c>
      <c r="C130" s="8" t="str">
        <f>'08_GDE_RISK_ENGINE'!C130</f>
        <v>Power Block</v>
      </c>
      <c r="D130" s="8" t="str">
        <f>'08_GDE_RISK_ENGINE'!D130</f>
        <v>CL-POWER-MAJ-STEAM-SS316L-V-T3_150C_PLUS</v>
      </c>
      <c r="E130" s="8">
        <f>'08_GDE_RISK_ENGINE'!E130</f>
        <v>2</v>
      </c>
      <c r="F130" s="8">
        <f>'08_GDE_RISK_ENGINE'!F130</f>
        <v>4</v>
      </c>
      <c r="G130" s="8" t="str">
        <f>'08_GDE_RISK_ENGINE'!G130</f>
        <v>High</v>
      </c>
      <c r="H130" s="8">
        <f>IF(A130="","",MIN(5,E130+'14_GDE_RISK_MATRIX_DASHBOARD'!$C$6))</f>
        <v>3</v>
      </c>
      <c r="I130" s="8">
        <f>IF(A130="","",MAX(1,E130-'14_GDE_RISK_MATRIX_DASHBOARD'!$C$7))</f>
        <v>1</v>
      </c>
      <c r="J130" s="8" t="str">
        <f t="shared" si="2"/>
        <v>High</v>
      </c>
      <c r="K130" s="8" t="str">
        <f t="shared" si="3"/>
        <v>Medium</v>
      </c>
    </row>
    <row r="131" ht="29" spans="1:11">
      <c r="A131" s="8" t="str">
        <f>'08_GDE_RISK_ENGINE'!A131</f>
        <v>P2MAJ02 BR001</v>
      </c>
      <c r="B131" s="8" t="str">
        <f>'08_GDE_RISK_ENGINE'!B131</f>
        <v>Piping</v>
      </c>
      <c r="C131" s="8" t="str">
        <f>'08_GDE_RISK_ENGINE'!C131</f>
        <v>Power Block</v>
      </c>
      <c r="D131" s="8" t="str">
        <f>'08_GDE_RISK_ENGINE'!D131</f>
        <v>CL-POWER-MAJ-NCG-SS316L-V-T0_UNKNOWN</v>
      </c>
      <c r="E131" s="8">
        <f>'08_GDE_RISK_ENGINE'!E131</f>
        <v>2</v>
      </c>
      <c r="F131" s="8">
        <f>'08_GDE_RISK_ENGINE'!F131</f>
        <v>4</v>
      </c>
      <c r="G131" s="8" t="str">
        <f>'08_GDE_RISK_ENGINE'!G131</f>
        <v>High</v>
      </c>
      <c r="H131" s="8">
        <f>IF(A131="","",MIN(5,E131+'14_GDE_RISK_MATRIX_DASHBOARD'!$C$6))</f>
        <v>3</v>
      </c>
      <c r="I131" s="8">
        <f>IF(A131="","",MAX(1,E131-'14_GDE_RISK_MATRIX_DASHBOARD'!$C$7))</f>
        <v>1</v>
      </c>
      <c r="J131" s="8" t="str">
        <f t="shared" si="2"/>
        <v>High</v>
      </c>
      <c r="K131" s="8" t="str">
        <f t="shared" si="3"/>
        <v>Medium</v>
      </c>
    </row>
    <row r="132" ht="43.5" spans="1:11">
      <c r="A132" s="8" t="str">
        <f>'08_GDE_RISK_ENGINE'!A132</f>
        <v>P2MAJ51 BR001</v>
      </c>
      <c r="B132" s="8" t="str">
        <f>'08_GDE_RISK_ENGINE'!B132</f>
        <v>Piping</v>
      </c>
      <c r="C132" s="8" t="str">
        <f>'08_GDE_RISK_ENGINE'!C132</f>
        <v>Power Block</v>
      </c>
      <c r="D132" s="8" t="str">
        <f>'08_GDE_RISK_ENGINE'!D132</f>
        <v>CL-POWER-MAJ-COOLINGWATER-SS316L-L-T1_BELOW_80C</v>
      </c>
      <c r="E132" s="8">
        <f>'08_GDE_RISK_ENGINE'!E132</f>
        <v>2</v>
      </c>
      <c r="F132" s="8">
        <f>'08_GDE_RISK_ENGINE'!F132</f>
        <v>4</v>
      </c>
      <c r="G132" s="8" t="str">
        <f>'08_GDE_RISK_ENGINE'!G132</f>
        <v>High</v>
      </c>
      <c r="H132" s="8">
        <f>IF(A132="","",MIN(5,E132+'14_GDE_RISK_MATRIX_DASHBOARD'!$C$6))</f>
        <v>3</v>
      </c>
      <c r="I132" s="8">
        <f>IF(A132="","",MAX(1,E132-'14_GDE_RISK_MATRIX_DASHBOARD'!$C$7))</f>
        <v>1</v>
      </c>
      <c r="J132" s="8" t="str">
        <f t="shared" ref="J132:J195" si="4">IF(A132="","",IF(OR(AND(H132&gt;=4,F132&gt;=4),AND(H132=5,F132&gt;=3)),"Extreme High",IF(OR(AND(H132&gt;=3,F132&gt;=3),AND(F132=5,H132&gt;=2)),"High",IF(OR(H132&gt;=2,F132&gt;=2),"Medium","Low"))))</f>
        <v>High</v>
      </c>
      <c r="K132" s="8" t="str">
        <f t="shared" ref="K132:K195" si="5">IF(A132="","",IF(OR(AND(I132&gt;=4,F132&gt;=4),AND(I132=5,F132&gt;=3)),"Extreme High",IF(OR(AND(I132&gt;=3,F132&gt;=3),AND(F132=5,I132&gt;=2)),"High",IF(OR(I132&gt;=2,F132&gt;=2),"Medium","Low"))))</f>
        <v>Medium</v>
      </c>
    </row>
    <row r="133" ht="43.5" spans="1:11">
      <c r="A133" s="8" t="str">
        <f>'08_GDE_RISK_ENGINE'!A133</f>
        <v>P2MAJ51 BR002</v>
      </c>
      <c r="B133" s="8" t="str">
        <f>'08_GDE_RISK_ENGINE'!B133</f>
        <v>Piping</v>
      </c>
      <c r="C133" s="8" t="str">
        <f>'08_GDE_RISK_ENGINE'!C133</f>
        <v>Power Block</v>
      </c>
      <c r="D133" s="8" t="str">
        <f>'08_GDE_RISK_ENGINE'!D133</f>
        <v>CL-POWER-MAJ-COOLINGWATER-SS316L-L-T1_BELOW_80C</v>
      </c>
      <c r="E133" s="8">
        <f>'08_GDE_RISK_ENGINE'!E133</f>
        <v>2</v>
      </c>
      <c r="F133" s="8">
        <f>'08_GDE_RISK_ENGINE'!F133</f>
        <v>4</v>
      </c>
      <c r="G133" s="8" t="str">
        <f>'08_GDE_RISK_ENGINE'!G133</f>
        <v>High</v>
      </c>
      <c r="H133" s="8">
        <f>IF(A133="","",MIN(5,E133+'14_GDE_RISK_MATRIX_DASHBOARD'!$C$6))</f>
        <v>3</v>
      </c>
      <c r="I133" s="8">
        <f>IF(A133="","",MAX(1,E133-'14_GDE_RISK_MATRIX_DASHBOARD'!$C$7))</f>
        <v>1</v>
      </c>
      <c r="J133" s="8" t="str">
        <f t="shared" si="4"/>
        <v>High</v>
      </c>
      <c r="K133" s="8" t="str">
        <f t="shared" si="5"/>
        <v>Medium</v>
      </c>
    </row>
    <row r="134" ht="43.5" spans="1:11">
      <c r="A134" s="8" t="str">
        <f>'08_GDE_RISK_ENGINE'!A134</f>
        <v>P2MAJ51 BR003</v>
      </c>
      <c r="B134" s="8" t="str">
        <f>'08_GDE_RISK_ENGINE'!B134</f>
        <v>Piping</v>
      </c>
      <c r="C134" s="8" t="str">
        <f>'08_GDE_RISK_ENGINE'!C134</f>
        <v>Power Block</v>
      </c>
      <c r="D134" s="8" t="str">
        <f>'08_GDE_RISK_ENGINE'!D134</f>
        <v>CL-POWER-MAJ-COOLINGWATER-SS316L-L-T1_BELOW_80C</v>
      </c>
      <c r="E134" s="8">
        <f>'08_GDE_RISK_ENGINE'!E134</f>
        <v>2</v>
      </c>
      <c r="F134" s="8">
        <f>'08_GDE_RISK_ENGINE'!F134</f>
        <v>4</v>
      </c>
      <c r="G134" s="8" t="str">
        <f>'08_GDE_RISK_ENGINE'!G134</f>
        <v>High</v>
      </c>
      <c r="H134" s="8">
        <f>IF(A134="","",MIN(5,E134+'14_GDE_RISK_MATRIX_DASHBOARD'!$C$6))</f>
        <v>3</v>
      </c>
      <c r="I134" s="8">
        <f>IF(A134="","",MAX(1,E134-'14_GDE_RISK_MATRIX_DASHBOARD'!$C$7))</f>
        <v>1</v>
      </c>
      <c r="J134" s="8" t="str">
        <f t="shared" si="4"/>
        <v>High</v>
      </c>
      <c r="K134" s="8" t="str">
        <f t="shared" si="5"/>
        <v>Medium</v>
      </c>
    </row>
    <row r="135" ht="29" spans="1:11">
      <c r="A135" s="8" t="str">
        <f>'08_GDE_RISK_ENGINE'!A135</f>
        <v>P2MAJ14 BR001</v>
      </c>
      <c r="B135" s="8" t="str">
        <f>'08_GDE_RISK_ENGINE'!B135</f>
        <v>Piping</v>
      </c>
      <c r="C135" s="8" t="str">
        <f>'08_GDE_RISK_ENGINE'!C135</f>
        <v>Power Block</v>
      </c>
      <c r="D135" s="8" t="str">
        <f>'08_GDE_RISK_ENGINE'!D135</f>
        <v>CL-POWER-MAJ-NCG-SS316L-V-T0_UNKNOWN</v>
      </c>
      <c r="E135" s="8">
        <f>'08_GDE_RISK_ENGINE'!E135</f>
        <v>2</v>
      </c>
      <c r="F135" s="8">
        <f>'08_GDE_RISK_ENGINE'!F135</f>
        <v>4</v>
      </c>
      <c r="G135" s="8" t="str">
        <f>'08_GDE_RISK_ENGINE'!G135</f>
        <v>High</v>
      </c>
      <c r="H135" s="8">
        <f>IF(A135="","",MIN(5,E135+'14_GDE_RISK_MATRIX_DASHBOARD'!$C$6))</f>
        <v>3</v>
      </c>
      <c r="I135" s="8">
        <f>IF(A135="","",MAX(1,E135-'14_GDE_RISK_MATRIX_DASHBOARD'!$C$7))</f>
        <v>1</v>
      </c>
      <c r="J135" s="8" t="str">
        <f t="shared" si="4"/>
        <v>High</v>
      </c>
      <c r="K135" s="8" t="str">
        <f t="shared" si="5"/>
        <v>Medium</v>
      </c>
    </row>
    <row r="136" ht="43.5" spans="1:11">
      <c r="A136" s="8" t="str">
        <f>'08_GDE_RISK_ENGINE'!A136</f>
        <v>P2MAJ03 BR001</v>
      </c>
      <c r="B136" s="8" t="str">
        <f>'08_GDE_RISK_ENGINE'!B136</f>
        <v>Piping</v>
      </c>
      <c r="C136" s="8" t="str">
        <f>'08_GDE_RISK_ENGINE'!C136</f>
        <v>Power Block</v>
      </c>
      <c r="D136" s="8" t="str">
        <f>'08_GDE_RISK_ENGINE'!D136</f>
        <v>CL-POWER-MAJ-COOLINGWATER-SS316L-L-T1_BELOW_80C</v>
      </c>
      <c r="E136" s="8">
        <f>'08_GDE_RISK_ENGINE'!E136</f>
        <v>2</v>
      </c>
      <c r="F136" s="8">
        <f>'08_GDE_RISK_ENGINE'!F136</f>
        <v>4</v>
      </c>
      <c r="G136" s="8" t="str">
        <f>'08_GDE_RISK_ENGINE'!G136</f>
        <v>High</v>
      </c>
      <c r="H136" s="8">
        <f>IF(A136="","",MIN(5,E136+'14_GDE_RISK_MATRIX_DASHBOARD'!$C$6))</f>
        <v>3</v>
      </c>
      <c r="I136" s="8">
        <f>IF(A136="","",MAX(1,E136-'14_GDE_RISK_MATRIX_DASHBOARD'!$C$7))</f>
        <v>1</v>
      </c>
      <c r="J136" s="8" t="str">
        <f t="shared" si="4"/>
        <v>High</v>
      </c>
      <c r="K136" s="8" t="str">
        <f t="shared" si="5"/>
        <v>Medium</v>
      </c>
    </row>
    <row r="137" ht="43.5" spans="1:11">
      <c r="A137" s="8" t="str">
        <f>'08_GDE_RISK_ENGINE'!A137</f>
        <v>P2PCB02 BR002</v>
      </c>
      <c r="B137" s="8" t="str">
        <f>'08_GDE_RISK_ENGINE'!B137</f>
        <v>Piping</v>
      </c>
      <c r="C137" s="8" t="str">
        <f>'08_GDE_RISK_ENGINE'!C137</f>
        <v>BOP/Utility</v>
      </c>
      <c r="D137" s="8" t="str">
        <f>'08_GDE_RISK_ENGINE'!D137</f>
        <v>CL-BOPUT-PCB-COOLINGWATER--L-T1_BELOW_80C</v>
      </c>
      <c r="E137" s="8">
        <f>'08_GDE_RISK_ENGINE'!E137</f>
        <v>2</v>
      </c>
      <c r="F137" s="8">
        <f>'08_GDE_RISK_ENGINE'!F137</f>
        <v>3</v>
      </c>
      <c r="G137" s="8" t="str">
        <f>'08_GDE_RISK_ENGINE'!G137</f>
        <v>High</v>
      </c>
      <c r="H137" s="8">
        <f>IF(A137="","",MIN(5,E137+'14_GDE_RISK_MATRIX_DASHBOARD'!$C$6))</f>
        <v>3</v>
      </c>
      <c r="I137" s="8">
        <f>IF(A137="","",MAX(1,E137-'14_GDE_RISK_MATRIX_DASHBOARD'!$C$7))</f>
        <v>1</v>
      </c>
      <c r="J137" s="8" t="str">
        <f t="shared" si="4"/>
        <v>High</v>
      </c>
      <c r="K137" s="8" t="str">
        <f t="shared" si="5"/>
        <v>Medium</v>
      </c>
    </row>
    <row r="138" ht="43.5" spans="1:11">
      <c r="A138" s="8" t="str">
        <f>'08_GDE_RISK_ENGINE'!A138</f>
        <v>P2PCB02 BR003</v>
      </c>
      <c r="B138" s="8" t="str">
        <f>'08_GDE_RISK_ENGINE'!B138</f>
        <v>Piping</v>
      </c>
      <c r="C138" s="8" t="str">
        <f>'08_GDE_RISK_ENGINE'!C138</f>
        <v>BOP/Utility</v>
      </c>
      <c r="D138" s="8" t="str">
        <f>'08_GDE_RISK_ENGINE'!D138</f>
        <v>CL-BOPUT-PCB-COOLINGWATER--L-T1_BELOW_80C</v>
      </c>
      <c r="E138" s="8">
        <f>'08_GDE_RISK_ENGINE'!E138</f>
        <v>2</v>
      </c>
      <c r="F138" s="8">
        <f>'08_GDE_RISK_ENGINE'!F138</f>
        <v>3</v>
      </c>
      <c r="G138" s="8" t="str">
        <f>'08_GDE_RISK_ENGINE'!G138</f>
        <v>High</v>
      </c>
      <c r="H138" s="8">
        <f>IF(A138="","",MIN(5,E138+'14_GDE_RISK_MATRIX_DASHBOARD'!$C$6))</f>
        <v>3</v>
      </c>
      <c r="I138" s="8">
        <f>IF(A138="","",MAX(1,E138-'14_GDE_RISK_MATRIX_DASHBOARD'!$C$7))</f>
        <v>1</v>
      </c>
      <c r="J138" s="8" t="str">
        <f t="shared" si="4"/>
        <v>High</v>
      </c>
      <c r="K138" s="8" t="str">
        <f t="shared" si="5"/>
        <v>Medium</v>
      </c>
    </row>
    <row r="139" ht="29" spans="1:11">
      <c r="A139" s="8" t="str">
        <f>'08_GDE_RISK_ENGINE'!A139</f>
        <v>P2MAJ12 BR001</v>
      </c>
      <c r="B139" s="8" t="str">
        <f>'08_GDE_RISK_ENGINE'!B139</f>
        <v>Piping</v>
      </c>
      <c r="C139" s="8" t="str">
        <f>'08_GDE_RISK_ENGINE'!C139</f>
        <v>Power Block</v>
      </c>
      <c r="D139" s="8" t="str">
        <f>'08_GDE_RISK_ENGINE'!D139</f>
        <v>CL-POWER-MAJ-NCG-SS316L-V-T0_UNKNOWN</v>
      </c>
      <c r="E139" s="8">
        <f>'08_GDE_RISK_ENGINE'!E139</f>
        <v>2</v>
      </c>
      <c r="F139" s="8">
        <f>'08_GDE_RISK_ENGINE'!F139</f>
        <v>4</v>
      </c>
      <c r="G139" s="8" t="str">
        <f>'08_GDE_RISK_ENGINE'!G139</f>
        <v>High</v>
      </c>
      <c r="H139" s="8">
        <f>IF(A139="","",MIN(5,E139+'14_GDE_RISK_MATRIX_DASHBOARD'!$C$6))</f>
        <v>3</v>
      </c>
      <c r="I139" s="8">
        <f>IF(A139="","",MAX(1,E139-'14_GDE_RISK_MATRIX_DASHBOARD'!$C$7))</f>
        <v>1</v>
      </c>
      <c r="J139" s="8" t="str">
        <f t="shared" si="4"/>
        <v>High</v>
      </c>
      <c r="K139" s="8" t="str">
        <f t="shared" si="5"/>
        <v>Medium</v>
      </c>
    </row>
    <row r="140" ht="29" spans="1:11">
      <c r="A140" s="8" t="str">
        <f>'08_GDE_RISK_ENGINE'!A140</f>
        <v>P2MAJ13 BR001</v>
      </c>
      <c r="B140" s="8" t="str">
        <f>'08_GDE_RISK_ENGINE'!B140</f>
        <v>Piping</v>
      </c>
      <c r="C140" s="8" t="str">
        <f>'08_GDE_RISK_ENGINE'!C140</f>
        <v>Power Block</v>
      </c>
      <c r="D140" s="8" t="str">
        <f>'08_GDE_RISK_ENGINE'!D140</f>
        <v>CL-POWER-MAJ-NCG-SS316L-V-T0_UNKNOWN</v>
      </c>
      <c r="E140" s="8">
        <f>'08_GDE_RISK_ENGINE'!E140</f>
        <v>2</v>
      </c>
      <c r="F140" s="8">
        <f>'08_GDE_RISK_ENGINE'!F140</f>
        <v>4</v>
      </c>
      <c r="G140" s="8" t="str">
        <f>'08_GDE_RISK_ENGINE'!G140</f>
        <v>High</v>
      </c>
      <c r="H140" s="8">
        <f>IF(A140="","",MIN(5,E140+'14_GDE_RISK_MATRIX_DASHBOARD'!$C$6))</f>
        <v>3</v>
      </c>
      <c r="I140" s="8">
        <f>IF(A140="","",MAX(1,E140-'14_GDE_RISK_MATRIX_DASHBOARD'!$C$7))</f>
        <v>1</v>
      </c>
      <c r="J140" s="8" t="str">
        <f t="shared" si="4"/>
        <v>High</v>
      </c>
      <c r="K140" s="8" t="str">
        <f t="shared" si="5"/>
        <v>Medium</v>
      </c>
    </row>
    <row r="141" ht="29" spans="1:11">
      <c r="A141" s="8" t="str">
        <f>'08_GDE_RISK_ENGINE'!A141</f>
        <v>P2MAJ13 BR002</v>
      </c>
      <c r="B141" s="8" t="str">
        <f>'08_GDE_RISK_ENGINE'!B141</f>
        <v>Piping</v>
      </c>
      <c r="C141" s="8" t="str">
        <f>'08_GDE_RISK_ENGINE'!C141</f>
        <v>Power Block</v>
      </c>
      <c r="D141" s="8" t="str">
        <f>'08_GDE_RISK_ENGINE'!D141</f>
        <v>CL-POWER-MAJ-AIR-SS316L-V-T1_BELOW_80C</v>
      </c>
      <c r="E141" s="8">
        <f>'08_GDE_RISK_ENGINE'!E141</f>
        <v>1</v>
      </c>
      <c r="F141" s="8">
        <f>'08_GDE_RISK_ENGINE'!F141</f>
        <v>4</v>
      </c>
      <c r="G141" s="8" t="str">
        <f>'08_GDE_RISK_ENGINE'!G141</f>
        <v>Medium</v>
      </c>
      <c r="H141" s="8">
        <f>IF(A141="","",MIN(5,E141+'14_GDE_RISK_MATRIX_DASHBOARD'!$C$6))</f>
        <v>2</v>
      </c>
      <c r="I141" s="8">
        <f>IF(A141="","",MAX(1,E141-'14_GDE_RISK_MATRIX_DASHBOARD'!$C$7))</f>
        <v>1</v>
      </c>
      <c r="J141" s="8" t="str">
        <f t="shared" si="4"/>
        <v>Medium</v>
      </c>
      <c r="K141" s="8" t="str">
        <f t="shared" si="5"/>
        <v>Medium</v>
      </c>
    </row>
    <row r="142" ht="29" spans="1:11">
      <c r="A142" s="8" t="str">
        <f>'08_GDE_RISK_ENGINE'!A142</f>
        <v>P2MAJ13 BR003</v>
      </c>
      <c r="B142" s="8" t="str">
        <f>'08_GDE_RISK_ENGINE'!B142</f>
        <v>Piping</v>
      </c>
      <c r="C142" s="8" t="str">
        <f>'08_GDE_RISK_ENGINE'!C142</f>
        <v>Power Block</v>
      </c>
      <c r="D142" s="8" t="str">
        <f>'08_GDE_RISK_ENGINE'!D142</f>
        <v>CL-POWER-MAJ-NCG-SS316L-V-T0_UNKNOWN</v>
      </c>
      <c r="E142" s="8">
        <f>'08_GDE_RISK_ENGINE'!E142</f>
        <v>2</v>
      </c>
      <c r="F142" s="8">
        <f>'08_GDE_RISK_ENGINE'!F142</f>
        <v>4</v>
      </c>
      <c r="G142" s="8" t="str">
        <f>'08_GDE_RISK_ENGINE'!G142</f>
        <v>High</v>
      </c>
      <c r="H142" s="8">
        <f>IF(A142="","",MIN(5,E142+'14_GDE_RISK_MATRIX_DASHBOARD'!$C$6))</f>
        <v>3</v>
      </c>
      <c r="I142" s="8">
        <f>IF(A142="","",MAX(1,E142-'14_GDE_RISK_MATRIX_DASHBOARD'!$C$7))</f>
        <v>1</v>
      </c>
      <c r="J142" s="8" t="str">
        <f t="shared" si="4"/>
        <v>High</v>
      </c>
      <c r="K142" s="8" t="str">
        <f t="shared" si="5"/>
        <v>Medium</v>
      </c>
    </row>
    <row r="143" ht="29" spans="1:11">
      <c r="A143" s="8" t="str">
        <f>'08_GDE_RISK_ENGINE'!A143</f>
        <v>P2MAJ13 BR004</v>
      </c>
      <c r="B143" s="8" t="str">
        <f>'08_GDE_RISK_ENGINE'!B143</f>
        <v>Piping</v>
      </c>
      <c r="C143" s="8" t="str">
        <f>'08_GDE_RISK_ENGINE'!C143</f>
        <v>Power Block</v>
      </c>
      <c r="D143" s="8" t="str">
        <f>'08_GDE_RISK_ENGINE'!D143</f>
        <v>CL-POWER-MAJ-NCG-SS316L-V-T0_UNKNOWN</v>
      </c>
      <c r="E143" s="8">
        <f>'08_GDE_RISK_ENGINE'!E143</f>
        <v>2</v>
      </c>
      <c r="F143" s="8">
        <f>'08_GDE_RISK_ENGINE'!F143</f>
        <v>4</v>
      </c>
      <c r="G143" s="8" t="str">
        <f>'08_GDE_RISK_ENGINE'!G143</f>
        <v>High</v>
      </c>
      <c r="H143" s="8">
        <f>IF(A143="","",MIN(5,E143+'14_GDE_RISK_MATRIX_DASHBOARD'!$C$6))</f>
        <v>3</v>
      </c>
      <c r="I143" s="8">
        <f>IF(A143="","",MAX(1,E143-'14_GDE_RISK_MATRIX_DASHBOARD'!$C$7))</f>
        <v>1</v>
      </c>
      <c r="J143" s="8" t="str">
        <f t="shared" si="4"/>
        <v>High</v>
      </c>
      <c r="K143" s="8" t="str">
        <f t="shared" si="5"/>
        <v>Medium</v>
      </c>
    </row>
    <row r="144" ht="43.5" spans="1:11">
      <c r="A144" s="8" t="str">
        <f>'08_GDE_RISK_ENGINE'!A144</f>
        <v>P2MAJ52 BR001</v>
      </c>
      <c r="B144" s="8" t="str">
        <f>'08_GDE_RISK_ENGINE'!B144</f>
        <v>Piping</v>
      </c>
      <c r="C144" s="8" t="str">
        <f>'08_GDE_RISK_ENGINE'!C144</f>
        <v>Power Block</v>
      </c>
      <c r="D144" s="8" t="str">
        <f>'08_GDE_RISK_ENGINE'!D144</f>
        <v>CL-POWER-MAJ-COOLINGWATER-SS316L-L-T1_BELOW_80C</v>
      </c>
      <c r="E144" s="8">
        <f>'08_GDE_RISK_ENGINE'!E144</f>
        <v>2</v>
      </c>
      <c r="F144" s="8">
        <f>'08_GDE_RISK_ENGINE'!F144</f>
        <v>4</v>
      </c>
      <c r="G144" s="8" t="str">
        <f>'08_GDE_RISK_ENGINE'!G144</f>
        <v>High</v>
      </c>
      <c r="H144" s="8">
        <f>IF(A144="","",MIN(5,E144+'14_GDE_RISK_MATRIX_DASHBOARD'!$C$6))</f>
        <v>3</v>
      </c>
      <c r="I144" s="8">
        <f>IF(A144="","",MAX(1,E144-'14_GDE_RISK_MATRIX_DASHBOARD'!$C$7))</f>
        <v>1</v>
      </c>
      <c r="J144" s="8" t="str">
        <f t="shared" si="4"/>
        <v>High</v>
      </c>
      <c r="K144" s="8" t="str">
        <f t="shared" si="5"/>
        <v>Medium</v>
      </c>
    </row>
    <row r="145" ht="43.5" spans="1:11">
      <c r="A145" s="8" t="str">
        <f>'08_GDE_RISK_ENGINE'!A145</f>
        <v>P2MAJ52 BR002</v>
      </c>
      <c r="B145" s="8" t="str">
        <f>'08_GDE_RISK_ENGINE'!B145</f>
        <v>Piping</v>
      </c>
      <c r="C145" s="8" t="str">
        <f>'08_GDE_RISK_ENGINE'!C145</f>
        <v>Power Block</v>
      </c>
      <c r="D145" s="8" t="str">
        <f>'08_GDE_RISK_ENGINE'!D145</f>
        <v>CL-POWER-MAJ-COOLINGWATER-SS316L-L-T1_BELOW_80C</v>
      </c>
      <c r="E145" s="8">
        <f>'08_GDE_RISK_ENGINE'!E145</f>
        <v>2</v>
      </c>
      <c r="F145" s="8">
        <f>'08_GDE_RISK_ENGINE'!F145</f>
        <v>4</v>
      </c>
      <c r="G145" s="8" t="str">
        <f>'08_GDE_RISK_ENGINE'!G145</f>
        <v>High</v>
      </c>
      <c r="H145" s="8">
        <f>IF(A145="","",MIN(5,E145+'14_GDE_RISK_MATRIX_DASHBOARD'!$C$6))</f>
        <v>3</v>
      </c>
      <c r="I145" s="8">
        <f>IF(A145="","",MAX(1,E145-'14_GDE_RISK_MATRIX_DASHBOARD'!$C$7))</f>
        <v>1</v>
      </c>
      <c r="J145" s="8" t="str">
        <f t="shared" si="4"/>
        <v>High</v>
      </c>
      <c r="K145" s="8" t="str">
        <f t="shared" si="5"/>
        <v>Medium</v>
      </c>
    </row>
    <row r="146" ht="43.5" spans="1:11">
      <c r="A146" s="8" t="str">
        <f>'08_GDE_RISK_ENGINE'!A146</f>
        <v>P2MAJ52 BR003</v>
      </c>
      <c r="B146" s="8" t="str">
        <f>'08_GDE_RISK_ENGINE'!B146</f>
        <v>Piping</v>
      </c>
      <c r="C146" s="8" t="str">
        <f>'08_GDE_RISK_ENGINE'!C146</f>
        <v>Power Block</v>
      </c>
      <c r="D146" s="8" t="str">
        <f>'08_GDE_RISK_ENGINE'!D146</f>
        <v>CL-POWER-MAJ-COOLINGWATER-SS316L-L-T1_BELOW_80C</v>
      </c>
      <c r="E146" s="8">
        <f>'08_GDE_RISK_ENGINE'!E146</f>
        <v>2</v>
      </c>
      <c r="F146" s="8">
        <f>'08_GDE_RISK_ENGINE'!F146</f>
        <v>4</v>
      </c>
      <c r="G146" s="8" t="str">
        <f>'08_GDE_RISK_ENGINE'!G146</f>
        <v>High</v>
      </c>
      <c r="H146" s="8">
        <f>IF(A146="","",MIN(5,E146+'14_GDE_RISK_MATRIX_DASHBOARD'!$C$6))</f>
        <v>3</v>
      </c>
      <c r="I146" s="8">
        <f>IF(A146="","",MAX(1,E146-'14_GDE_RISK_MATRIX_DASHBOARD'!$C$7))</f>
        <v>1</v>
      </c>
      <c r="J146" s="8" t="str">
        <f t="shared" si="4"/>
        <v>High</v>
      </c>
      <c r="K146" s="8" t="str">
        <f t="shared" si="5"/>
        <v>Medium</v>
      </c>
    </row>
    <row r="147" ht="43.5" spans="1:11">
      <c r="A147" s="8" t="str">
        <f>'08_GDE_RISK_ENGINE'!A147</f>
        <v>P2MAJ04 BR001</v>
      </c>
      <c r="B147" s="8" t="str">
        <f>'08_GDE_RISK_ENGINE'!B147</f>
        <v>Piping</v>
      </c>
      <c r="C147" s="8" t="str">
        <f>'08_GDE_RISK_ENGINE'!C147</f>
        <v>Power Block</v>
      </c>
      <c r="D147" s="8" t="str">
        <f>'08_GDE_RISK_ENGINE'!D147</f>
        <v>CL-POWER-MAJ-COOLINGWATER-SS316L-L-T1_BELOW_80C</v>
      </c>
      <c r="E147" s="8">
        <f>'08_GDE_RISK_ENGINE'!E147</f>
        <v>2</v>
      </c>
      <c r="F147" s="8">
        <f>'08_GDE_RISK_ENGINE'!F147</f>
        <v>4</v>
      </c>
      <c r="G147" s="8" t="str">
        <f>'08_GDE_RISK_ENGINE'!G147</f>
        <v>High</v>
      </c>
      <c r="H147" s="8">
        <f>IF(A147="","",MIN(5,E147+'14_GDE_RISK_MATRIX_DASHBOARD'!$C$6))</f>
        <v>3</v>
      </c>
      <c r="I147" s="8">
        <f>IF(A147="","",MAX(1,E147-'14_GDE_RISK_MATRIX_DASHBOARD'!$C$7))</f>
        <v>1</v>
      </c>
      <c r="J147" s="8" t="str">
        <f t="shared" si="4"/>
        <v>High</v>
      </c>
      <c r="K147" s="8" t="str">
        <f t="shared" si="5"/>
        <v>Medium</v>
      </c>
    </row>
    <row r="148" ht="29" spans="1:11">
      <c r="A148" s="8" t="str">
        <f>'08_GDE_RISK_ENGINE'!A148</f>
        <v>P2MAJ17 BR001</v>
      </c>
      <c r="B148" s="8" t="str">
        <f>'08_GDE_RISK_ENGINE'!B148</f>
        <v>Piping</v>
      </c>
      <c r="C148" s="8" t="str">
        <f>'08_GDE_RISK_ENGINE'!C148</f>
        <v>Power Block</v>
      </c>
      <c r="D148" s="8" t="str">
        <f>'08_GDE_RISK_ENGINE'!D148</f>
        <v>CL-POWER-MAJ-NCG-SS316L-V-T0_UNKNOWN</v>
      </c>
      <c r="E148" s="8">
        <f>'08_GDE_RISK_ENGINE'!E148</f>
        <v>2</v>
      </c>
      <c r="F148" s="8">
        <f>'08_GDE_RISK_ENGINE'!F148</f>
        <v>4</v>
      </c>
      <c r="G148" s="8" t="str">
        <f>'08_GDE_RISK_ENGINE'!G148</f>
        <v>High</v>
      </c>
      <c r="H148" s="8">
        <f>IF(A148="","",MIN(5,E148+'14_GDE_RISK_MATRIX_DASHBOARD'!$C$6))</f>
        <v>3</v>
      </c>
      <c r="I148" s="8">
        <f>IF(A148="","",MAX(1,E148-'14_GDE_RISK_MATRIX_DASHBOARD'!$C$7))</f>
        <v>1</v>
      </c>
      <c r="J148" s="8" t="str">
        <f t="shared" si="4"/>
        <v>High</v>
      </c>
      <c r="K148" s="8" t="str">
        <f t="shared" si="5"/>
        <v>Medium</v>
      </c>
    </row>
    <row r="149" ht="29" spans="1:11">
      <c r="A149" s="8" t="str">
        <f>'08_GDE_RISK_ENGINE'!A149</f>
        <v>P2MAJ16 BR001</v>
      </c>
      <c r="B149" s="8" t="str">
        <f>'08_GDE_RISK_ENGINE'!B149</f>
        <v>Piping</v>
      </c>
      <c r="C149" s="8" t="str">
        <f>'08_GDE_RISK_ENGINE'!C149</f>
        <v>Power Block</v>
      </c>
      <c r="D149" s="8" t="str">
        <f>'08_GDE_RISK_ENGINE'!D149</f>
        <v>CL-POWER-MAJ-NCG-SS316L-V-T0_UNKNOWN</v>
      </c>
      <c r="E149" s="8">
        <f>'08_GDE_RISK_ENGINE'!E149</f>
        <v>2</v>
      </c>
      <c r="F149" s="8">
        <f>'08_GDE_RISK_ENGINE'!F149</f>
        <v>4</v>
      </c>
      <c r="G149" s="8" t="str">
        <f>'08_GDE_RISK_ENGINE'!G149</f>
        <v>High</v>
      </c>
      <c r="H149" s="8">
        <f>IF(A149="","",MIN(5,E149+'14_GDE_RISK_MATRIX_DASHBOARD'!$C$6))</f>
        <v>3</v>
      </c>
      <c r="I149" s="8">
        <f>IF(A149="","",MAX(1,E149-'14_GDE_RISK_MATRIX_DASHBOARD'!$C$7))</f>
        <v>1</v>
      </c>
      <c r="J149" s="8" t="str">
        <f t="shared" si="4"/>
        <v>High</v>
      </c>
      <c r="K149" s="8" t="str">
        <f t="shared" si="5"/>
        <v>Medium</v>
      </c>
    </row>
    <row r="150" ht="43.5" spans="1:11">
      <c r="A150" s="8" t="str">
        <f>'08_GDE_RISK_ENGINE'!A150</f>
        <v>P2PAD01 BR003</v>
      </c>
      <c r="B150" s="8" t="str">
        <f>'08_GDE_RISK_ENGINE'!B150</f>
        <v>Piping</v>
      </c>
      <c r="C150" s="8" t="str">
        <f>'08_GDE_RISK_ENGINE'!C150</f>
        <v>BOP/Utility</v>
      </c>
      <c r="D150" s="8" t="str">
        <f>'08_GDE_RISK_ENGINE'!D150</f>
        <v>CL-BOPUT-PAD-COOLINGWATER--L-T1_BELOW_80C</v>
      </c>
      <c r="E150" s="8">
        <f>'08_GDE_RISK_ENGINE'!E150</f>
        <v>2</v>
      </c>
      <c r="F150" s="8">
        <f>'08_GDE_RISK_ENGINE'!F150</f>
        <v>3</v>
      </c>
      <c r="G150" s="8" t="str">
        <f>'08_GDE_RISK_ENGINE'!G150</f>
        <v>High</v>
      </c>
      <c r="H150" s="8">
        <f>IF(A150="","",MIN(5,E150+'14_GDE_RISK_MATRIX_DASHBOARD'!$C$6))</f>
        <v>3</v>
      </c>
      <c r="I150" s="8">
        <f>IF(A150="","",MAX(1,E150-'14_GDE_RISK_MATRIX_DASHBOARD'!$C$7))</f>
        <v>1</v>
      </c>
      <c r="J150" s="8" t="str">
        <f t="shared" si="4"/>
        <v>High</v>
      </c>
      <c r="K150" s="8" t="str">
        <f t="shared" si="5"/>
        <v>Medium</v>
      </c>
    </row>
    <row r="151" ht="43.5" spans="1:11">
      <c r="A151" s="8" t="str">
        <f>'08_GDE_RISK_ENGINE'!A151</f>
        <v>P2PAD01 BR004</v>
      </c>
      <c r="B151" s="8" t="str">
        <f>'08_GDE_RISK_ENGINE'!B151</f>
        <v>Piping</v>
      </c>
      <c r="C151" s="8" t="str">
        <f>'08_GDE_RISK_ENGINE'!C151</f>
        <v>BOP/Utility</v>
      </c>
      <c r="D151" s="8" t="str">
        <f>'08_GDE_RISK_ENGINE'!D151</f>
        <v>CL-BOPUT-PAD-COOLINGWATER--L-T1_BELOW_80C</v>
      </c>
      <c r="E151" s="8">
        <f>'08_GDE_RISK_ENGINE'!E151</f>
        <v>2</v>
      </c>
      <c r="F151" s="8">
        <f>'08_GDE_RISK_ENGINE'!F151</f>
        <v>3</v>
      </c>
      <c r="G151" s="8" t="str">
        <f>'08_GDE_RISK_ENGINE'!G151</f>
        <v>High</v>
      </c>
      <c r="H151" s="8">
        <f>IF(A151="","",MIN(5,E151+'14_GDE_RISK_MATRIX_DASHBOARD'!$C$6))</f>
        <v>3</v>
      </c>
      <c r="I151" s="8">
        <f>IF(A151="","",MAX(1,E151-'14_GDE_RISK_MATRIX_DASHBOARD'!$C$7))</f>
        <v>1</v>
      </c>
      <c r="J151" s="8" t="str">
        <f t="shared" si="4"/>
        <v>High</v>
      </c>
      <c r="K151" s="8" t="str">
        <f t="shared" si="5"/>
        <v>Medium</v>
      </c>
    </row>
    <row r="152" ht="29" spans="1:11">
      <c r="A152" s="8" t="str">
        <f>'08_GDE_RISK_ENGINE'!A152</f>
        <v>P2MAG10 BR001</v>
      </c>
      <c r="B152" s="8" t="str">
        <f>'08_GDE_RISK_ENGINE'!B152</f>
        <v>Piping</v>
      </c>
      <c r="C152" s="8" t="str">
        <f>'08_GDE_RISK_ENGINE'!C152</f>
        <v>Power Block</v>
      </c>
      <c r="D152" s="8" t="str">
        <f>'08_GDE_RISK_ENGINE'!D152</f>
        <v>CL-POWER-MAG-AIR-SS316L-V-T1_BELOW_80C</v>
      </c>
      <c r="E152" s="8">
        <f>'08_GDE_RISK_ENGINE'!E152</f>
        <v>1</v>
      </c>
      <c r="F152" s="8">
        <f>'08_GDE_RISK_ENGINE'!F152</f>
        <v>4</v>
      </c>
      <c r="G152" s="8" t="str">
        <f>'08_GDE_RISK_ENGINE'!G152</f>
        <v>Medium</v>
      </c>
      <c r="H152" s="8">
        <f>IF(A152="","",MIN(5,E152+'14_GDE_RISK_MATRIX_DASHBOARD'!$C$6))</f>
        <v>2</v>
      </c>
      <c r="I152" s="8">
        <f>IF(A152="","",MAX(1,E152-'14_GDE_RISK_MATRIX_DASHBOARD'!$C$7))</f>
        <v>1</v>
      </c>
      <c r="J152" s="8" t="str">
        <f t="shared" si="4"/>
        <v>Medium</v>
      </c>
      <c r="K152" s="8" t="str">
        <f t="shared" si="5"/>
        <v>Medium</v>
      </c>
    </row>
    <row r="153" ht="43.5" spans="1:11">
      <c r="A153" s="8" t="str">
        <f>'08_GDE_RISK_ENGINE'!A153</f>
        <v>P2MAG10 BR002</v>
      </c>
      <c r="B153" s="8" t="str">
        <f>'08_GDE_RISK_ENGINE'!B153</f>
        <v>Piping</v>
      </c>
      <c r="C153" s="8" t="str">
        <f>'08_GDE_RISK_ENGINE'!C153</f>
        <v>Power Block</v>
      </c>
      <c r="D153" s="8" t="str">
        <f>'08_GDE_RISK_ENGINE'!D153</f>
        <v>CL-POWER-MAG-COOLINGWATER-SS316L-L-T1_BELOW_80C</v>
      </c>
      <c r="E153" s="8">
        <f>'08_GDE_RISK_ENGINE'!E153</f>
        <v>2</v>
      </c>
      <c r="F153" s="8">
        <f>'08_GDE_RISK_ENGINE'!F153</f>
        <v>4</v>
      </c>
      <c r="G153" s="8" t="str">
        <f>'08_GDE_RISK_ENGINE'!G153</f>
        <v>High</v>
      </c>
      <c r="H153" s="8">
        <f>IF(A153="","",MIN(5,E153+'14_GDE_RISK_MATRIX_DASHBOARD'!$C$6))</f>
        <v>3</v>
      </c>
      <c r="I153" s="8">
        <f>IF(A153="","",MAX(1,E153-'14_GDE_RISK_MATRIX_DASHBOARD'!$C$7))</f>
        <v>1</v>
      </c>
      <c r="J153" s="8" t="str">
        <f t="shared" si="4"/>
        <v>High</v>
      </c>
      <c r="K153" s="8" t="str">
        <f t="shared" si="5"/>
        <v>Medium</v>
      </c>
    </row>
    <row r="154" ht="43.5" spans="1:11">
      <c r="A154" s="8" t="str">
        <f>'08_GDE_RISK_ENGINE'!A154</f>
        <v>P2PAB02 BR001</v>
      </c>
      <c r="B154" s="8" t="str">
        <f>'08_GDE_RISK_ENGINE'!B154</f>
        <v>Piping</v>
      </c>
      <c r="C154" s="8" t="str">
        <f>'08_GDE_RISK_ENGINE'!C154</f>
        <v>BOP/Utility</v>
      </c>
      <c r="D154" s="8" t="str">
        <f>'08_GDE_RISK_ENGINE'!D154</f>
        <v>CL-BOPUT-PAB-COOLINGWATER-SS316L-L-T1_BELOW_80C</v>
      </c>
      <c r="E154" s="8">
        <f>'08_GDE_RISK_ENGINE'!E154</f>
        <v>2</v>
      </c>
      <c r="F154" s="8">
        <f>'08_GDE_RISK_ENGINE'!F154</f>
        <v>3</v>
      </c>
      <c r="G154" s="8" t="str">
        <f>'08_GDE_RISK_ENGINE'!G154</f>
        <v>High</v>
      </c>
      <c r="H154" s="8">
        <f>IF(A154="","",MIN(5,E154+'14_GDE_RISK_MATRIX_DASHBOARD'!$C$6))</f>
        <v>3</v>
      </c>
      <c r="I154" s="8">
        <f>IF(A154="","",MAX(1,E154-'14_GDE_RISK_MATRIX_DASHBOARD'!$C$7))</f>
        <v>1</v>
      </c>
      <c r="J154" s="8" t="str">
        <f t="shared" si="4"/>
        <v>High</v>
      </c>
      <c r="K154" s="8" t="str">
        <f t="shared" si="5"/>
        <v>Medium</v>
      </c>
    </row>
    <row r="155" ht="43.5" spans="1:11">
      <c r="A155" s="8" t="str">
        <f>'08_GDE_RISK_ENGINE'!A155</f>
        <v>P2PAB03 BR001</v>
      </c>
      <c r="B155" s="8" t="str">
        <f>'08_GDE_RISK_ENGINE'!B155</f>
        <v>Piping</v>
      </c>
      <c r="C155" s="8" t="str">
        <f>'08_GDE_RISK_ENGINE'!C155</f>
        <v>BOP/Utility</v>
      </c>
      <c r="D155" s="8" t="str">
        <f>'08_GDE_RISK_ENGINE'!D155</f>
        <v>CL-BOPUT-PAB-COOLINGWATER-SS316L-L-T1_BELOW_80C</v>
      </c>
      <c r="E155" s="8">
        <f>'08_GDE_RISK_ENGINE'!E155</f>
        <v>2</v>
      </c>
      <c r="F155" s="8">
        <f>'08_GDE_RISK_ENGINE'!F155</f>
        <v>3</v>
      </c>
      <c r="G155" s="8" t="str">
        <f>'08_GDE_RISK_ENGINE'!G155</f>
        <v>High</v>
      </c>
      <c r="H155" s="8">
        <f>IF(A155="","",MIN(5,E155+'14_GDE_RISK_MATRIX_DASHBOARD'!$C$6))</f>
        <v>3</v>
      </c>
      <c r="I155" s="8">
        <f>IF(A155="","",MAX(1,E155-'14_GDE_RISK_MATRIX_DASHBOARD'!$C$7))</f>
        <v>1</v>
      </c>
      <c r="J155" s="8" t="str">
        <f t="shared" si="4"/>
        <v>High</v>
      </c>
      <c r="K155" s="8" t="str">
        <f t="shared" si="5"/>
        <v>Medium</v>
      </c>
    </row>
    <row r="156" ht="43.5" spans="1:11">
      <c r="A156" s="8" t="str">
        <f>'08_GDE_RISK_ENGINE'!A156</f>
        <v>P2LBA03 BR001</v>
      </c>
      <c r="B156" s="8" t="str">
        <f>'08_GDE_RISK_ENGINE'!B156</f>
        <v>Piping</v>
      </c>
      <c r="C156" s="8" t="str">
        <f>'08_GDE_RISK_ENGINE'!C156</f>
        <v>SAGS</v>
      </c>
      <c r="D156" s="8" t="str">
        <f>'08_GDE_RISK_ENGINE'!D156</f>
        <v>CL-SAGS-LBA-CONDENSATE-CS-L-T1_BELOW_80C</v>
      </c>
      <c r="E156" s="8">
        <f>'08_GDE_RISK_ENGINE'!E156</f>
        <v>4</v>
      </c>
      <c r="F156" s="8">
        <f>'08_GDE_RISK_ENGINE'!F156</f>
        <v>4</v>
      </c>
      <c r="G156" s="8" t="str">
        <f>'08_GDE_RISK_ENGINE'!G156</f>
        <v>Extreme High</v>
      </c>
      <c r="H156" s="8">
        <f>IF(A156="","",MIN(5,E156+'14_GDE_RISK_MATRIX_DASHBOARD'!$C$6))</f>
        <v>5</v>
      </c>
      <c r="I156" s="8">
        <f>IF(A156="","",MAX(1,E156-'14_GDE_RISK_MATRIX_DASHBOARD'!$C$7))</f>
        <v>3</v>
      </c>
      <c r="J156" s="8" t="str">
        <f t="shared" si="4"/>
        <v>Extreme High</v>
      </c>
      <c r="K156" s="8" t="str">
        <f t="shared" si="5"/>
        <v>High</v>
      </c>
    </row>
    <row r="157" ht="43.5" spans="1:11">
      <c r="A157" s="8" t="str">
        <f>'08_GDE_RISK_ENGINE'!A157</f>
        <v>P2LBA03 BR002</v>
      </c>
      <c r="B157" s="8" t="str">
        <f>'08_GDE_RISK_ENGINE'!B157</f>
        <v>Piping</v>
      </c>
      <c r="C157" s="8" t="str">
        <f>'08_GDE_RISK_ENGINE'!C157</f>
        <v>SAGS</v>
      </c>
      <c r="D157" s="8" t="str">
        <f>'08_GDE_RISK_ENGINE'!D157</f>
        <v>CL-SAGS-LBA-CONDENSATE-CS-L-T1_BELOW_80C</v>
      </c>
      <c r="E157" s="8">
        <f>'08_GDE_RISK_ENGINE'!E157</f>
        <v>4</v>
      </c>
      <c r="F157" s="8">
        <f>'08_GDE_RISK_ENGINE'!F157</f>
        <v>4</v>
      </c>
      <c r="G157" s="8" t="str">
        <f>'08_GDE_RISK_ENGINE'!G157</f>
        <v>Extreme High</v>
      </c>
      <c r="H157" s="8">
        <f>IF(A157="","",MIN(5,E157+'14_GDE_RISK_MATRIX_DASHBOARD'!$C$6))</f>
        <v>5</v>
      </c>
      <c r="I157" s="8">
        <f>IF(A157="","",MAX(1,E157-'14_GDE_RISK_MATRIX_DASHBOARD'!$C$7))</f>
        <v>3</v>
      </c>
      <c r="J157" s="8" t="str">
        <f t="shared" si="4"/>
        <v>Extreme High</v>
      </c>
      <c r="K157" s="8" t="str">
        <f t="shared" si="5"/>
        <v>High</v>
      </c>
    </row>
    <row r="158" ht="43.5" spans="1:11">
      <c r="A158" s="8" t="str">
        <f>'08_GDE_RISK_ENGINE'!A158</f>
        <v>P2PAB08 BR001</v>
      </c>
      <c r="B158" s="8" t="str">
        <f>'08_GDE_RISK_ENGINE'!B158</f>
        <v>Piping</v>
      </c>
      <c r="C158" s="8" t="str">
        <f>'08_GDE_RISK_ENGINE'!C158</f>
        <v>BOP/Utility</v>
      </c>
      <c r="D158" s="8" t="str">
        <f>'08_GDE_RISK_ENGINE'!D158</f>
        <v>CL-BOPUT-PAB-COOLINGWATER-SS316L-L-T1_BELOW_80C</v>
      </c>
      <c r="E158" s="8">
        <f>'08_GDE_RISK_ENGINE'!E158</f>
        <v>2</v>
      </c>
      <c r="F158" s="8">
        <f>'08_GDE_RISK_ENGINE'!F158</f>
        <v>3</v>
      </c>
      <c r="G158" s="8" t="str">
        <f>'08_GDE_RISK_ENGINE'!G158</f>
        <v>High</v>
      </c>
      <c r="H158" s="8">
        <f>IF(A158="","",MIN(5,E158+'14_GDE_RISK_MATRIX_DASHBOARD'!$C$6))</f>
        <v>3</v>
      </c>
      <c r="I158" s="8">
        <f>IF(A158="","",MAX(1,E158-'14_GDE_RISK_MATRIX_DASHBOARD'!$C$7))</f>
        <v>1</v>
      </c>
      <c r="J158" s="8" t="str">
        <f t="shared" si="4"/>
        <v>High</v>
      </c>
      <c r="K158" s="8" t="str">
        <f t="shared" si="5"/>
        <v>Medium</v>
      </c>
    </row>
    <row r="159" ht="43.5" spans="1:11">
      <c r="A159" s="8" t="str">
        <f>'08_GDE_RISK_ENGINE'!A159</f>
        <v>P2PAB04 BR001</v>
      </c>
      <c r="B159" s="8" t="str">
        <f>'08_GDE_RISK_ENGINE'!B159</f>
        <v>Piping</v>
      </c>
      <c r="C159" s="8" t="str">
        <f>'08_GDE_RISK_ENGINE'!C159</f>
        <v>BOP/Utility</v>
      </c>
      <c r="D159" s="8" t="str">
        <f>'08_GDE_RISK_ENGINE'!D159</f>
        <v>CL-BOPUT-PAB-COOLINGWATER-SS316L-L-T1_BELOW_80C</v>
      </c>
      <c r="E159" s="8">
        <f>'08_GDE_RISK_ENGINE'!E159</f>
        <v>2</v>
      </c>
      <c r="F159" s="8">
        <f>'08_GDE_RISK_ENGINE'!F159</f>
        <v>3</v>
      </c>
      <c r="G159" s="8" t="str">
        <f>'08_GDE_RISK_ENGINE'!G159</f>
        <v>High</v>
      </c>
      <c r="H159" s="8">
        <f>IF(A159="","",MIN(5,E159+'14_GDE_RISK_MATRIX_DASHBOARD'!$C$6))</f>
        <v>3</v>
      </c>
      <c r="I159" s="8">
        <f>IF(A159="","",MAX(1,E159-'14_GDE_RISK_MATRIX_DASHBOARD'!$C$7))</f>
        <v>1</v>
      </c>
      <c r="J159" s="8" t="str">
        <f t="shared" si="4"/>
        <v>High</v>
      </c>
      <c r="K159" s="8" t="str">
        <f t="shared" si="5"/>
        <v>Medium</v>
      </c>
    </row>
    <row r="160" ht="43.5" spans="1:11">
      <c r="A160" s="8" t="str">
        <f>'08_GDE_RISK_ENGINE'!A160</f>
        <v>P2PAB11 BR001</v>
      </c>
      <c r="B160" s="8" t="str">
        <f>'08_GDE_RISK_ENGINE'!B160</f>
        <v>Piping</v>
      </c>
      <c r="C160" s="8" t="str">
        <f>'08_GDE_RISK_ENGINE'!C160</f>
        <v>BOP/Utility</v>
      </c>
      <c r="D160" s="8" t="str">
        <f>'08_GDE_RISK_ENGINE'!D160</f>
        <v>CL-BOPUT-PAB-COOLINGWATER-SS316L-L-T1_BELOW_80C</v>
      </c>
      <c r="E160" s="8">
        <f>'08_GDE_RISK_ENGINE'!E160</f>
        <v>2</v>
      </c>
      <c r="F160" s="8">
        <f>'08_GDE_RISK_ENGINE'!F160</f>
        <v>3</v>
      </c>
      <c r="G160" s="8" t="str">
        <f>'08_GDE_RISK_ENGINE'!G160</f>
        <v>High</v>
      </c>
      <c r="H160" s="8">
        <f>IF(A160="","",MIN(5,E160+'14_GDE_RISK_MATRIX_DASHBOARD'!$C$6))</f>
        <v>3</v>
      </c>
      <c r="I160" s="8">
        <f>IF(A160="","",MAX(1,E160-'14_GDE_RISK_MATRIX_DASHBOARD'!$C$7))</f>
        <v>1</v>
      </c>
      <c r="J160" s="8" t="str">
        <f t="shared" si="4"/>
        <v>High</v>
      </c>
      <c r="K160" s="8" t="str">
        <f t="shared" si="5"/>
        <v>Medium</v>
      </c>
    </row>
    <row r="161" ht="43.5" spans="1:11">
      <c r="A161" s="8" t="str">
        <f>'08_GDE_RISK_ENGINE'!A161</f>
        <v>P2PAB11 BR002</v>
      </c>
      <c r="B161" s="8" t="str">
        <f>'08_GDE_RISK_ENGINE'!B161</f>
        <v>Piping</v>
      </c>
      <c r="C161" s="8" t="str">
        <f>'08_GDE_RISK_ENGINE'!C161</f>
        <v>BOP/Utility</v>
      </c>
      <c r="D161" s="8" t="str">
        <f>'08_GDE_RISK_ENGINE'!D161</f>
        <v>CL-BOPUT-PAB-COOLINGWATER-SS316L-L-T1_BELOW_80C</v>
      </c>
      <c r="E161" s="8">
        <f>'08_GDE_RISK_ENGINE'!E161</f>
        <v>2</v>
      </c>
      <c r="F161" s="8">
        <f>'08_GDE_RISK_ENGINE'!F161</f>
        <v>3</v>
      </c>
      <c r="G161" s="8" t="str">
        <f>'08_GDE_RISK_ENGINE'!G161</f>
        <v>High</v>
      </c>
      <c r="H161" s="8">
        <f>IF(A161="","",MIN(5,E161+'14_GDE_RISK_MATRIX_DASHBOARD'!$C$6))</f>
        <v>3</v>
      </c>
      <c r="I161" s="8">
        <f>IF(A161="","",MAX(1,E161-'14_GDE_RISK_MATRIX_DASHBOARD'!$C$7))</f>
        <v>1</v>
      </c>
      <c r="J161" s="8" t="str">
        <f t="shared" si="4"/>
        <v>High</v>
      </c>
      <c r="K161" s="8" t="str">
        <f t="shared" si="5"/>
        <v>Medium</v>
      </c>
    </row>
    <row r="162" ht="43.5" spans="1:11">
      <c r="A162" s="8" t="str">
        <f>'08_GDE_RISK_ENGINE'!A162</f>
        <v>P2PAB11 BR003</v>
      </c>
      <c r="B162" s="8" t="str">
        <f>'08_GDE_RISK_ENGINE'!B162</f>
        <v>Piping</v>
      </c>
      <c r="C162" s="8" t="str">
        <f>'08_GDE_RISK_ENGINE'!C162</f>
        <v>BOP/Utility</v>
      </c>
      <c r="D162" s="8" t="str">
        <f>'08_GDE_RISK_ENGINE'!D162</f>
        <v>CL-BOPUT-PAB-COOLINGWATER-SS316L-L-T1_BELOW_80C</v>
      </c>
      <c r="E162" s="8">
        <f>'08_GDE_RISK_ENGINE'!E162</f>
        <v>2</v>
      </c>
      <c r="F162" s="8">
        <f>'08_GDE_RISK_ENGINE'!F162</f>
        <v>3</v>
      </c>
      <c r="G162" s="8" t="str">
        <f>'08_GDE_RISK_ENGINE'!G162</f>
        <v>High</v>
      </c>
      <c r="H162" s="8">
        <f>IF(A162="","",MIN(5,E162+'14_GDE_RISK_MATRIX_DASHBOARD'!$C$6))</f>
        <v>3</v>
      </c>
      <c r="I162" s="8">
        <f>IF(A162="","",MAX(1,E162-'14_GDE_RISK_MATRIX_DASHBOARD'!$C$7))</f>
        <v>1</v>
      </c>
      <c r="J162" s="8" t="str">
        <f t="shared" si="4"/>
        <v>High</v>
      </c>
      <c r="K162" s="8" t="str">
        <f t="shared" si="5"/>
        <v>Medium</v>
      </c>
    </row>
    <row r="163" ht="43.5" spans="1:11">
      <c r="A163" s="8" t="str">
        <f>'08_GDE_RISK_ENGINE'!A163</f>
        <v>P2PAB12 BR001</v>
      </c>
      <c r="B163" s="8" t="str">
        <f>'08_GDE_RISK_ENGINE'!B163</f>
        <v>Piping</v>
      </c>
      <c r="C163" s="8" t="str">
        <f>'08_GDE_RISK_ENGINE'!C163</f>
        <v>BOP/Utility</v>
      </c>
      <c r="D163" s="8" t="str">
        <f>'08_GDE_RISK_ENGINE'!D163</f>
        <v>CL-BOPUT-PAB-COOLINGWATER-SS316L-L-T1_BELOW_80C</v>
      </c>
      <c r="E163" s="8">
        <f>'08_GDE_RISK_ENGINE'!E163</f>
        <v>2</v>
      </c>
      <c r="F163" s="8">
        <f>'08_GDE_RISK_ENGINE'!F163</f>
        <v>3</v>
      </c>
      <c r="G163" s="8" t="str">
        <f>'08_GDE_RISK_ENGINE'!G163</f>
        <v>High</v>
      </c>
      <c r="H163" s="8">
        <f>IF(A163="","",MIN(5,E163+'14_GDE_RISK_MATRIX_DASHBOARD'!$C$6))</f>
        <v>3</v>
      </c>
      <c r="I163" s="8">
        <f>IF(A163="","",MAX(1,E163-'14_GDE_RISK_MATRIX_DASHBOARD'!$C$7))</f>
        <v>1</v>
      </c>
      <c r="J163" s="8" t="str">
        <f t="shared" si="4"/>
        <v>High</v>
      </c>
      <c r="K163" s="8" t="str">
        <f t="shared" si="5"/>
        <v>Medium</v>
      </c>
    </row>
    <row r="164" ht="43.5" spans="1:11">
      <c r="A164" s="8" t="str">
        <f>'08_GDE_RISK_ENGINE'!A164</f>
        <v>P2PAB12 BR003</v>
      </c>
      <c r="B164" s="8" t="str">
        <f>'08_GDE_RISK_ENGINE'!B164</f>
        <v>Piping</v>
      </c>
      <c r="C164" s="8" t="str">
        <f>'08_GDE_RISK_ENGINE'!C164</f>
        <v>BOP/Utility</v>
      </c>
      <c r="D164" s="8" t="str">
        <f>'08_GDE_RISK_ENGINE'!D164</f>
        <v>CL-BOPUT-PAB-COOLINGWATER-SS316L-L-T1_BELOW_80C</v>
      </c>
      <c r="E164" s="8">
        <f>'08_GDE_RISK_ENGINE'!E164</f>
        <v>2</v>
      </c>
      <c r="F164" s="8">
        <f>'08_GDE_RISK_ENGINE'!F164</f>
        <v>3</v>
      </c>
      <c r="G164" s="8" t="str">
        <f>'08_GDE_RISK_ENGINE'!G164</f>
        <v>High</v>
      </c>
      <c r="H164" s="8">
        <f>IF(A164="","",MIN(5,E164+'14_GDE_RISK_MATRIX_DASHBOARD'!$C$6))</f>
        <v>3</v>
      </c>
      <c r="I164" s="8">
        <f>IF(A164="","",MAX(1,E164-'14_GDE_RISK_MATRIX_DASHBOARD'!$C$7))</f>
        <v>1</v>
      </c>
      <c r="J164" s="8" t="str">
        <f t="shared" si="4"/>
        <v>High</v>
      </c>
      <c r="K164" s="8" t="str">
        <f t="shared" si="5"/>
        <v>Medium</v>
      </c>
    </row>
    <row r="165" ht="43.5" spans="1:11">
      <c r="A165" s="8" t="str">
        <f>'08_GDE_RISK_ENGINE'!A165</f>
        <v>P2PAB13 BR003</v>
      </c>
      <c r="B165" s="8" t="str">
        <f>'08_GDE_RISK_ENGINE'!B165</f>
        <v>Piping</v>
      </c>
      <c r="C165" s="8" t="str">
        <f>'08_GDE_RISK_ENGINE'!C165</f>
        <v>BOP/Utility</v>
      </c>
      <c r="D165" s="8" t="str">
        <f>'08_GDE_RISK_ENGINE'!D165</f>
        <v>CL-BOPUT-PAB-COOLINGWATER-SS316L-L-T1_BELOW_80C</v>
      </c>
      <c r="E165" s="8">
        <f>'08_GDE_RISK_ENGINE'!E165</f>
        <v>2</v>
      </c>
      <c r="F165" s="8">
        <f>'08_GDE_RISK_ENGINE'!F165</f>
        <v>3</v>
      </c>
      <c r="G165" s="8" t="str">
        <f>'08_GDE_RISK_ENGINE'!G165</f>
        <v>High</v>
      </c>
      <c r="H165" s="8">
        <f>IF(A165="","",MIN(5,E165+'14_GDE_RISK_MATRIX_DASHBOARD'!$C$6))</f>
        <v>3</v>
      </c>
      <c r="I165" s="8">
        <f>IF(A165="","",MAX(1,E165-'14_GDE_RISK_MATRIX_DASHBOARD'!$C$7))</f>
        <v>1</v>
      </c>
      <c r="J165" s="8" t="str">
        <f t="shared" si="4"/>
        <v>High</v>
      </c>
      <c r="K165" s="8" t="str">
        <f t="shared" si="5"/>
        <v>Medium</v>
      </c>
    </row>
    <row r="166" ht="43.5" spans="1:11">
      <c r="A166" s="8" t="str">
        <f>'08_GDE_RISK_ENGINE'!A166</f>
        <v>P2PAB13 BR004</v>
      </c>
      <c r="B166" s="8" t="str">
        <f>'08_GDE_RISK_ENGINE'!B166</f>
        <v>Piping</v>
      </c>
      <c r="C166" s="8" t="str">
        <f>'08_GDE_RISK_ENGINE'!C166</f>
        <v>BOP/Utility</v>
      </c>
      <c r="D166" s="8" t="str">
        <f>'08_GDE_RISK_ENGINE'!D166</f>
        <v>CL-BOPUT-PAB-COOLINGWATER-SS316L-L-T1_BELOW_80C</v>
      </c>
      <c r="E166" s="8">
        <f>'08_GDE_RISK_ENGINE'!E166</f>
        <v>2</v>
      </c>
      <c r="F166" s="8">
        <f>'08_GDE_RISK_ENGINE'!F166</f>
        <v>3</v>
      </c>
      <c r="G166" s="8" t="str">
        <f>'08_GDE_RISK_ENGINE'!G166</f>
        <v>High</v>
      </c>
      <c r="H166" s="8">
        <f>IF(A166="","",MIN(5,E166+'14_GDE_RISK_MATRIX_DASHBOARD'!$C$6))</f>
        <v>3</v>
      </c>
      <c r="I166" s="8">
        <f>IF(A166="","",MAX(1,E166-'14_GDE_RISK_MATRIX_DASHBOARD'!$C$7))</f>
        <v>1</v>
      </c>
      <c r="J166" s="8" t="str">
        <f t="shared" si="4"/>
        <v>High</v>
      </c>
      <c r="K166" s="8" t="str">
        <f t="shared" si="5"/>
        <v>Medium</v>
      </c>
    </row>
    <row r="167" ht="43.5" spans="1:11">
      <c r="A167" s="8" t="str">
        <f>'08_GDE_RISK_ENGINE'!A167</f>
        <v>P2PAB13 BR002</v>
      </c>
      <c r="B167" s="8" t="str">
        <f>'08_GDE_RISK_ENGINE'!B167</f>
        <v>Piping</v>
      </c>
      <c r="C167" s="8" t="str">
        <f>'08_GDE_RISK_ENGINE'!C167</f>
        <v>BOP/Utility</v>
      </c>
      <c r="D167" s="8" t="str">
        <f>'08_GDE_RISK_ENGINE'!D167</f>
        <v>CL-BOPUT-PAB-COOLINGWATER-SS316L-L-T1_BELOW_80C</v>
      </c>
      <c r="E167" s="8">
        <f>'08_GDE_RISK_ENGINE'!E167</f>
        <v>2</v>
      </c>
      <c r="F167" s="8">
        <f>'08_GDE_RISK_ENGINE'!F167</f>
        <v>3</v>
      </c>
      <c r="G167" s="8" t="str">
        <f>'08_GDE_RISK_ENGINE'!G167</f>
        <v>High</v>
      </c>
      <c r="H167" s="8">
        <f>IF(A167="","",MIN(5,E167+'14_GDE_RISK_MATRIX_DASHBOARD'!$C$6))</f>
        <v>3</v>
      </c>
      <c r="I167" s="8">
        <f>IF(A167="","",MAX(1,E167-'14_GDE_RISK_MATRIX_DASHBOARD'!$C$7))</f>
        <v>1</v>
      </c>
      <c r="J167" s="8" t="str">
        <f t="shared" si="4"/>
        <v>High</v>
      </c>
      <c r="K167" s="8" t="str">
        <f t="shared" si="5"/>
        <v>Medium</v>
      </c>
    </row>
    <row r="168" ht="43.5" spans="1:11">
      <c r="A168" s="8" t="str">
        <f>'08_GDE_RISK_ENGINE'!A168</f>
        <v>P2PAB08 BR003</v>
      </c>
      <c r="B168" s="8" t="str">
        <f>'08_GDE_RISK_ENGINE'!B168</f>
        <v>Piping</v>
      </c>
      <c r="C168" s="8" t="str">
        <f>'08_GDE_RISK_ENGINE'!C168</f>
        <v>BOP/Utility</v>
      </c>
      <c r="D168" s="8" t="str">
        <f>'08_GDE_RISK_ENGINE'!D168</f>
        <v>CL-BOPUT-PAB-STEAMWASH-SS316L-L-T0_UNKNOWN</v>
      </c>
      <c r="E168" s="8">
        <f>'08_GDE_RISK_ENGINE'!E168</f>
        <v>2</v>
      </c>
      <c r="F168" s="8">
        <f>'08_GDE_RISK_ENGINE'!F168</f>
        <v>3</v>
      </c>
      <c r="G168" s="8" t="str">
        <f>'08_GDE_RISK_ENGINE'!G168</f>
        <v>High</v>
      </c>
      <c r="H168" s="8">
        <f>IF(A168="","",MIN(5,E168+'14_GDE_RISK_MATRIX_DASHBOARD'!$C$6))</f>
        <v>3</v>
      </c>
      <c r="I168" s="8">
        <f>IF(A168="","",MAX(1,E168-'14_GDE_RISK_MATRIX_DASHBOARD'!$C$7))</f>
        <v>1</v>
      </c>
      <c r="J168" s="8" t="str">
        <f t="shared" si="4"/>
        <v>High</v>
      </c>
      <c r="K168" s="8" t="str">
        <f t="shared" si="5"/>
        <v>Medium</v>
      </c>
    </row>
    <row r="169" ht="43.5" spans="1:11">
      <c r="A169" s="8" t="str">
        <f>'08_GDE_RISK_ENGINE'!A169</f>
        <v>P2PAB08 BR004</v>
      </c>
      <c r="B169" s="8" t="str">
        <f>'08_GDE_RISK_ENGINE'!B169</f>
        <v>Piping</v>
      </c>
      <c r="C169" s="8" t="str">
        <f>'08_GDE_RISK_ENGINE'!C169</f>
        <v>BOP/Utility</v>
      </c>
      <c r="D169" s="8" t="str">
        <f>'08_GDE_RISK_ENGINE'!D169</f>
        <v>CL-BOPUT-PAB-STEAMWASH-SS316L-L-T0_UNKNOWN</v>
      </c>
      <c r="E169" s="8">
        <f>'08_GDE_RISK_ENGINE'!E169</f>
        <v>2</v>
      </c>
      <c r="F169" s="8">
        <f>'08_GDE_RISK_ENGINE'!F169</f>
        <v>3</v>
      </c>
      <c r="G169" s="8" t="str">
        <f>'08_GDE_RISK_ENGINE'!G169</f>
        <v>High</v>
      </c>
      <c r="H169" s="8">
        <f>IF(A169="","",MIN(5,E169+'14_GDE_RISK_MATRIX_DASHBOARD'!$C$6))</f>
        <v>3</v>
      </c>
      <c r="I169" s="8">
        <f>IF(A169="","",MAX(1,E169-'14_GDE_RISK_MATRIX_DASHBOARD'!$C$7))</f>
        <v>1</v>
      </c>
      <c r="J169" s="8" t="str">
        <f t="shared" si="4"/>
        <v>High</v>
      </c>
      <c r="K169" s="8" t="str">
        <f t="shared" si="5"/>
        <v>Medium</v>
      </c>
    </row>
    <row r="170" ht="43.5" spans="1:11">
      <c r="A170" s="8" t="str">
        <f>'08_GDE_RISK_ENGINE'!A170</f>
        <v>P2PCB15 BR002</v>
      </c>
      <c r="B170" s="8" t="str">
        <f>'08_GDE_RISK_ENGINE'!B170</f>
        <v>Piping</v>
      </c>
      <c r="C170" s="8" t="str">
        <f>'08_GDE_RISK_ENGINE'!C170</f>
        <v>BOP/Utility</v>
      </c>
      <c r="D170" s="8" t="str">
        <f>'08_GDE_RISK_ENGINE'!D170</f>
        <v>CL-BOPUT-PCB-COOLINGWATER--L-T1_BELOW_80C</v>
      </c>
      <c r="E170" s="8">
        <f>'08_GDE_RISK_ENGINE'!E170</f>
        <v>2</v>
      </c>
      <c r="F170" s="8">
        <f>'08_GDE_RISK_ENGINE'!F170</f>
        <v>3</v>
      </c>
      <c r="G170" s="8" t="str">
        <f>'08_GDE_RISK_ENGINE'!G170</f>
        <v>High</v>
      </c>
      <c r="H170" s="8">
        <f>IF(A170="","",MIN(5,E170+'14_GDE_RISK_MATRIX_DASHBOARD'!$C$6))</f>
        <v>3</v>
      </c>
      <c r="I170" s="8">
        <f>IF(A170="","",MAX(1,E170-'14_GDE_RISK_MATRIX_DASHBOARD'!$C$7))</f>
        <v>1</v>
      </c>
      <c r="J170" s="8" t="str">
        <f t="shared" si="4"/>
        <v>High</v>
      </c>
      <c r="K170" s="8" t="str">
        <f t="shared" si="5"/>
        <v>Medium</v>
      </c>
    </row>
    <row r="171" ht="43.5" spans="1:11">
      <c r="A171" s="8" t="str">
        <f>'08_GDE_RISK_ENGINE'!A171</f>
        <v>P2PAB02 BR002</v>
      </c>
      <c r="B171" s="8" t="str">
        <f>'08_GDE_RISK_ENGINE'!B171</f>
        <v>Piping</v>
      </c>
      <c r="C171" s="8" t="str">
        <f>'08_GDE_RISK_ENGINE'!C171</f>
        <v>BOP/Utility</v>
      </c>
      <c r="D171" s="8" t="str">
        <f>'08_GDE_RISK_ENGINE'!D171</f>
        <v>CL-BOPUT-PAB-COOLINGWATER-SS316L-L-T1_BELOW_80C</v>
      </c>
      <c r="E171" s="8">
        <f>'08_GDE_RISK_ENGINE'!E171</f>
        <v>2</v>
      </c>
      <c r="F171" s="8">
        <f>'08_GDE_RISK_ENGINE'!F171</f>
        <v>3</v>
      </c>
      <c r="G171" s="8" t="str">
        <f>'08_GDE_RISK_ENGINE'!G171</f>
        <v>High</v>
      </c>
      <c r="H171" s="8">
        <f>IF(A171="","",MIN(5,E171+'14_GDE_RISK_MATRIX_DASHBOARD'!$C$6))</f>
        <v>3</v>
      </c>
      <c r="I171" s="8">
        <f>IF(A171="","",MAX(1,E171-'14_GDE_RISK_MATRIX_DASHBOARD'!$C$7))</f>
        <v>1</v>
      </c>
      <c r="J171" s="8" t="str">
        <f t="shared" si="4"/>
        <v>High</v>
      </c>
      <c r="K171" s="8" t="str">
        <f t="shared" si="5"/>
        <v>Medium</v>
      </c>
    </row>
    <row r="172" ht="43.5" spans="1:11">
      <c r="A172" s="8" t="str">
        <f>'08_GDE_RISK_ENGINE'!A172</f>
        <v>P2PAB09 BR001</v>
      </c>
      <c r="B172" s="8" t="str">
        <f>'08_GDE_RISK_ENGINE'!B172</f>
        <v>Piping</v>
      </c>
      <c r="C172" s="8" t="str">
        <f>'08_GDE_RISK_ENGINE'!C172</f>
        <v>BOP/Utility</v>
      </c>
      <c r="D172" s="8" t="str">
        <f>'08_GDE_RISK_ENGINE'!D172</f>
        <v>CL-BOPUT-PAB-COOLINGWATER-SS316L-L-T1_BELOW_80C</v>
      </c>
      <c r="E172" s="8">
        <f>'08_GDE_RISK_ENGINE'!E172</f>
        <v>2</v>
      </c>
      <c r="F172" s="8">
        <f>'08_GDE_RISK_ENGINE'!F172</f>
        <v>3</v>
      </c>
      <c r="G172" s="8" t="str">
        <f>'08_GDE_RISK_ENGINE'!G172</f>
        <v>High</v>
      </c>
      <c r="H172" s="8">
        <f>IF(A172="","",MIN(5,E172+'14_GDE_RISK_MATRIX_DASHBOARD'!$C$6))</f>
        <v>3</v>
      </c>
      <c r="I172" s="8">
        <f>IF(A172="","",MAX(1,E172-'14_GDE_RISK_MATRIX_DASHBOARD'!$C$7))</f>
        <v>1</v>
      </c>
      <c r="J172" s="8" t="str">
        <f t="shared" si="4"/>
        <v>High</v>
      </c>
      <c r="K172" s="8" t="str">
        <f t="shared" si="5"/>
        <v>Medium</v>
      </c>
    </row>
    <row r="173" ht="43.5" spans="1:11">
      <c r="A173" s="8" t="str">
        <f>'08_GDE_RISK_ENGINE'!A173</f>
        <v>P2PAB09 BR002</v>
      </c>
      <c r="B173" s="8" t="str">
        <f>'08_GDE_RISK_ENGINE'!B173</f>
        <v>Piping</v>
      </c>
      <c r="C173" s="8" t="str">
        <f>'08_GDE_RISK_ENGINE'!C173</f>
        <v>BOP/Utility</v>
      </c>
      <c r="D173" s="8" t="str">
        <f>'08_GDE_RISK_ENGINE'!D173</f>
        <v>CL-BOPUT-PAB-COOLINGWATER-SS316L-L-T1_BELOW_80C</v>
      </c>
      <c r="E173" s="8">
        <f>'08_GDE_RISK_ENGINE'!E173</f>
        <v>2</v>
      </c>
      <c r="F173" s="8">
        <f>'08_GDE_RISK_ENGINE'!F173</f>
        <v>3</v>
      </c>
      <c r="G173" s="8" t="str">
        <f>'08_GDE_RISK_ENGINE'!G173</f>
        <v>High</v>
      </c>
      <c r="H173" s="8">
        <f>IF(A173="","",MIN(5,E173+'14_GDE_RISK_MATRIX_DASHBOARD'!$C$6))</f>
        <v>3</v>
      </c>
      <c r="I173" s="8">
        <f>IF(A173="","",MAX(1,E173-'14_GDE_RISK_MATRIX_DASHBOARD'!$C$7))</f>
        <v>1</v>
      </c>
      <c r="J173" s="8" t="str">
        <f t="shared" si="4"/>
        <v>High</v>
      </c>
      <c r="K173" s="8" t="str">
        <f t="shared" si="5"/>
        <v>Medium</v>
      </c>
    </row>
    <row r="174" ht="43.5" spans="1:11">
      <c r="A174" s="8" t="str">
        <f>'08_GDE_RISK_ENGINE'!A174</f>
        <v>P2PAB05 BR001</v>
      </c>
      <c r="B174" s="8" t="str">
        <f>'08_GDE_RISK_ENGINE'!B174</f>
        <v>Piping</v>
      </c>
      <c r="C174" s="8" t="str">
        <f>'08_GDE_RISK_ENGINE'!C174</f>
        <v>BOP/Utility</v>
      </c>
      <c r="D174" s="8" t="str">
        <f>'08_GDE_RISK_ENGINE'!D174</f>
        <v>CL-BOPUT-PAB-COOLINGWATER-SS316L-L-T1_BELOW_80C</v>
      </c>
      <c r="E174" s="8">
        <f>'08_GDE_RISK_ENGINE'!E174</f>
        <v>2</v>
      </c>
      <c r="F174" s="8">
        <f>'08_GDE_RISK_ENGINE'!F174</f>
        <v>3</v>
      </c>
      <c r="G174" s="8" t="str">
        <f>'08_GDE_RISK_ENGINE'!G174</f>
        <v>High</v>
      </c>
      <c r="H174" s="8">
        <f>IF(A174="","",MIN(5,E174+'14_GDE_RISK_MATRIX_DASHBOARD'!$C$6))</f>
        <v>3</v>
      </c>
      <c r="I174" s="8">
        <f>IF(A174="","",MAX(1,E174-'14_GDE_RISK_MATRIX_DASHBOARD'!$C$7))</f>
        <v>1</v>
      </c>
      <c r="J174" s="8" t="str">
        <f t="shared" si="4"/>
        <v>High</v>
      </c>
      <c r="K174" s="8" t="str">
        <f t="shared" si="5"/>
        <v>Medium</v>
      </c>
    </row>
    <row r="175" ht="29" spans="1:11">
      <c r="A175" s="8" t="str">
        <f>'08_GDE_RISK_ENGINE'!A175</f>
        <v>P2PAB07 BR001</v>
      </c>
      <c r="B175" s="8" t="str">
        <f>'08_GDE_RISK_ENGINE'!B175</f>
        <v>Piping</v>
      </c>
      <c r="C175" s="8" t="str">
        <f>'08_GDE_RISK_ENGINE'!C175</f>
        <v>BOP/Utility</v>
      </c>
      <c r="D175" s="8" t="str">
        <f>'08_GDE_RISK_ENGINE'!D175</f>
        <v>CL-BOPUT-PAB-VENT-SS316L-V-T1_BELOW_80C</v>
      </c>
      <c r="E175" s="8">
        <f>'08_GDE_RISK_ENGINE'!E175</f>
        <v>1</v>
      </c>
      <c r="F175" s="8">
        <f>'08_GDE_RISK_ENGINE'!F175</f>
        <v>3</v>
      </c>
      <c r="G175" s="8" t="str">
        <f>'08_GDE_RISK_ENGINE'!G175</f>
        <v>Low</v>
      </c>
      <c r="H175" s="8">
        <f>IF(A175="","",MIN(5,E175+'14_GDE_RISK_MATRIX_DASHBOARD'!$C$6))</f>
        <v>2</v>
      </c>
      <c r="I175" s="8">
        <f>IF(A175="","",MAX(1,E175-'14_GDE_RISK_MATRIX_DASHBOARD'!$C$7))</f>
        <v>1</v>
      </c>
      <c r="J175" s="8" t="str">
        <f t="shared" si="4"/>
        <v>Medium</v>
      </c>
      <c r="K175" s="8" t="str">
        <f t="shared" si="5"/>
        <v>Medium</v>
      </c>
    </row>
    <row r="176" ht="29" spans="1:11">
      <c r="A176" s="8" t="str">
        <f>'08_GDE_RISK_ENGINE'!A176</f>
        <v>P2PAB06 BR001</v>
      </c>
      <c r="B176" s="8" t="str">
        <f>'08_GDE_RISK_ENGINE'!B176</f>
        <v>Piping</v>
      </c>
      <c r="C176" s="8" t="str">
        <f>'08_GDE_RISK_ENGINE'!C176</f>
        <v>BOP/Utility</v>
      </c>
      <c r="D176" s="8" t="str">
        <f>'08_GDE_RISK_ENGINE'!D176</f>
        <v>CL-BOPUT-PAB-VENT-SS316L-V-T0_UNKNOWN</v>
      </c>
      <c r="E176" s="8">
        <f>'08_GDE_RISK_ENGINE'!E176</f>
        <v>1</v>
      </c>
      <c r="F176" s="8">
        <f>'08_GDE_RISK_ENGINE'!F176</f>
        <v>3</v>
      </c>
      <c r="G176" s="8" t="str">
        <f>'08_GDE_RISK_ENGINE'!G176</f>
        <v>Low</v>
      </c>
      <c r="H176" s="8">
        <f>IF(A176="","",MIN(5,E176+'14_GDE_RISK_MATRIX_DASHBOARD'!$C$6))</f>
        <v>2</v>
      </c>
      <c r="I176" s="8">
        <f>IF(A176="","",MAX(1,E176-'14_GDE_RISK_MATRIX_DASHBOARD'!$C$7))</f>
        <v>1</v>
      </c>
      <c r="J176" s="8" t="str">
        <f t="shared" si="4"/>
        <v>Medium</v>
      </c>
      <c r="K176" s="8" t="str">
        <f t="shared" si="5"/>
        <v>Medium</v>
      </c>
    </row>
    <row r="177" ht="43.5" spans="1:11">
      <c r="A177" s="8" t="str">
        <f>'08_GDE_RISK_ENGINE'!A177</f>
        <v>P2PCB16 BR002</v>
      </c>
      <c r="B177" s="8" t="str">
        <f>'08_GDE_RISK_ENGINE'!B177</f>
        <v>Piping</v>
      </c>
      <c r="C177" s="8" t="str">
        <f>'08_GDE_RISK_ENGINE'!C177</f>
        <v>BOP/Utility</v>
      </c>
      <c r="D177" s="8" t="str">
        <f>'08_GDE_RISK_ENGINE'!D177</f>
        <v>CL-BOPUT-PCB-COOLINGWATER--L-T1_BELOW_80C</v>
      </c>
      <c r="E177" s="8">
        <f>'08_GDE_RISK_ENGINE'!E177</f>
        <v>2</v>
      </c>
      <c r="F177" s="8">
        <f>'08_GDE_RISK_ENGINE'!F177</f>
        <v>3</v>
      </c>
      <c r="G177" s="8" t="str">
        <f>'08_GDE_RISK_ENGINE'!G177</f>
        <v>High</v>
      </c>
      <c r="H177" s="8">
        <f>IF(A177="","",MIN(5,E177+'14_GDE_RISK_MATRIX_DASHBOARD'!$C$6))</f>
        <v>3</v>
      </c>
      <c r="I177" s="8">
        <f>IF(A177="","",MAX(1,E177-'14_GDE_RISK_MATRIX_DASHBOARD'!$C$7))</f>
        <v>1</v>
      </c>
      <c r="J177" s="8" t="str">
        <f t="shared" si="4"/>
        <v>High</v>
      </c>
      <c r="K177" s="8" t="str">
        <f t="shared" si="5"/>
        <v>Medium</v>
      </c>
    </row>
    <row r="178" ht="43.5" spans="1:11">
      <c r="A178" s="8" t="str">
        <f>'08_GDE_RISK_ENGINE'!A178</f>
        <v>P2PAB03 BR002</v>
      </c>
      <c r="B178" s="8" t="str">
        <f>'08_GDE_RISK_ENGINE'!B178</f>
        <v>Piping</v>
      </c>
      <c r="C178" s="8" t="str">
        <f>'08_GDE_RISK_ENGINE'!C178</f>
        <v>BOP/Utility</v>
      </c>
      <c r="D178" s="8" t="str">
        <f>'08_GDE_RISK_ENGINE'!D178</f>
        <v>CL-BOPUT-PAB-COOLINGWATER-SS316L-L-T1_BELOW_80C</v>
      </c>
      <c r="E178" s="8">
        <f>'08_GDE_RISK_ENGINE'!E178</f>
        <v>2</v>
      </c>
      <c r="F178" s="8">
        <f>'08_GDE_RISK_ENGINE'!F178</f>
        <v>3</v>
      </c>
      <c r="G178" s="8" t="str">
        <f>'08_GDE_RISK_ENGINE'!G178</f>
        <v>High</v>
      </c>
      <c r="H178" s="8">
        <f>IF(A178="","",MIN(5,E178+'14_GDE_RISK_MATRIX_DASHBOARD'!$C$6))</f>
        <v>3</v>
      </c>
      <c r="I178" s="8">
        <f>IF(A178="","",MAX(1,E178-'14_GDE_RISK_MATRIX_DASHBOARD'!$C$7))</f>
        <v>1</v>
      </c>
      <c r="J178" s="8" t="str">
        <f t="shared" si="4"/>
        <v>High</v>
      </c>
      <c r="K178" s="8" t="str">
        <f t="shared" si="5"/>
        <v>Medium</v>
      </c>
    </row>
    <row r="179" ht="29" spans="1:11">
      <c r="A179" s="8" t="str">
        <f>'08_GDE_RISK_ENGINE'!A179</f>
        <v>P2MAJ14 BR003</v>
      </c>
      <c r="B179" s="8" t="str">
        <f>'08_GDE_RISK_ENGINE'!B179</f>
        <v>Piping</v>
      </c>
      <c r="C179" s="8" t="str">
        <f>'08_GDE_RISK_ENGINE'!C179</f>
        <v>Power Block</v>
      </c>
      <c r="D179" s="8" t="str">
        <f>'08_GDE_RISK_ENGINE'!D179</f>
        <v>CL-POWER-MAJ-NCG-SS316L-V-T0_UNKNOWN</v>
      </c>
      <c r="E179" s="8">
        <f>'08_GDE_RISK_ENGINE'!E179</f>
        <v>2</v>
      </c>
      <c r="F179" s="8">
        <f>'08_GDE_RISK_ENGINE'!F179</f>
        <v>4</v>
      </c>
      <c r="G179" s="8" t="str">
        <f>'08_GDE_RISK_ENGINE'!G179</f>
        <v>High</v>
      </c>
      <c r="H179" s="8">
        <f>IF(A179="","",MIN(5,E179+'14_GDE_RISK_MATRIX_DASHBOARD'!$C$6))</f>
        <v>3</v>
      </c>
      <c r="I179" s="8">
        <f>IF(A179="","",MAX(1,E179-'14_GDE_RISK_MATRIX_DASHBOARD'!$C$7))</f>
        <v>1</v>
      </c>
      <c r="J179" s="8" t="str">
        <f t="shared" si="4"/>
        <v>High</v>
      </c>
      <c r="K179" s="8" t="str">
        <f t="shared" si="5"/>
        <v>Medium</v>
      </c>
    </row>
    <row r="180" ht="29" spans="1:11">
      <c r="A180" s="8" t="str">
        <f>'08_GDE_RISK_ENGINE'!A180</f>
        <v>P2MAJ14 BR004</v>
      </c>
      <c r="B180" s="8" t="str">
        <f>'08_GDE_RISK_ENGINE'!B180</f>
        <v>Piping</v>
      </c>
      <c r="C180" s="8" t="str">
        <f>'08_GDE_RISK_ENGINE'!C180</f>
        <v>Power Block</v>
      </c>
      <c r="D180" s="8" t="str">
        <f>'08_GDE_RISK_ENGINE'!D180</f>
        <v>CL-POWER-MAJ-NCG-SS316L-V-T0_UNKNOWN</v>
      </c>
      <c r="E180" s="8">
        <f>'08_GDE_RISK_ENGINE'!E180</f>
        <v>2</v>
      </c>
      <c r="F180" s="8">
        <f>'08_GDE_RISK_ENGINE'!F180</f>
        <v>4</v>
      </c>
      <c r="G180" s="8" t="str">
        <f>'08_GDE_RISK_ENGINE'!G180</f>
        <v>High</v>
      </c>
      <c r="H180" s="8">
        <f>IF(A180="","",MIN(5,E180+'14_GDE_RISK_MATRIX_DASHBOARD'!$C$6))</f>
        <v>3</v>
      </c>
      <c r="I180" s="8">
        <f>IF(A180="","",MAX(1,E180-'14_GDE_RISK_MATRIX_DASHBOARD'!$C$7))</f>
        <v>1</v>
      </c>
      <c r="J180" s="8" t="str">
        <f t="shared" si="4"/>
        <v>High</v>
      </c>
      <c r="K180" s="8" t="str">
        <f t="shared" si="5"/>
        <v>Medium</v>
      </c>
    </row>
    <row r="181" ht="29" spans="1:11">
      <c r="A181" s="8" t="str">
        <f>'08_GDE_RISK_ENGINE'!A181</f>
        <v>P2MAJ14 BR005</v>
      </c>
      <c r="B181" s="8" t="str">
        <f>'08_GDE_RISK_ENGINE'!B181</f>
        <v>Piping</v>
      </c>
      <c r="C181" s="8" t="str">
        <f>'08_GDE_RISK_ENGINE'!C181</f>
        <v>Power Block</v>
      </c>
      <c r="D181" s="8" t="str">
        <f>'08_GDE_RISK_ENGINE'!D181</f>
        <v>CL-POWER-MAJ-NCG-SS316L-V-T0_UNKNOWN</v>
      </c>
      <c r="E181" s="8">
        <f>'08_GDE_RISK_ENGINE'!E181</f>
        <v>2</v>
      </c>
      <c r="F181" s="8">
        <f>'08_GDE_RISK_ENGINE'!F181</f>
        <v>4</v>
      </c>
      <c r="G181" s="8" t="str">
        <f>'08_GDE_RISK_ENGINE'!G181</f>
        <v>High</v>
      </c>
      <c r="H181" s="8">
        <f>IF(A181="","",MIN(5,E181+'14_GDE_RISK_MATRIX_DASHBOARD'!$C$6))</f>
        <v>3</v>
      </c>
      <c r="I181" s="8">
        <f>IF(A181="","",MAX(1,E181-'14_GDE_RISK_MATRIX_DASHBOARD'!$C$7))</f>
        <v>1</v>
      </c>
      <c r="J181" s="8" t="str">
        <f t="shared" si="4"/>
        <v>High</v>
      </c>
      <c r="K181" s="8" t="str">
        <f t="shared" si="5"/>
        <v>Medium</v>
      </c>
    </row>
    <row r="182" ht="29" spans="1:11">
      <c r="A182" s="8" t="str">
        <f>'08_GDE_RISK_ENGINE'!A182</f>
        <v>P2MAJ14 BR006</v>
      </c>
      <c r="B182" s="8" t="str">
        <f>'08_GDE_RISK_ENGINE'!B182</f>
        <v>Piping</v>
      </c>
      <c r="C182" s="8" t="str">
        <f>'08_GDE_RISK_ENGINE'!C182</f>
        <v>Power Block</v>
      </c>
      <c r="D182" s="8" t="str">
        <f>'08_GDE_RISK_ENGINE'!D182</f>
        <v>CL-POWER-MAJ-NCG-SS316L-V-T0_UNKNOWN</v>
      </c>
      <c r="E182" s="8">
        <f>'08_GDE_RISK_ENGINE'!E182</f>
        <v>2</v>
      </c>
      <c r="F182" s="8">
        <f>'08_GDE_RISK_ENGINE'!F182</f>
        <v>4</v>
      </c>
      <c r="G182" s="8" t="str">
        <f>'08_GDE_RISK_ENGINE'!G182</f>
        <v>High</v>
      </c>
      <c r="H182" s="8">
        <f>IF(A182="","",MIN(5,E182+'14_GDE_RISK_MATRIX_DASHBOARD'!$C$6))</f>
        <v>3</v>
      </c>
      <c r="I182" s="8">
        <f>IF(A182="","",MAX(1,E182-'14_GDE_RISK_MATRIX_DASHBOARD'!$C$7))</f>
        <v>1</v>
      </c>
      <c r="J182" s="8" t="str">
        <f t="shared" si="4"/>
        <v>High</v>
      </c>
      <c r="K182" s="8" t="str">
        <f t="shared" si="5"/>
        <v>Medium</v>
      </c>
    </row>
    <row r="183" ht="29" spans="1:11">
      <c r="A183" s="8" t="str">
        <f>'08_GDE_RISK_ENGINE'!A183</f>
        <v>P2MAJ14 BR007</v>
      </c>
      <c r="B183" s="8" t="str">
        <f>'08_GDE_RISK_ENGINE'!B183</f>
        <v>Piping</v>
      </c>
      <c r="C183" s="8" t="str">
        <f>'08_GDE_RISK_ENGINE'!C183</f>
        <v>Power Block</v>
      </c>
      <c r="D183" s="8" t="str">
        <f>'08_GDE_RISK_ENGINE'!D183</f>
        <v>CL-POWER-MAJ-NCG-SS316L-V-T0_UNKNOWN</v>
      </c>
      <c r="E183" s="8">
        <f>'08_GDE_RISK_ENGINE'!E183</f>
        <v>2</v>
      </c>
      <c r="F183" s="8">
        <f>'08_GDE_RISK_ENGINE'!F183</f>
        <v>4</v>
      </c>
      <c r="G183" s="8" t="str">
        <f>'08_GDE_RISK_ENGINE'!G183</f>
        <v>High</v>
      </c>
      <c r="H183" s="8">
        <f>IF(A183="","",MIN(5,E183+'14_GDE_RISK_MATRIX_DASHBOARD'!$C$6))</f>
        <v>3</v>
      </c>
      <c r="I183" s="8">
        <f>IF(A183="","",MAX(1,E183-'14_GDE_RISK_MATRIX_DASHBOARD'!$C$7))</f>
        <v>1</v>
      </c>
      <c r="J183" s="8" t="str">
        <f t="shared" si="4"/>
        <v>High</v>
      </c>
      <c r="K183" s="8" t="str">
        <f t="shared" si="5"/>
        <v>Medium</v>
      </c>
    </row>
    <row r="184" ht="29" spans="1:11">
      <c r="A184" s="8" t="str">
        <f>'08_GDE_RISK_ENGINE'!A184</f>
        <v>P2MAJ14 BR008</v>
      </c>
      <c r="B184" s="8" t="str">
        <f>'08_GDE_RISK_ENGINE'!B184</f>
        <v>Piping</v>
      </c>
      <c r="C184" s="8" t="str">
        <f>'08_GDE_RISK_ENGINE'!C184</f>
        <v>Power Block</v>
      </c>
      <c r="D184" s="8" t="str">
        <f>'08_GDE_RISK_ENGINE'!D184</f>
        <v>CL-POWER-MAJ-NCG-SS316L-V-T0_UNKNOWN</v>
      </c>
      <c r="E184" s="8">
        <f>'08_GDE_RISK_ENGINE'!E184</f>
        <v>2</v>
      </c>
      <c r="F184" s="8">
        <f>'08_GDE_RISK_ENGINE'!F184</f>
        <v>4</v>
      </c>
      <c r="G184" s="8" t="str">
        <f>'08_GDE_RISK_ENGINE'!G184</f>
        <v>High</v>
      </c>
      <c r="H184" s="8">
        <f>IF(A184="","",MIN(5,E184+'14_GDE_RISK_MATRIX_DASHBOARD'!$C$6))</f>
        <v>3</v>
      </c>
      <c r="I184" s="8">
        <f>IF(A184="","",MAX(1,E184-'14_GDE_RISK_MATRIX_DASHBOARD'!$C$7))</f>
        <v>1</v>
      </c>
      <c r="J184" s="8" t="str">
        <f t="shared" si="4"/>
        <v>High</v>
      </c>
      <c r="K184" s="8" t="str">
        <f t="shared" si="5"/>
        <v>Medium</v>
      </c>
    </row>
    <row r="185" ht="43.5" spans="1:11">
      <c r="A185" s="8" t="str">
        <f>'08_GDE_RISK_ENGINE'!A185</f>
        <v>P2PAB10 BR002</v>
      </c>
      <c r="B185" s="8" t="str">
        <f>'08_GDE_RISK_ENGINE'!B185</f>
        <v>Piping</v>
      </c>
      <c r="C185" s="8" t="str">
        <f>'08_GDE_RISK_ENGINE'!C185</f>
        <v>BOP/Utility</v>
      </c>
      <c r="D185" s="8" t="str">
        <f>'08_GDE_RISK_ENGINE'!D185</f>
        <v>CL-BOPUT-PAB-CONDENSATE--L-T1_BELOW_80C</v>
      </c>
      <c r="E185" s="8">
        <f>'08_GDE_RISK_ENGINE'!E185</f>
        <v>2</v>
      </c>
      <c r="F185" s="8">
        <f>'08_GDE_RISK_ENGINE'!F185</f>
        <v>3</v>
      </c>
      <c r="G185" s="8" t="str">
        <f>'08_GDE_RISK_ENGINE'!G185</f>
        <v>High</v>
      </c>
      <c r="H185" s="8">
        <f>IF(A185="","",MIN(5,E185+'14_GDE_RISK_MATRIX_DASHBOARD'!$C$6))</f>
        <v>3</v>
      </c>
      <c r="I185" s="8">
        <f>IF(A185="","",MAX(1,E185-'14_GDE_RISK_MATRIX_DASHBOARD'!$C$7))</f>
        <v>1</v>
      </c>
      <c r="J185" s="8" t="str">
        <f t="shared" si="4"/>
        <v>High</v>
      </c>
      <c r="K185" s="8" t="str">
        <f t="shared" si="5"/>
        <v>Medium</v>
      </c>
    </row>
    <row r="186" ht="43.5" spans="1:11">
      <c r="A186" s="8" t="str">
        <f>'08_GDE_RISK_ENGINE'!A186</f>
        <v>P2PAB10 BR003</v>
      </c>
      <c r="B186" s="8" t="str">
        <f>'08_GDE_RISK_ENGINE'!B186</f>
        <v>Piping</v>
      </c>
      <c r="C186" s="8" t="str">
        <f>'08_GDE_RISK_ENGINE'!C186</f>
        <v>BOP/Utility</v>
      </c>
      <c r="D186" s="8" t="str">
        <f>'08_GDE_RISK_ENGINE'!D186</f>
        <v>CL-BOPUT-PAB-CONDENSATE--L-T1_BELOW_80C</v>
      </c>
      <c r="E186" s="8">
        <f>'08_GDE_RISK_ENGINE'!E186</f>
        <v>2</v>
      </c>
      <c r="F186" s="8">
        <f>'08_GDE_RISK_ENGINE'!F186</f>
        <v>3</v>
      </c>
      <c r="G186" s="8" t="str">
        <f>'08_GDE_RISK_ENGINE'!G186</f>
        <v>High</v>
      </c>
      <c r="H186" s="8">
        <f>IF(A186="","",MIN(5,E186+'14_GDE_RISK_MATRIX_DASHBOARD'!$C$6))</f>
        <v>3</v>
      </c>
      <c r="I186" s="8">
        <f>IF(A186="","",MAX(1,E186-'14_GDE_RISK_MATRIX_DASHBOARD'!$C$7))</f>
        <v>1</v>
      </c>
      <c r="J186" s="8" t="str">
        <f t="shared" si="4"/>
        <v>High</v>
      </c>
      <c r="K186" s="8" t="str">
        <f t="shared" si="5"/>
        <v>Medium</v>
      </c>
    </row>
    <row r="187" ht="43.5" spans="1:11">
      <c r="A187" s="8" t="str">
        <f>'08_GDE_RISK_ENGINE'!A187</f>
        <v>P2PAB10 BR004</v>
      </c>
      <c r="B187" s="8" t="str">
        <f>'08_GDE_RISK_ENGINE'!B187</f>
        <v>Piping</v>
      </c>
      <c r="C187" s="8" t="str">
        <f>'08_GDE_RISK_ENGINE'!C187</f>
        <v>BOP/Utility</v>
      </c>
      <c r="D187" s="8" t="str">
        <f>'08_GDE_RISK_ENGINE'!D187</f>
        <v>CL-BOPUT-PAB-CONDENSATE--L-T1_BELOW_80C</v>
      </c>
      <c r="E187" s="8">
        <f>'08_GDE_RISK_ENGINE'!E187</f>
        <v>2</v>
      </c>
      <c r="F187" s="8">
        <f>'08_GDE_RISK_ENGINE'!F187</f>
        <v>3</v>
      </c>
      <c r="G187" s="8" t="str">
        <f>'08_GDE_RISK_ENGINE'!G187</f>
        <v>High</v>
      </c>
      <c r="H187" s="8">
        <f>IF(A187="","",MIN(5,E187+'14_GDE_RISK_MATRIX_DASHBOARD'!$C$6))</f>
        <v>3</v>
      </c>
      <c r="I187" s="8">
        <f>IF(A187="","",MAX(1,E187-'14_GDE_RISK_MATRIX_DASHBOARD'!$C$7))</f>
        <v>1</v>
      </c>
      <c r="J187" s="8" t="str">
        <f t="shared" si="4"/>
        <v>High</v>
      </c>
      <c r="K187" s="8" t="str">
        <f t="shared" si="5"/>
        <v>Medium</v>
      </c>
    </row>
    <row r="188" ht="43.5" spans="1:11">
      <c r="A188" s="8" t="str">
        <f>'08_GDE_RISK_ENGINE'!A188</f>
        <v>P2PAB10 BR005</v>
      </c>
      <c r="B188" s="8" t="str">
        <f>'08_GDE_RISK_ENGINE'!B188</f>
        <v>Piping</v>
      </c>
      <c r="C188" s="8" t="str">
        <f>'08_GDE_RISK_ENGINE'!C188</f>
        <v>BOP/Utility</v>
      </c>
      <c r="D188" s="8" t="str">
        <f>'08_GDE_RISK_ENGINE'!D188</f>
        <v>CL-BOPUT-PAB-CONDENSATE--L-T1_BELOW_80C</v>
      </c>
      <c r="E188" s="8">
        <f>'08_GDE_RISK_ENGINE'!E188</f>
        <v>2</v>
      </c>
      <c r="F188" s="8">
        <f>'08_GDE_RISK_ENGINE'!F188</f>
        <v>3</v>
      </c>
      <c r="G188" s="8" t="str">
        <f>'08_GDE_RISK_ENGINE'!G188</f>
        <v>High</v>
      </c>
      <c r="H188" s="8">
        <f>IF(A188="","",MIN(5,E188+'14_GDE_RISK_MATRIX_DASHBOARD'!$C$6))</f>
        <v>3</v>
      </c>
      <c r="I188" s="8">
        <f>IF(A188="","",MAX(1,E188-'14_GDE_RISK_MATRIX_DASHBOARD'!$C$7))</f>
        <v>1</v>
      </c>
      <c r="J188" s="8" t="str">
        <f t="shared" si="4"/>
        <v>High</v>
      </c>
      <c r="K188" s="8" t="str">
        <f t="shared" si="5"/>
        <v>Medium</v>
      </c>
    </row>
    <row r="189" ht="43.5" spans="1:11">
      <c r="A189" s="8" t="str">
        <f>'08_GDE_RISK_ENGINE'!A189</f>
        <v>P2PAB10 BR006</v>
      </c>
      <c r="B189" s="8" t="str">
        <f>'08_GDE_RISK_ENGINE'!B189</f>
        <v>Piping</v>
      </c>
      <c r="C189" s="8" t="str">
        <f>'08_GDE_RISK_ENGINE'!C189</f>
        <v>BOP/Utility</v>
      </c>
      <c r="D189" s="8" t="str">
        <f>'08_GDE_RISK_ENGINE'!D189</f>
        <v>CL-BOPUT-PAB-CONDENSATE--L-T1_BELOW_80C</v>
      </c>
      <c r="E189" s="8">
        <f>'08_GDE_RISK_ENGINE'!E189</f>
        <v>2</v>
      </c>
      <c r="F189" s="8">
        <f>'08_GDE_RISK_ENGINE'!F189</f>
        <v>3</v>
      </c>
      <c r="G189" s="8" t="str">
        <f>'08_GDE_RISK_ENGINE'!G189</f>
        <v>High</v>
      </c>
      <c r="H189" s="8">
        <f>IF(A189="","",MIN(5,E189+'14_GDE_RISK_MATRIX_DASHBOARD'!$C$6))</f>
        <v>3</v>
      </c>
      <c r="I189" s="8">
        <f>IF(A189="","",MAX(1,E189-'14_GDE_RISK_MATRIX_DASHBOARD'!$C$7))</f>
        <v>1</v>
      </c>
      <c r="J189" s="8" t="str">
        <f t="shared" si="4"/>
        <v>High</v>
      </c>
      <c r="K189" s="8" t="str">
        <f t="shared" si="5"/>
        <v>Medium</v>
      </c>
    </row>
    <row r="190" ht="43.5" spans="1:11">
      <c r="A190" s="8" t="str">
        <f>'08_GDE_RISK_ENGINE'!A190</f>
        <v>P2PAB10 BR007</v>
      </c>
      <c r="B190" s="8" t="str">
        <f>'08_GDE_RISK_ENGINE'!B190</f>
        <v>Piping</v>
      </c>
      <c r="C190" s="8" t="str">
        <f>'08_GDE_RISK_ENGINE'!C190</f>
        <v>BOP/Utility</v>
      </c>
      <c r="D190" s="8" t="str">
        <f>'08_GDE_RISK_ENGINE'!D190</f>
        <v>CL-BOPUT-PAB-CONDENSATE--L-T1_BELOW_80C</v>
      </c>
      <c r="E190" s="8">
        <f>'08_GDE_RISK_ENGINE'!E190</f>
        <v>2</v>
      </c>
      <c r="F190" s="8">
        <f>'08_GDE_RISK_ENGINE'!F190</f>
        <v>3</v>
      </c>
      <c r="G190" s="8" t="str">
        <f>'08_GDE_RISK_ENGINE'!G190</f>
        <v>High</v>
      </c>
      <c r="H190" s="8">
        <f>IF(A190="","",MIN(5,E190+'14_GDE_RISK_MATRIX_DASHBOARD'!$C$6))</f>
        <v>3</v>
      </c>
      <c r="I190" s="8">
        <f>IF(A190="","",MAX(1,E190-'14_GDE_RISK_MATRIX_DASHBOARD'!$C$7))</f>
        <v>1</v>
      </c>
      <c r="J190" s="8" t="str">
        <f t="shared" si="4"/>
        <v>High</v>
      </c>
      <c r="K190" s="8" t="str">
        <f t="shared" si="5"/>
        <v>Medium</v>
      </c>
    </row>
    <row r="191" ht="43.5" spans="1:11">
      <c r="A191" s="8" t="str">
        <f>'08_GDE_RISK_ENGINE'!A191</f>
        <v>P2PAB10 BR008</v>
      </c>
      <c r="B191" s="8" t="str">
        <f>'08_GDE_RISK_ENGINE'!B191</f>
        <v>Piping</v>
      </c>
      <c r="C191" s="8" t="str">
        <f>'08_GDE_RISK_ENGINE'!C191</f>
        <v>BOP/Utility</v>
      </c>
      <c r="D191" s="8" t="str">
        <f>'08_GDE_RISK_ENGINE'!D191</f>
        <v>CL-BOPUT-PAB-CONDENSATE--L-T1_BELOW_80C</v>
      </c>
      <c r="E191" s="8">
        <f>'08_GDE_RISK_ENGINE'!E191</f>
        <v>2</v>
      </c>
      <c r="F191" s="8">
        <f>'08_GDE_RISK_ENGINE'!F191</f>
        <v>3</v>
      </c>
      <c r="G191" s="8" t="str">
        <f>'08_GDE_RISK_ENGINE'!G191</f>
        <v>High</v>
      </c>
      <c r="H191" s="8">
        <f>IF(A191="","",MIN(5,E191+'14_GDE_RISK_MATRIX_DASHBOARD'!$C$6))</f>
        <v>3</v>
      </c>
      <c r="I191" s="8">
        <f>IF(A191="","",MAX(1,E191-'14_GDE_RISK_MATRIX_DASHBOARD'!$C$7))</f>
        <v>1</v>
      </c>
      <c r="J191" s="8" t="str">
        <f t="shared" si="4"/>
        <v>High</v>
      </c>
      <c r="K191" s="8" t="str">
        <f t="shared" si="5"/>
        <v>Medium</v>
      </c>
    </row>
    <row r="192" ht="43.5" spans="1:11">
      <c r="A192" s="8" t="str">
        <f>'08_GDE_RISK_ENGINE'!A192</f>
        <v>P2PAD03 BR004</v>
      </c>
      <c r="B192" s="8" t="str">
        <f>'08_GDE_RISK_ENGINE'!B192</f>
        <v>Piping</v>
      </c>
      <c r="C192" s="8" t="str">
        <f>'08_GDE_RISK_ENGINE'!C192</f>
        <v>BOP/Utility</v>
      </c>
      <c r="D192" s="8" t="str">
        <f>'08_GDE_RISK_ENGINE'!D192</f>
        <v>CL-BOPUT-PAD-CONDENSATE-FRP-L-T1_BELOW_80C</v>
      </c>
      <c r="E192" s="8">
        <f>'08_GDE_RISK_ENGINE'!E192</f>
        <v>2</v>
      </c>
      <c r="F192" s="8">
        <f>'08_GDE_RISK_ENGINE'!F192</f>
        <v>3</v>
      </c>
      <c r="G192" s="8" t="str">
        <f>'08_GDE_RISK_ENGINE'!G192</f>
        <v>High</v>
      </c>
      <c r="H192" s="8">
        <f>IF(A192="","",MIN(5,E192+'14_GDE_RISK_MATRIX_DASHBOARD'!$C$6))</f>
        <v>3</v>
      </c>
      <c r="I192" s="8">
        <f>IF(A192="","",MAX(1,E192-'14_GDE_RISK_MATRIX_DASHBOARD'!$C$7))</f>
        <v>1</v>
      </c>
      <c r="J192" s="8" t="str">
        <f t="shared" si="4"/>
        <v>High</v>
      </c>
      <c r="K192" s="8" t="str">
        <f t="shared" si="5"/>
        <v>Medium</v>
      </c>
    </row>
    <row r="193" ht="43.5" spans="1:11">
      <c r="A193" s="8" t="str">
        <f>'08_GDE_RISK_ENGINE'!A193</f>
        <v>P2PAD01 BR002</v>
      </c>
      <c r="B193" s="8" t="str">
        <f>'08_GDE_RISK_ENGINE'!B193</f>
        <v>Piping</v>
      </c>
      <c r="C193" s="8" t="str">
        <f>'08_GDE_RISK_ENGINE'!C193</f>
        <v>BOP/Utility</v>
      </c>
      <c r="D193" s="8" t="str">
        <f>'08_GDE_RISK_ENGINE'!D193</f>
        <v>CL-BOPUT-PAD-COOLINGWATER--L-T1_BELOW_80C</v>
      </c>
      <c r="E193" s="8">
        <f>'08_GDE_RISK_ENGINE'!E193</f>
        <v>2</v>
      </c>
      <c r="F193" s="8">
        <f>'08_GDE_RISK_ENGINE'!F193</f>
        <v>3</v>
      </c>
      <c r="G193" s="8" t="str">
        <f>'08_GDE_RISK_ENGINE'!G193</f>
        <v>High</v>
      </c>
      <c r="H193" s="8">
        <f>IF(A193="","",MIN(5,E193+'14_GDE_RISK_MATRIX_DASHBOARD'!$C$6))</f>
        <v>3</v>
      </c>
      <c r="I193" s="8">
        <f>IF(A193="","",MAX(1,E193-'14_GDE_RISK_MATRIX_DASHBOARD'!$C$7))</f>
        <v>1</v>
      </c>
      <c r="J193" s="8" t="str">
        <f t="shared" si="4"/>
        <v>High</v>
      </c>
      <c r="K193" s="8" t="str">
        <f t="shared" si="5"/>
        <v>Medium</v>
      </c>
    </row>
    <row r="194" ht="43.5" spans="1:11">
      <c r="A194" s="8" t="str">
        <f>'08_GDE_RISK_ENGINE'!A194</f>
        <v>P2PAD02 BR001</v>
      </c>
      <c r="B194" s="8" t="str">
        <f>'08_GDE_RISK_ENGINE'!B194</f>
        <v>Piping</v>
      </c>
      <c r="C194" s="8" t="str">
        <f>'08_GDE_RISK_ENGINE'!C194</f>
        <v>BOP/Utility</v>
      </c>
      <c r="D194" s="8" t="str">
        <f>'08_GDE_RISK_ENGINE'!D194</f>
        <v>CL-BOPUT-PAD-COOLINGWATER--L-T1_BELOW_80C</v>
      </c>
      <c r="E194" s="8">
        <f>'08_GDE_RISK_ENGINE'!E194</f>
        <v>2</v>
      </c>
      <c r="F194" s="8">
        <f>'08_GDE_RISK_ENGINE'!F194</f>
        <v>3</v>
      </c>
      <c r="G194" s="8" t="str">
        <f>'08_GDE_RISK_ENGINE'!G194</f>
        <v>High</v>
      </c>
      <c r="H194" s="8">
        <f>IF(A194="","",MIN(5,E194+'14_GDE_RISK_MATRIX_DASHBOARD'!$C$6))</f>
        <v>3</v>
      </c>
      <c r="I194" s="8">
        <f>IF(A194="","",MAX(1,E194-'14_GDE_RISK_MATRIX_DASHBOARD'!$C$7))</f>
        <v>1</v>
      </c>
      <c r="J194" s="8" t="str">
        <f t="shared" si="4"/>
        <v>High</v>
      </c>
      <c r="K194" s="8" t="str">
        <f t="shared" si="5"/>
        <v>Medium</v>
      </c>
    </row>
    <row r="195" ht="43.5" spans="1:11">
      <c r="A195" s="8" t="str">
        <f>'08_GDE_RISK_ENGINE'!A195</f>
        <v>P2PAD03 BR001</v>
      </c>
      <c r="B195" s="8" t="str">
        <f>'08_GDE_RISK_ENGINE'!B195</f>
        <v>Piping</v>
      </c>
      <c r="C195" s="8" t="str">
        <f>'08_GDE_RISK_ENGINE'!C195</f>
        <v>BOP/Utility</v>
      </c>
      <c r="D195" s="8" t="str">
        <f>'08_GDE_RISK_ENGINE'!D195</f>
        <v>CL-BOPUT-PAD-COOLINGWATER-FRP-L-T1_BELOW_80C</v>
      </c>
      <c r="E195" s="8">
        <f>'08_GDE_RISK_ENGINE'!E195</f>
        <v>2</v>
      </c>
      <c r="F195" s="8">
        <f>'08_GDE_RISK_ENGINE'!F195</f>
        <v>3</v>
      </c>
      <c r="G195" s="8" t="str">
        <f>'08_GDE_RISK_ENGINE'!G195</f>
        <v>High</v>
      </c>
      <c r="H195" s="8">
        <f>IF(A195="","",MIN(5,E195+'14_GDE_RISK_MATRIX_DASHBOARD'!$C$6))</f>
        <v>3</v>
      </c>
      <c r="I195" s="8">
        <f>IF(A195="","",MAX(1,E195-'14_GDE_RISK_MATRIX_DASHBOARD'!$C$7))</f>
        <v>1</v>
      </c>
      <c r="J195" s="8" t="str">
        <f t="shared" si="4"/>
        <v>High</v>
      </c>
      <c r="K195" s="8" t="str">
        <f t="shared" si="5"/>
        <v>Medium</v>
      </c>
    </row>
    <row r="196" ht="43.5" spans="1:11">
      <c r="A196" s="8" t="str">
        <f>'08_GDE_RISK_ENGINE'!A196</f>
        <v>P2PAD04 BR001</v>
      </c>
      <c r="B196" s="8" t="str">
        <f>'08_GDE_RISK_ENGINE'!B196</f>
        <v>Piping</v>
      </c>
      <c r="C196" s="8" t="str">
        <f>'08_GDE_RISK_ENGINE'!C196</f>
        <v>BOP/Utility</v>
      </c>
      <c r="D196" s="8" t="str">
        <f>'08_GDE_RISK_ENGINE'!D196</f>
        <v>CL-BOPUT-PAD-COOLINGWATER--L-T1_BELOW_80C</v>
      </c>
      <c r="E196" s="8">
        <f>'08_GDE_RISK_ENGINE'!E196</f>
        <v>2</v>
      </c>
      <c r="F196" s="8">
        <f>'08_GDE_RISK_ENGINE'!F196</f>
        <v>3</v>
      </c>
      <c r="G196" s="8" t="str">
        <f>'08_GDE_RISK_ENGINE'!G196</f>
        <v>High</v>
      </c>
      <c r="H196" s="8">
        <f>IF(A196="","",MIN(5,E196+'14_GDE_RISK_MATRIX_DASHBOARD'!$C$6))</f>
        <v>3</v>
      </c>
      <c r="I196" s="8">
        <f>IF(A196="","",MAX(1,E196-'14_GDE_RISK_MATRIX_DASHBOARD'!$C$7))</f>
        <v>1</v>
      </c>
      <c r="J196" s="8" t="str">
        <f t="shared" ref="J196:J259" si="6">IF(A196="","",IF(OR(AND(H196&gt;=4,F196&gt;=4),AND(H196=5,F196&gt;=3)),"Extreme High",IF(OR(AND(H196&gt;=3,F196&gt;=3),AND(F196=5,H196&gt;=2)),"High",IF(OR(H196&gt;=2,F196&gt;=2),"Medium","Low"))))</f>
        <v>High</v>
      </c>
      <c r="K196" s="8" t="str">
        <f t="shared" ref="K196:K259" si="7">IF(A196="","",IF(OR(AND(I196&gt;=4,F196&gt;=4),AND(I196=5,F196&gt;=3)),"Extreme High",IF(OR(AND(I196&gt;=3,F196&gt;=3),AND(F196=5,I196&gt;=2)),"High",IF(OR(I196&gt;=2,F196&gt;=2),"Medium","Low"))))</f>
        <v>Medium</v>
      </c>
    </row>
    <row r="197" ht="43.5" spans="1:11">
      <c r="A197" s="8" t="str">
        <f>'08_GDE_RISK_ENGINE'!A197</f>
        <v>P2PAD04 BR002</v>
      </c>
      <c r="B197" s="8" t="str">
        <f>'08_GDE_RISK_ENGINE'!B197</f>
        <v>Piping</v>
      </c>
      <c r="C197" s="8" t="str">
        <f>'08_GDE_RISK_ENGINE'!C197</f>
        <v>BOP/Utility</v>
      </c>
      <c r="D197" s="8" t="str">
        <f>'08_GDE_RISK_ENGINE'!D197</f>
        <v>CL-BOPUT-PAD-COOLINGWATER--L-T1_BELOW_80C</v>
      </c>
      <c r="E197" s="8">
        <f>'08_GDE_RISK_ENGINE'!E197</f>
        <v>2</v>
      </c>
      <c r="F197" s="8">
        <f>'08_GDE_RISK_ENGINE'!F197</f>
        <v>3</v>
      </c>
      <c r="G197" s="8" t="str">
        <f>'08_GDE_RISK_ENGINE'!G197</f>
        <v>High</v>
      </c>
      <c r="H197" s="8">
        <f>IF(A197="","",MIN(5,E197+'14_GDE_RISK_MATRIX_DASHBOARD'!$C$6))</f>
        <v>3</v>
      </c>
      <c r="I197" s="8">
        <f>IF(A197="","",MAX(1,E197-'14_GDE_RISK_MATRIX_DASHBOARD'!$C$7))</f>
        <v>1</v>
      </c>
      <c r="J197" s="8" t="str">
        <f t="shared" si="6"/>
        <v>High</v>
      </c>
      <c r="K197" s="8" t="str">
        <f t="shared" si="7"/>
        <v>Medium</v>
      </c>
    </row>
    <row r="198" ht="43.5" spans="1:11">
      <c r="A198" s="8" t="str">
        <f>'08_GDE_RISK_ENGINE'!A198</f>
        <v>P2SGA11 BR001</v>
      </c>
      <c r="B198" s="8" t="str">
        <f>'08_GDE_RISK_ENGINE'!B198</f>
        <v>Piping</v>
      </c>
      <c r="C198" s="8" t="str">
        <f>'08_GDE_RISK_ENGINE'!C198</f>
        <v>BOP/Utility</v>
      </c>
      <c r="D198" s="8" t="str">
        <f>'08_GDE_RISK_ENGINE'!D198</f>
        <v>CL-BOPUT-SGA-COOLINGWATER-CS-L-T1_BELOW_80C</v>
      </c>
      <c r="E198" s="8">
        <f>'08_GDE_RISK_ENGINE'!E198</f>
        <v>3</v>
      </c>
      <c r="F198" s="8">
        <f>'08_GDE_RISK_ENGINE'!F198</f>
        <v>2</v>
      </c>
      <c r="G198" s="8" t="str">
        <f>'08_GDE_RISK_ENGINE'!G198</f>
        <v>High</v>
      </c>
      <c r="H198" s="8">
        <f>IF(A198="","",MIN(5,E198+'14_GDE_RISK_MATRIX_DASHBOARD'!$C$6))</f>
        <v>4</v>
      </c>
      <c r="I198" s="8">
        <f>IF(A198="","",MAX(1,E198-'14_GDE_RISK_MATRIX_DASHBOARD'!$C$7))</f>
        <v>2</v>
      </c>
      <c r="J198" s="8" t="str">
        <f t="shared" si="6"/>
        <v>Medium</v>
      </c>
      <c r="K198" s="8" t="str">
        <f t="shared" si="7"/>
        <v>Medium</v>
      </c>
    </row>
    <row r="199" ht="43.5" spans="1:11">
      <c r="A199" s="8" t="str">
        <f>'08_GDE_RISK_ENGINE'!A199</f>
        <v>P2PAB11 BR006</v>
      </c>
      <c r="B199" s="8" t="str">
        <f>'08_GDE_RISK_ENGINE'!B199</f>
        <v>Piping</v>
      </c>
      <c r="C199" s="8" t="str">
        <f>'08_GDE_RISK_ENGINE'!C199</f>
        <v>BOP/Utility</v>
      </c>
      <c r="D199" s="8" t="str">
        <f>'08_GDE_RISK_ENGINE'!D199</f>
        <v>CL-BOPUT-PAB-CONDENSATE-SS316L-L-T1_BELOW_80C</v>
      </c>
      <c r="E199" s="8">
        <f>'08_GDE_RISK_ENGINE'!E199</f>
        <v>2</v>
      </c>
      <c r="F199" s="8">
        <f>'08_GDE_RISK_ENGINE'!F199</f>
        <v>3</v>
      </c>
      <c r="G199" s="8" t="str">
        <f>'08_GDE_RISK_ENGINE'!G199</f>
        <v>High</v>
      </c>
      <c r="H199" s="8">
        <f>IF(A199="","",MIN(5,E199+'14_GDE_RISK_MATRIX_DASHBOARD'!$C$6))</f>
        <v>3</v>
      </c>
      <c r="I199" s="8">
        <f>IF(A199="","",MAX(1,E199-'14_GDE_RISK_MATRIX_DASHBOARD'!$C$7))</f>
        <v>1</v>
      </c>
      <c r="J199" s="8" t="str">
        <f t="shared" si="6"/>
        <v>High</v>
      </c>
      <c r="K199" s="8" t="str">
        <f t="shared" si="7"/>
        <v>Medium</v>
      </c>
    </row>
    <row r="200" ht="43.5" spans="1:11">
      <c r="A200" s="8" t="str">
        <f>'08_GDE_RISK_ENGINE'!A200</f>
        <v>P2PAD02 BR003</v>
      </c>
      <c r="B200" s="8" t="str">
        <f>'08_GDE_RISK_ENGINE'!B200</f>
        <v>Piping</v>
      </c>
      <c r="C200" s="8" t="str">
        <f>'08_GDE_RISK_ENGINE'!C200</f>
        <v>BOP/Utility</v>
      </c>
      <c r="D200" s="8" t="str">
        <f>'08_GDE_RISK_ENGINE'!D200</f>
        <v>CL-BOPUT-PAD-COOLINGWATER-SS316L-L-T1_BELOW_80C</v>
      </c>
      <c r="E200" s="8">
        <f>'08_GDE_RISK_ENGINE'!E200</f>
        <v>2</v>
      </c>
      <c r="F200" s="8">
        <f>'08_GDE_RISK_ENGINE'!F200</f>
        <v>3</v>
      </c>
      <c r="G200" s="8" t="str">
        <f>'08_GDE_RISK_ENGINE'!G200</f>
        <v>High</v>
      </c>
      <c r="H200" s="8">
        <f>IF(A200="","",MIN(5,E200+'14_GDE_RISK_MATRIX_DASHBOARD'!$C$6))</f>
        <v>3</v>
      </c>
      <c r="I200" s="8">
        <f>IF(A200="","",MAX(1,E200-'14_GDE_RISK_MATRIX_DASHBOARD'!$C$7))</f>
        <v>1</v>
      </c>
      <c r="J200" s="8" t="str">
        <f t="shared" si="6"/>
        <v>High</v>
      </c>
      <c r="K200" s="8" t="str">
        <f t="shared" si="7"/>
        <v>Medium</v>
      </c>
    </row>
    <row r="201" ht="43.5" spans="1:11">
      <c r="A201" s="8" t="str">
        <f>'08_GDE_RISK_ENGINE'!A201</f>
        <v>P2PAE01 BR001</v>
      </c>
      <c r="B201" s="8" t="str">
        <f>'08_GDE_RISK_ENGINE'!B201</f>
        <v>Piping</v>
      </c>
      <c r="C201" s="8" t="str">
        <f>'08_GDE_RISK_ENGINE'!C201</f>
        <v>BOP/Utility</v>
      </c>
      <c r="D201" s="8" t="str">
        <f>'08_GDE_RISK_ENGINE'!D201</f>
        <v>CL-BOPUT-PAE-COOLINGWATER-SS316L-L-T1_BELOW_80C</v>
      </c>
      <c r="E201" s="8">
        <f>'08_GDE_RISK_ENGINE'!E201</f>
        <v>2</v>
      </c>
      <c r="F201" s="8">
        <f>'08_GDE_RISK_ENGINE'!F201</f>
        <v>3</v>
      </c>
      <c r="G201" s="8" t="str">
        <f>'08_GDE_RISK_ENGINE'!G201</f>
        <v>High</v>
      </c>
      <c r="H201" s="8">
        <f>IF(A201="","",MIN(5,E201+'14_GDE_RISK_MATRIX_DASHBOARD'!$C$6))</f>
        <v>3</v>
      </c>
      <c r="I201" s="8">
        <f>IF(A201="","",MAX(1,E201-'14_GDE_RISK_MATRIX_DASHBOARD'!$C$7))</f>
        <v>1</v>
      </c>
      <c r="J201" s="8" t="str">
        <f t="shared" si="6"/>
        <v>High</v>
      </c>
      <c r="K201" s="8" t="str">
        <f t="shared" si="7"/>
        <v>Medium</v>
      </c>
    </row>
    <row r="202" ht="43.5" spans="1:11">
      <c r="A202" s="8" t="str">
        <f>'08_GDE_RISK_ENGINE'!A202</f>
        <v>P2PCB17 BR001</v>
      </c>
      <c r="B202" s="8" t="str">
        <f>'08_GDE_RISK_ENGINE'!B202</f>
        <v>Piping</v>
      </c>
      <c r="C202" s="8" t="str">
        <f>'08_GDE_RISK_ENGINE'!C202</f>
        <v>BOP/Utility</v>
      </c>
      <c r="D202" s="8" t="str">
        <f>'08_GDE_RISK_ENGINE'!D202</f>
        <v>CL-BOPUT-PCB-COOLINGWATER-SS316L-L-T1_BELOW_80C</v>
      </c>
      <c r="E202" s="8">
        <f>'08_GDE_RISK_ENGINE'!E202</f>
        <v>2</v>
      </c>
      <c r="F202" s="8">
        <f>'08_GDE_RISK_ENGINE'!F202</f>
        <v>3</v>
      </c>
      <c r="G202" s="8" t="str">
        <f>'08_GDE_RISK_ENGINE'!G202</f>
        <v>High</v>
      </c>
      <c r="H202" s="8">
        <f>IF(A202="","",MIN(5,E202+'14_GDE_RISK_MATRIX_DASHBOARD'!$C$6))</f>
        <v>3</v>
      </c>
      <c r="I202" s="8">
        <f>IF(A202="","",MAX(1,E202-'14_GDE_RISK_MATRIX_DASHBOARD'!$C$7))</f>
        <v>1</v>
      </c>
      <c r="J202" s="8" t="str">
        <f t="shared" si="6"/>
        <v>High</v>
      </c>
      <c r="K202" s="8" t="str">
        <f t="shared" si="7"/>
        <v>Medium</v>
      </c>
    </row>
    <row r="203" ht="43.5" spans="1:11">
      <c r="A203" s="8" t="str">
        <f>'08_GDE_RISK_ENGINE'!A203</f>
        <v>P2PAE01 BR002</v>
      </c>
      <c r="B203" s="8" t="str">
        <f>'08_GDE_RISK_ENGINE'!B203</f>
        <v>Piping</v>
      </c>
      <c r="C203" s="8" t="str">
        <f>'08_GDE_RISK_ENGINE'!C203</f>
        <v>BOP/Utility</v>
      </c>
      <c r="D203" s="8" t="str">
        <f>'08_GDE_RISK_ENGINE'!D203</f>
        <v>CL-BOPUT-PAE-COOLINGWATER-SS316L-L-T1_BELOW_80C</v>
      </c>
      <c r="E203" s="8">
        <f>'08_GDE_RISK_ENGINE'!E203</f>
        <v>2</v>
      </c>
      <c r="F203" s="8">
        <f>'08_GDE_RISK_ENGINE'!F203</f>
        <v>3</v>
      </c>
      <c r="G203" s="8" t="str">
        <f>'08_GDE_RISK_ENGINE'!G203</f>
        <v>High</v>
      </c>
      <c r="H203" s="8">
        <f>IF(A203="","",MIN(5,E203+'14_GDE_RISK_MATRIX_DASHBOARD'!$C$6))</f>
        <v>3</v>
      </c>
      <c r="I203" s="8">
        <f>IF(A203="","",MAX(1,E203-'14_GDE_RISK_MATRIX_DASHBOARD'!$C$7))</f>
        <v>1</v>
      </c>
      <c r="J203" s="8" t="str">
        <f t="shared" si="6"/>
        <v>High</v>
      </c>
      <c r="K203" s="8" t="str">
        <f t="shared" si="7"/>
        <v>Medium</v>
      </c>
    </row>
    <row r="204" ht="43.5" spans="1:11">
      <c r="A204" s="8" t="str">
        <f>'08_GDE_RISK_ENGINE'!A204</f>
        <v>P2PAD03 BR002</v>
      </c>
      <c r="B204" s="8" t="str">
        <f>'08_GDE_RISK_ENGINE'!B204</f>
        <v>Piping</v>
      </c>
      <c r="C204" s="8" t="str">
        <f>'08_GDE_RISK_ENGINE'!C204</f>
        <v>BOP/Utility</v>
      </c>
      <c r="D204" s="8" t="str">
        <f>'08_GDE_RISK_ENGINE'!D204</f>
        <v>CL-BOPUT-PAD-COOLINGWATER-SS316L-L-T1_BELOW_80C</v>
      </c>
      <c r="E204" s="8">
        <f>'08_GDE_RISK_ENGINE'!E204</f>
        <v>2</v>
      </c>
      <c r="F204" s="8">
        <f>'08_GDE_RISK_ENGINE'!F204</f>
        <v>3</v>
      </c>
      <c r="G204" s="8" t="str">
        <f>'08_GDE_RISK_ENGINE'!G204</f>
        <v>High</v>
      </c>
      <c r="H204" s="8">
        <f>IF(A204="","",MIN(5,E204+'14_GDE_RISK_MATRIX_DASHBOARD'!$C$6))</f>
        <v>3</v>
      </c>
      <c r="I204" s="8">
        <f>IF(A204="","",MAX(1,E204-'14_GDE_RISK_MATRIX_DASHBOARD'!$C$7))</f>
        <v>1</v>
      </c>
      <c r="J204" s="8" t="str">
        <f t="shared" si="6"/>
        <v>High</v>
      </c>
      <c r="K204" s="8" t="str">
        <f t="shared" si="7"/>
        <v>Medium</v>
      </c>
    </row>
    <row r="205" ht="43.5" spans="1:11">
      <c r="A205" s="8" t="str">
        <f>'08_GDE_RISK_ENGINE'!A205</f>
        <v>P2PAD03 BR003</v>
      </c>
      <c r="B205" s="8" t="str">
        <f>'08_GDE_RISK_ENGINE'!B205</f>
        <v>Piping</v>
      </c>
      <c r="C205" s="8" t="str">
        <f>'08_GDE_RISK_ENGINE'!C205</f>
        <v>BOP/Utility</v>
      </c>
      <c r="D205" s="8" t="str">
        <f>'08_GDE_RISK_ENGINE'!D205</f>
        <v>CL-BOPUT-PAD-COOLINGWATER-SS316L-L-T1_BELOW_80C</v>
      </c>
      <c r="E205" s="8">
        <f>'08_GDE_RISK_ENGINE'!E205</f>
        <v>2</v>
      </c>
      <c r="F205" s="8">
        <f>'08_GDE_RISK_ENGINE'!F205</f>
        <v>3</v>
      </c>
      <c r="G205" s="8" t="str">
        <f>'08_GDE_RISK_ENGINE'!G205</f>
        <v>High</v>
      </c>
      <c r="H205" s="8">
        <f>IF(A205="","",MIN(5,E205+'14_GDE_RISK_MATRIX_DASHBOARD'!$C$6))</f>
        <v>3</v>
      </c>
      <c r="I205" s="8">
        <f>IF(A205="","",MAX(1,E205-'14_GDE_RISK_MATRIX_DASHBOARD'!$C$7))</f>
        <v>1</v>
      </c>
      <c r="J205" s="8" t="str">
        <f t="shared" si="6"/>
        <v>High</v>
      </c>
      <c r="K205" s="8" t="str">
        <f t="shared" si="7"/>
        <v>Medium</v>
      </c>
    </row>
    <row r="206" ht="43.5" spans="1:11">
      <c r="A206" s="8" t="str">
        <f>'08_GDE_RISK_ENGINE'!A206</f>
        <v>P2PAD03 BR005</v>
      </c>
      <c r="B206" s="8" t="str">
        <f>'08_GDE_RISK_ENGINE'!B206</f>
        <v>Piping</v>
      </c>
      <c r="C206" s="8" t="str">
        <f>'08_GDE_RISK_ENGINE'!C206</f>
        <v>BOP/Utility</v>
      </c>
      <c r="D206" s="8" t="str">
        <f>'08_GDE_RISK_ENGINE'!D206</f>
        <v>CL-BOPUT-PAD-COOLINGWATER-SS316L-L-T1_BELOW_80C</v>
      </c>
      <c r="E206" s="8">
        <f>'08_GDE_RISK_ENGINE'!E206</f>
        <v>2</v>
      </c>
      <c r="F206" s="8">
        <f>'08_GDE_RISK_ENGINE'!F206</f>
        <v>3</v>
      </c>
      <c r="G206" s="8" t="str">
        <f>'08_GDE_RISK_ENGINE'!G206</f>
        <v>High</v>
      </c>
      <c r="H206" s="8">
        <f>IF(A206="","",MIN(5,E206+'14_GDE_RISK_MATRIX_DASHBOARD'!$C$6))</f>
        <v>3</v>
      </c>
      <c r="I206" s="8">
        <f>IF(A206="","",MAX(1,E206-'14_GDE_RISK_MATRIX_DASHBOARD'!$C$7))</f>
        <v>1</v>
      </c>
      <c r="J206" s="8" t="str">
        <f t="shared" si="6"/>
        <v>High</v>
      </c>
      <c r="K206" s="8" t="str">
        <f t="shared" si="7"/>
        <v>Medium</v>
      </c>
    </row>
    <row r="207" ht="43.5" spans="1:11">
      <c r="A207" s="8" t="str">
        <f>'08_GDE_RISK_ENGINE'!A207</f>
        <v>P2PCB18 BR001</v>
      </c>
      <c r="B207" s="8" t="str">
        <f>'08_GDE_RISK_ENGINE'!B207</f>
        <v>Piping</v>
      </c>
      <c r="C207" s="8" t="str">
        <f>'08_GDE_RISK_ENGINE'!C207</f>
        <v>BOP/Utility</v>
      </c>
      <c r="D207" s="8" t="str">
        <f>'08_GDE_RISK_ENGINE'!D207</f>
        <v>CL-BOPUT-PCB-COOLINGWATER-SS316L-L-T1_BELOW_80C</v>
      </c>
      <c r="E207" s="8">
        <f>'08_GDE_RISK_ENGINE'!E207</f>
        <v>2</v>
      </c>
      <c r="F207" s="8">
        <f>'08_GDE_RISK_ENGINE'!F207</f>
        <v>3</v>
      </c>
      <c r="G207" s="8" t="str">
        <f>'08_GDE_RISK_ENGINE'!G207</f>
        <v>High</v>
      </c>
      <c r="H207" s="8">
        <f>IF(A207="","",MIN(5,E207+'14_GDE_RISK_MATRIX_DASHBOARD'!$C$6))</f>
        <v>3</v>
      </c>
      <c r="I207" s="8">
        <f>IF(A207="","",MAX(1,E207-'14_GDE_RISK_MATRIX_DASHBOARD'!$C$7))</f>
        <v>1</v>
      </c>
      <c r="J207" s="8" t="str">
        <f t="shared" si="6"/>
        <v>High</v>
      </c>
      <c r="K207" s="8" t="str">
        <f t="shared" si="7"/>
        <v>Medium</v>
      </c>
    </row>
    <row r="208" ht="43.5" spans="1:11">
      <c r="A208" s="8" t="str">
        <f>'08_GDE_RISK_ENGINE'!A208</f>
        <v>P2PAE01 BR005</v>
      </c>
      <c r="B208" s="8" t="str">
        <f>'08_GDE_RISK_ENGINE'!B208</f>
        <v>Piping</v>
      </c>
      <c r="C208" s="8" t="str">
        <f>'08_GDE_RISK_ENGINE'!C208</f>
        <v>BOP/Utility</v>
      </c>
      <c r="D208" s="8" t="str">
        <f>'08_GDE_RISK_ENGINE'!D208</f>
        <v>CL-BOPUT-PAE-COOLINGWATER-SS316L-L-T1_BELOW_80C</v>
      </c>
      <c r="E208" s="8">
        <f>'08_GDE_RISK_ENGINE'!E208</f>
        <v>2</v>
      </c>
      <c r="F208" s="8">
        <f>'08_GDE_RISK_ENGINE'!F208</f>
        <v>3</v>
      </c>
      <c r="G208" s="8" t="str">
        <f>'08_GDE_RISK_ENGINE'!G208</f>
        <v>High</v>
      </c>
      <c r="H208" s="8">
        <f>IF(A208="","",MIN(5,E208+'14_GDE_RISK_MATRIX_DASHBOARD'!$C$6))</f>
        <v>3</v>
      </c>
      <c r="I208" s="8">
        <f>IF(A208="","",MAX(1,E208-'14_GDE_RISK_MATRIX_DASHBOARD'!$C$7))</f>
        <v>1</v>
      </c>
      <c r="J208" s="8" t="str">
        <f t="shared" si="6"/>
        <v>High</v>
      </c>
      <c r="K208" s="8" t="str">
        <f t="shared" si="7"/>
        <v>Medium</v>
      </c>
    </row>
    <row r="209" ht="43.5" spans="1:11">
      <c r="A209" s="8" t="str">
        <f>'08_GDE_RISK_ENGINE'!A209</f>
        <v>P2PCB16 BR001</v>
      </c>
      <c r="B209" s="8" t="str">
        <f>'08_GDE_RISK_ENGINE'!B209</f>
        <v>Piping</v>
      </c>
      <c r="C209" s="8" t="str">
        <f>'08_GDE_RISK_ENGINE'!C209</f>
        <v>BOP/Utility</v>
      </c>
      <c r="D209" s="8" t="str">
        <f>'08_GDE_RISK_ENGINE'!D209</f>
        <v>CL-BOPUT-PCB-SEALWATER-SS316L-L-T1_BELOW_80C</v>
      </c>
      <c r="E209" s="8">
        <f>'08_GDE_RISK_ENGINE'!E209</f>
        <v>2</v>
      </c>
      <c r="F209" s="8">
        <f>'08_GDE_RISK_ENGINE'!F209</f>
        <v>3</v>
      </c>
      <c r="G209" s="8" t="str">
        <f>'08_GDE_RISK_ENGINE'!G209</f>
        <v>High</v>
      </c>
      <c r="H209" s="8">
        <f>IF(A209="","",MIN(5,E209+'14_GDE_RISK_MATRIX_DASHBOARD'!$C$6))</f>
        <v>3</v>
      </c>
      <c r="I209" s="8">
        <f>IF(A209="","",MAX(1,E209-'14_GDE_RISK_MATRIX_DASHBOARD'!$C$7))</f>
        <v>1</v>
      </c>
      <c r="J209" s="8" t="str">
        <f t="shared" si="6"/>
        <v>High</v>
      </c>
      <c r="K209" s="8" t="str">
        <f t="shared" si="7"/>
        <v>Medium</v>
      </c>
    </row>
    <row r="210" ht="43.5" spans="1:11">
      <c r="A210" s="8" t="str">
        <f>'08_GDE_RISK_ENGINE'!A210</f>
        <v>P2PCB15 BR003</v>
      </c>
      <c r="B210" s="8" t="str">
        <f>'08_GDE_RISK_ENGINE'!B210</f>
        <v>Piping</v>
      </c>
      <c r="C210" s="8" t="str">
        <f>'08_GDE_RISK_ENGINE'!C210</f>
        <v>BOP/Utility</v>
      </c>
      <c r="D210" s="8" t="str">
        <f>'08_GDE_RISK_ENGINE'!D210</f>
        <v>CL-BOPUT-PCB-SEALWATER-SS316L-L-T1_BELOW_80C</v>
      </c>
      <c r="E210" s="8">
        <f>'08_GDE_RISK_ENGINE'!E210</f>
        <v>2</v>
      </c>
      <c r="F210" s="8">
        <f>'08_GDE_RISK_ENGINE'!F210</f>
        <v>3</v>
      </c>
      <c r="G210" s="8" t="str">
        <f>'08_GDE_RISK_ENGINE'!G210</f>
        <v>High</v>
      </c>
      <c r="H210" s="8">
        <f>IF(A210="","",MIN(5,E210+'14_GDE_RISK_MATRIX_DASHBOARD'!$C$6))</f>
        <v>3</v>
      </c>
      <c r="I210" s="8">
        <f>IF(A210="","",MAX(1,E210-'14_GDE_RISK_MATRIX_DASHBOARD'!$C$7))</f>
        <v>1</v>
      </c>
      <c r="J210" s="8" t="str">
        <f t="shared" si="6"/>
        <v>High</v>
      </c>
      <c r="K210" s="8" t="str">
        <f t="shared" si="7"/>
        <v>Medium</v>
      </c>
    </row>
    <row r="211" ht="43.5" spans="1:11">
      <c r="A211" s="8" t="str">
        <f>'08_GDE_RISK_ENGINE'!A211</f>
        <v>P2PCB16 BR003</v>
      </c>
      <c r="B211" s="8" t="str">
        <f>'08_GDE_RISK_ENGINE'!B211</f>
        <v>Piping</v>
      </c>
      <c r="C211" s="8" t="str">
        <f>'08_GDE_RISK_ENGINE'!C211</f>
        <v>BOP/Utility</v>
      </c>
      <c r="D211" s="8" t="str">
        <f>'08_GDE_RISK_ENGINE'!D211</f>
        <v>CL-BOPUT-PCB-SEALWATER-SS316L-L-T1_BELOW_80C</v>
      </c>
      <c r="E211" s="8">
        <f>'08_GDE_RISK_ENGINE'!E211</f>
        <v>2</v>
      </c>
      <c r="F211" s="8">
        <f>'08_GDE_RISK_ENGINE'!F211</f>
        <v>3</v>
      </c>
      <c r="G211" s="8" t="str">
        <f>'08_GDE_RISK_ENGINE'!G211</f>
        <v>High</v>
      </c>
      <c r="H211" s="8">
        <f>IF(A211="","",MIN(5,E211+'14_GDE_RISK_MATRIX_DASHBOARD'!$C$6))</f>
        <v>3</v>
      </c>
      <c r="I211" s="8">
        <f>IF(A211="","",MAX(1,E211-'14_GDE_RISK_MATRIX_DASHBOARD'!$C$7))</f>
        <v>1</v>
      </c>
      <c r="J211" s="8" t="str">
        <f t="shared" si="6"/>
        <v>High</v>
      </c>
      <c r="K211" s="8" t="str">
        <f t="shared" si="7"/>
        <v>Medium</v>
      </c>
    </row>
    <row r="212" ht="43.5" spans="1:11">
      <c r="A212" s="8" t="str">
        <f>'08_GDE_RISK_ENGINE'!A212</f>
        <v>P2PCB04 BR001</v>
      </c>
      <c r="B212" s="8" t="str">
        <f>'08_GDE_RISK_ENGINE'!B212</f>
        <v>Piping</v>
      </c>
      <c r="C212" s="8" t="str">
        <f>'08_GDE_RISK_ENGINE'!C212</f>
        <v>BOP/Utility</v>
      </c>
      <c r="D212" s="8" t="str">
        <f>'08_GDE_RISK_ENGINE'!D212</f>
        <v>CL-BOPUT-PCB-COOLINGWATER--L-T1_BELOW_80C</v>
      </c>
      <c r="E212" s="8">
        <f>'08_GDE_RISK_ENGINE'!E212</f>
        <v>2</v>
      </c>
      <c r="F212" s="8">
        <f>'08_GDE_RISK_ENGINE'!F212</f>
        <v>3</v>
      </c>
      <c r="G212" s="8" t="str">
        <f>'08_GDE_RISK_ENGINE'!G212</f>
        <v>High</v>
      </c>
      <c r="H212" s="8">
        <f>IF(A212="","",MIN(5,E212+'14_GDE_RISK_MATRIX_DASHBOARD'!$C$6))</f>
        <v>3</v>
      </c>
      <c r="I212" s="8">
        <f>IF(A212="","",MAX(1,E212-'14_GDE_RISK_MATRIX_DASHBOARD'!$C$7))</f>
        <v>1</v>
      </c>
      <c r="J212" s="8" t="str">
        <f t="shared" si="6"/>
        <v>High</v>
      </c>
      <c r="K212" s="8" t="str">
        <f t="shared" si="7"/>
        <v>Medium</v>
      </c>
    </row>
    <row r="213" ht="43.5" spans="1:11">
      <c r="A213" s="8" t="str">
        <f>'08_GDE_RISK_ENGINE'!A213</f>
        <v>P2PCB05 BR001</v>
      </c>
      <c r="B213" s="8" t="str">
        <f>'08_GDE_RISK_ENGINE'!B213</f>
        <v>Piping</v>
      </c>
      <c r="C213" s="8" t="str">
        <f>'08_GDE_RISK_ENGINE'!C213</f>
        <v>BOP/Utility</v>
      </c>
      <c r="D213" s="8" t="str">
        <f>'08_GDE_RISK_ENGINE'!D213</f>
        <v>CL-BOPUT-PCB-COOLINGWATER--L-T1_BELOW_80C</v>
      </c>
      <c r="E213" s="8">
        <f>'08_GDE_RISK_ENGINE'!E213</f>
        <v>2</v>
      </c>
      <c r="F213" s="8">
        <f>'08_GDE_RISK_ENGINE'!F213</f>
        <v>3</v>
      </c>
      <c r="G213" s="8" t="str">
        <f>'08_GDE_RISK_ENGINE'!G213</f>
        <v>High</v>
      </c>
      <c r="H213" s="8">
        <f>IF(A213="","",MIN(5,E213+'14_GDE_RISK_MATRIX_DASHBOARD'!$C$6))</f>
        <v>3</v>
      </c>
      <c r="I213" s="8">
        <f>IF(A213="","",MAX(1,E213-'14_GDE_RISK_MATRIX_DASHBOARD'!$C$7))</f>
        <v>1</v>
      </c>
      <c r="J213" s="8" t="str">
        <f t="shared" si="6"/>
        <v>High</v>
      </c>
      <c r="K213" s="8" t="str">
        <f t="shared" si="7"/>
        <v>Medium</v>
      </c>
    </row>
    <row r="214" ht="43.5" spans="1:11">
      <c r="A214" s="8" t="str">
        <f>'08_GDE_RISK_ENGINE'!A214</f>
        <v>P2PCB06 BR001</v>
      </c>
      <c r="B214" s="8" t="str">
        <f>'08_GDE_RISK_ENGINE'!B214</f>
        <v>Piping</v>
      </c>
      <c r="C214" s="8" t="str">
        <f>'08_GDE_RISK_ENGINE'!C214</f>
        <v>BOP/Utility</v>
      </c>
      <c r="D214" s="8" t="str">
        <f>'08_GDE_RISK_ENGINE'!D214</f>
        <v>CL-BOPUT-PCB-COOLINGWATER--L-T1_BELOW_80C</v>
      </c>
      <c r="E214" s="8">
        <f>'08_GDE_RISK_ENGINE'!E214</f>
        <v>2</v>
      </c>
      <c r="F214" s="8">
        <f>'08_GDE_RISK_ENGINE'!F214</f>
        <v>3</v>
      </c>
      <c r="G214" s="8" t="str">
        <f>'08_GDE_RISK_ENGINE'!G214</f>
        <v>High</v>
      </c>
      <c r="H214" s="8">
        <f>IF(A214="","",MIN(5,E214+'14_GDE_RISK_MATRIX_DASHBOARD'!$C$6))</f>
        <v>3</v>
      </c>
      <c r="I214" s="8">
        <f>IF(A214="","",MAX(1,E214-'14_GDE_RISK_MATRIX_DASHBOARD'!$C$7))</f>
        <v>1</v>
      </c>
      <c r="J214" s="8" t="str">
        <f t="shared" si="6"/>
        <v>High</v>
      </c>
      <c r="K214" s="8" t="str">
        <f t="shared" si="7"/>
        <v>Medium</v>
      </c>
    </row>
    <row r="215" ht="43.5" spans="1:11">
      <c r="A215" s="8" t="str">
        <f>'08_GDE_RISK_ENGINE'!A215</f>
        <v>P2PCB21 BR001</v>
      </c>
      <c r="B215" s="8" t="str">
        <f>'08_GDE_RISK_ENGINE'!B215</f>
        <v>Piping</v>
      </c>
      <c r="C215" s="8" t="str">
        <f>'08_GDE_RISK_ENGINE'!C215</f>
        <v>BOP/Utility</v>
      </c>
      <c r="D215" s="8" t="str">
        <f>'08_GDE_RISK_ENGINE'!D215</f>
        <v>CL-BOPUT-PCB-COOLINGWATER--L-T1_BELOW_80C</v>
      </c>
      <c r="E215" s="8">
        <f>'08_GDE_RISK_ENGINE'!E215</f>
        <v>2</v>
      </c>
      <c r="F215" s="8">
        <f>'08_GDE_RISK_ENGINE'!F215</f>
        <v>3</v>
      </c>
      <c r="G215" s="8" t="str">
        <f>'08_GDE_RISK_ENGINE'!G215</f>
        <v>High</v>
      </c>
      <c r="H215" s="8">
        <f>IF(A215="","",MIN(5,E215+'14_GDE_RISK_MATRIX_DASHBOARD'!$C$6))</f>
        <v>3</v>
      </c>
      <c r="I215" s="8">
        <f>IF(A215="","",MAX(1,E215-'14_GDE_RISK_MATRIX_DASHBOARD'!$C$7))</f>
        <v>1</v>
      </c>
      <c r="J215" s="8" t="str">
        <f t="shared" si="6"/>
        <v>High</v>
      </c>
      <c r="K215" s="8" t="str">
        <f t="shared" si="7"/>
        <v>Medium</v>
      </c>
    </row>
    <row r="216" ht="43.5" spans="1:11">
      <c r="A216" s="8" t="str">
        <f>'08_GDE_RISK_ENGINE'!A216</f>
        <v>P2PCB21 BR002</v>
      </c>
      <c r="B216" s="8" t="str">
        <f>'08_GDE_RISK_ENGINE'!B216</f>
        <v>Piping</v>
      </c>
      <c r="C216" s="8" t="str">
        <f>'08_GDE_RISK_ENGINE'!C216</f>
        <v>BOP/Utility</v>
      </c>
      <c r="D216" s="8" t="str">
        <f>'08_GDE_RISK_ENGINE'!D216</f>
        <v>CL-BOPUT-PCB-COOLINGWATER--L-T1_BELOW_80C</v>
      </c>
      <c r="E216" s="8">
        <f>'08_GDE_RISK_ENGINE'!E216</f>
        <v>2</v>
      </c>
      <c r="F216" s="8">
        <f>'08_GDE_RISK_ENGINE'!F216</f>
        <v>3</v>
      </c>
      <c r="G216" s="8" t="str">
        <f>'08_GDE_RISK_ENGINE'!G216</f>
        <v>High</v>
      </c>
      <c r="H216" s="8">
        <f>IF(A216="","",MIN(5,E216+'14_GDE_RISK_MATRIX_DASHBOARD'!$C$6))</f>
        <v>3</v>
      </c>
      <c r="I216" s="8">
        <f>IF(A216="","",MAX(1,E216-'14_GDE_RISK_MATRIX_DASHBOARD'!$C$7))</f>
        <v>1</v>
      </c>
      <c r="J216" s="8" t="str">
        <f t="shared" si="6"/>
        <v>High</v>
      </c>
      <c r="K216" s="8" t="str">
        <f t="shared" si="7"/>
        <v>Medium</v>
      </c>
    </row>
    <row r="217" ht="43.5" spans="1:11">
      <c r="A217" s="8" t="str">
        <f>'08_GDE_RISK_ENGINE'!A217</f>
        <v>P2PCB21 BR009</v>
      </c>
      <c r="B217" s="8" t="str">
        <f>'08_GDE_RISK_ENGINE'!B217</f>
        <v>Piping</v>
      </c>
      <c r="C217" s="8" t="str">
        <f>'08_GDE_RISK_ENGINE'!C217</f>
        <v>BOP/Utility</v>
      </c>
      <c r="D217" s="8" t="str">
        <f>'08_GDE_RISK_ENGINE'!D217</f>
        <v>CL-BOPUT-PCB-COOLINGWATER--L-T1_BELOW_80C</v>
      </c>
      <c r="E217" s="8">
        <f>'08_GDE_RISK_ENGINE'!E217</f>
        <v>2</v>
      </c>
      <c r="F217" s="8">
        <f>'08_GDE_RISK_ENGINE'!F217</f>
        <v>3</v>
      </c>
      <c r="G217" s="8" t="str">
        <f>'08_GDE_RISK_ENGINE'!G217</f>
        <v>High</v>
      </c>
      <c r="H217" s="8">
        <f>IF(A217="","",MIN(5,E217+'14_GDE_RISK_MATRIX_DASHBOARD'!$C$6))</f>
        <v>3</v>
      </c>
      <c r="I217" s="8">
        <f>IF(A217="","",MAX(1,E217-'14_GDE_RISK_MATRIX_DASHBOARD'!$C$7))</f>
        <v>1</v>
      </c>
      <c r="J217" s="8" t="str">
        <f t="shared" si="6"/>
        <v>High</v>
      </c>
      <c r="K217" s="8" t="str">
        <f t="shared" si="7"/>
        <v>Medium</v>
      </c>
    </row>
    <row r="218" ht="43.5" spans="1:11">
      <c r="A218" s="8" t="str">
        <f>'08_GDE_RISK_ENGINE'!A218</f>
        <v>P2PCB21 BR013</v>
      </c>
      <c r="B218" s="8" t="str">
        <f>'08_GDE_RISK_ENGINE'!B218</f>
        <v>Piping</v>
      </c>
      <c r="C218" s="8" t="str">
        <f>'08_GDE_RISK_ENGINE'!C218</f>
        <v>BOP/Utility</v>
      </c>
      <c r="D218" s="8" t="str">
        <f>'08_GDE_RISK_ENGINE'!D218</f>
        <v>CL-BOPUT-PCB-COOLINGWATER--L-T1_BELOW_80C</v>
      </c>
      <c r="E218" s="8">
        <f>'08_GDE_RISK_ENGINE'!E218</f>
        <v>2</v>
      </c>
      <c r="F218" s="8">
        <f>'08_GDE_RISK_ENGINE'!F218</f>
        <v>3</v>
      </c>
      <c r="G218" s="8" t="str">
        <f>'08_GDE_RISK_ENGINE'!G218</f>
        <v>High</v>
      </c>
      <c r="H218" s="8">
        <f>IF(A218="","",MIN(5,E218+'14_GDE_RISK_MATRIX_DASHBOARD'!$C$6))</f>
        <v>3</v>
      </c>
      <c r="I218" s="8">
        <f>IF(A218="","",MAX(1,E218-'14_GDE_RISK_MATRIX_DASHBOARD'!$C$7))</f>
        <v>1</v>
      </c>
      <c r="J218" s="8" t="str">
        <f t="shared" si="6"/>
        <v>High</v>
      </c>
      <c r="K218" s="8" t="str">
        <f t="shared" si="7"/>
        <v>Medium</v>
      </c>
    </row>
    <row r="219" ht="43.5" spans="1:11">
      <c r="A219" s="8" t="str">
        <f>'08_GDE_RISK_ENGINE'!A219</f>
        <v>P2PCB12 BR002</v>
      </c>
      <c r="B219" s="8" t="str">
        <f>'08_GDE_RISK_ENGINE'!B219</f>
        <v>Piping</v>
      </c>
      <c r="C219" s="8" t="str">
        <f>'08_GDE_RISK_ENGINE'!C219</f>
        <v>BOP/Utility</v>
      </c>
      <c r="D219" s="8" t="str">
        <f>'08_GDE_RISK_ENGINE'!D219</f>
        <v>CL-BOPUT-PCB-COOLINGWATER-FRP-L-T1_BELOW_80C</v>
      </c>
      <c r="E219" s="8">
        <f>'08_GDE_RISK_ENGINE'!E219</f>
        <v>2</v>
      </c>
      <c r="F219" s="8">
        <f>'08_GDE_RISK_ENGINE'!F219</f>
        <v>3</v>
      </c>
      <c r="G219" s="8" t="str">
        <f>'08_GDE_RISK_ENGINE'!G219</f>
        <v>High</v>
      </c>
      <c r="H219" s="8">
        <f>IF(A219="","",MIN(5,E219+'14_GDE_RISK_MATRIX_DASHBOARD'!$C$6))</f>
        <v>3</v>
      </c>
      <c r="I219" s="8">
        <f>IF(A219="","",MAX(1,E219-'14_GDE_RISK_MATRIX_DASHBOARD'!$C$7))</f>
        <v>1</v>
      </c>
      <c r="J219" s="8" t="str">
        <f t="shared" si="6"/>
        <v>High</v>
      </c>
      <c r="K219" s="8" t="str">
        <f t="shared" si="7"/>
        <v>Medium</v>
      </c>
    </row>
    <row r="220" ht="43.5" spans="1:11">
      <c r="A220" s="8" t="str">
        <f>'08_GDE_RISK_ENGINE'!A220</f>
        <v>P2PCB12 BR001</v>
      </c>
      <c r="B220" s="8" t="str">
        <f>'08_GDE_RISK_ENGINE'!B220</f>
        <v>Piping</v>
      </c>
      <c r="C220" s="8" t="str">
        <f>'08_GDE_RISK_ENGINE'!C220</f>
        <v>BOP/Utility</v>
      </c>
      <c r="D220" s="8" t="str">
        <f>'08_GDE_RISK_ENGINE'!D220</f>
        <v>CL-BOPUT-PCB-COOLINGWATER--L-T1_BELOW_80C</v>
      </c>
      <c r="E220" s="8">
        <f>'08_GDE_RISK_ENGINE'!E220</f>
        <v>2</v>
      </c>
      <c r="F220" s="8">
        <f>'08_GDE_RISK_ENGINE'!F220</f>
        <v>3</v>
      </c>
      <c r="G220" s="8" t="str">
        <f>'08_GDE_RISK_ENGINE'!G220</f>
        <v>High</v>
      </c>
      <c r="H220" s="8">
        <f>IF(A220="","",MIN(5,E220+'14_GDE_RISK_MATRIX_DASHBOARD'!$C$6))</f>
        <v>3</v>
      </c>
      <c r="I220" s="8">
        <f>IF(A220="","",MAX(1,E220-'14_GDE_RISK_MATRIX_DASHBOARD'!$C$7))</f>
        <v>1</v>
      </c>
      <c r="J220" s="8" t="str">
        <f t="shared" si="6"/>
        <v>High</v>
      </c>
      <c r="K220" s="8" t="str">
        <f t="shared" si="7"/>
        <v>Medium</v>
      </c>
    </row>
    <row r="221" ht="43.5" spans="1:11">
      <c r="A221" s="8" t="str">
        <f>'08_GDE_RISK_ENGINE'!A221</f>
        <v>P2PCB09 BR001</v>
      </c>
      <c r="B221" s="8" t="str">
        <f>'08_GDE_RISK_ENGINE'!B221</f>
        <v>Piping</v>
      </c>
      <c r="C221" s="8" t="str">
        <f>'08_GDE_RISK_ENGINE'!C221</f>
        <v>BOP/Utility</v>
      </c>
      <c r="D221" s="8" t="str">
        <f>'08_GDE_RISK_ENGINE'!D221</f>
        <v>CL-BOPUT-PCB-COOLINGWATER--L-T1_BELOW_80C</v>
      </c>
      <c r="E221" s="8">
        <f>'08_GDE_RISK_ENGINE'!E221</f>
        <v>2</v>
      </c>
      <c r="F221" s="8">
        <f>'08_GDE_RISK_ENGINE'!F221</f>
        <v>3</v>
      </c>
      <c r="G221" s="8" t="str">
        <f>'08_GDE_RISK_ENGINE'!G221</f>
        <v>High</v>
      </c>
      <c r="H221" s="8">
        <f>IF(A221="","",MIN(5,E221+'14_GDE_RISK_MATRIX_DASHBOARD'!$C$6))</f>
        <v>3</v>
      </c>
      <c r="I221" s="8">
        <f>IF(A221="","",MAX(1,E221-'14_GDE_RISK_MATRIX_DASHBOARD'!$C$7))</f>
        <v>1</v>
      </c>
      <c r="J221" s="8" t="str">
        <f t="shared" si="6"/>
        <v>High</v>
      </c>
      <c r="K221" s="8" t="str">
        <f t="shared" si="7"/>
        <v>Medium</v>
      </c>
    </row>
    <row r="222" ht="43.5" spans="1:11">
      <c r="A222" s="8" t="str">
        <f>'08_GDE_RISK_ENGINE'!A222</f>
        <v>P2PCB13 BR002</v>
      </c>
      <c r="B222" s="8" t="str">
        <f>'08_GDE_RISK_ENGINE'!B222</f>
        <v>Piping</v>
      </c>
      <c r="C222" s="8" t="str">
        <f>'08_GDE_RISK_ENGINE'!C222</f>
        <v>BOP/Utility</v>
      </c>
      <c r="D222" s="8" t="str">
        <f>'08_GDE_RISK_ENGINE'!D222</f>
        <v>CL-BOPUT-PCB-COOLINGWATER-FRP-L-T1_BELOW_80C</v>
      </c>
      <c r="E222" s="8">
        <f>'08_GDE_RISK_ENGINE'!E222</f>
        <v>2</v>
      </c>
      <c r="F222" s="8">
        <f>'08_GDE_RISK_ENGINE'!F222</f>
        <v>3</v>
      </c>
      <c r="G222" s="8" t="str">
        <f>'08_GDE_RISK_ENGINE'!G222</f>
        <v>High</v>
      </c>
      <c r="H222" s="8">
        <f>IF(A222="","",MIN(5,E222+'14_GDE_RISK_MATRIX_DASHBOARD'!$C$6))</f>
        <v>3</v>
      </c>
      <c r="I222" s="8">
        <f>IF(A222="","",MAX(1,E222-'14_GDE_RISK_MATRIX_DASHBOARD'!$C$7))</f>
        <v>1</v>
      </c>
      <c r="J222" s="8" t="str">
        <f t="shared" si="6"/>
        <v>High</v>
      </c>
      <c r="K222" s="8" t="str">
        <f t="shared" si="7"/>
        <v>Medium</v>
      </c>
    </row>
    <row r="223" ht="43.5" spans="1:11">
      <c r="A223" s="8" t="str">
        <f>'08_GDE_RISK_ENGINE'!A223</f>
        <v>P2PCB13 BR001</v>
      </c>
      <c r="B223" s="8" t="str">
        <f>'08_GDE_RISK_ENGINE'!B223</f>
        <v>Piping</v>
      </c>
      <c r="C223" s="8" t="str">
        <f>'08_GDE_RISK_ENGINE'!C223</f>
        <v>BOP/Utility</v>
      </c>
      <c r="D223" s="8" t="str">
        <f>'08_GDE_RISK_ENGINE'!D223</f>
        <v>CL-BOPUT-PCB-COOLINGWATER--L-T1_BELOW_80C</v>
      </c>
      <c r="E223" s="8">
        <f>'08_GDE_RISK_ENGINE'!E223</f>
        <v>2</v>
      </c>
      <c r="F223" s="8">
        <f>'08_GDE_RISK_ENGINE'!F223</f>
        <v>3</v>
      </c>
      <c r="G223" s="8" t="str">
        <f>'08_GDE_RISK_ENGINE'!G223</f>
        <v>High</v>
      </c>
      <c r="H223" s="8">
        <f>IF(A223="","",MIN(5,E223+'14_GDE_RISK_MATRIX_DASHBOARD'!$C$6))</f>
        <v>3</v>
      </c>
      <c r="I223" s="8">
        <f>IF(A223="","",MAX(1,E223-'14_GDE_RISK_MATRIX_DASHBOARD'!$C$7))</f>
        <v>1</v>
      </c>
      <c r="J223" s="8" t="str">
        <f t="shared" si="6"/>
        <v>High</v>
      </c>
      <c r="K223" s="8" t="str">
        <f t="shared" si="7"/>
        <v>Medium</v>
      </c>
    </row>
    <row r="224" ht="43.5" spans="1:11">
      <c r="A224" s="8" t="str">
        <f>'08_GDE_RISK_ENGINE'!A224</f>
        <v>P2PCB14 BR002</v>
      </c>
      <c r="B224" s="8" t="str">
        <f>'08_GDE_RISK_ENGINE'!B224</f>
        <v>Piping</v>
      </c>
      <c r="C224" s="8" t="str">
        <f>'08_GDE_RISK_ENGINE'!C224</f>
        <v>BOP/Utility</v>
      </c>
      <c r="D224" s="8" t="str">
        <f>'08_GDE_RISK_ENGINE'!D224</f>
        <v>CL-BOPUT-PCB-COOLINGWATER-FRP-L-T1_BELOW_80C</v>
      </c>
      <c r="E224" s="8">
        <f>'08_GDE_RISK_ENGINE'!E224</f>
        <v>2</v>
      </c>
      <c r="F224" s="8">
        <f>'08_GDE_RISK_ENGINE'!F224</f>
        <v>3</v>
      </c>
      <c r="G224" s="8" t="str">
        <f>'08_GDE_RISK_ENGINE'!G224</f>
        <v>High</v>
      </c>
      <c r="H224" s="8">
        <f>IF(A224="","",MIN(5,E224+'14_GDE_RISK_MATRIX_DASHBOARD'!$C$6))</f>
        <v>3</v>
      </c>
      <c r="I224" s="8">
        <f>IF(A224="","",MAX(1,E224-'14_GDE_RISK_MATRIX_DASHBOARD'!$C$7))</f>
        <v>1</v>
      </c>
      <c r="J224" s="8" t="str">
        <f t="shared" si="6"/>
        <v>High</v>
      </c>
      <c r="K224" s="8" t="str">
        <f t="shared" si="7"/>
        <v>Medium</v>
      </c>
    </row>
    <row r="225" ht="43.5" spans="1:11">
      <c r="A225" s="8" t="str">
        <f>'08_GDE_RISK_ENGINE'!A225</f>
        <v>P2PCB14 BR001</v>
      </c>
      <c r="B225" s="8" t="str">
        <f>'08_GDE_RISK_ENGINE'!B225</f>
        <v>Piping</v>
      </c>
      <c r="C225" s="8" t="str">
        <f>'08_GDE_RISK_ENGINE'!C225</f>
        <v>BOP/Utility</v>
      </c>
      <c r="D225" s="8" t="str">
        <f>'08_GDE_RISK_ENGINE'!D225</f>
        <v>CL-BOPUT-PCB-COOLINGWATER-FRP-L-T1_BELOW_80C</v>
      </c>
      <c r="E225" s="8">
        <f>'08_GDE_RISK_ENGINE'!E225</f>
        <v>2</v>
      </c>
      <c r="F225" s="8">
        <f>'08_GDE_RISK_ENGINE'!F225</f>
        <v>3</v>
      </c>
      <c r="G225" s="8" t="str">
        <f>'08_GDE_RISK_ENGINE'!G225</f>
        <v>High</v>
      </c>
      <c r="H225" s="8">
        <f>IF(A225="","",MIN(5,E225+'14_GDE_RISK_MATRIX_DASHBOARD'!$C$6))</f>
        <v>3</v>
      </c>
      <c r="I225" s="8">
        <f>IF(A225="","",MAX(1,E225-'14_GDE_RISK_MATRIX_DASHBOARD'!$C$7))</f>
        <v>1</v>
      </c>
      <c r="J225" s="8" t="str">
        <f t="shared" si="6"/>
        <v>High</v>
      </c>
      <c r="K225" s="8" t="str">
        <f t="shared" si="7"/>
        <v>Medium</v>
      </c>
    </row>
    <row r="226" ht="43.5" spans="1:11">
      <c r="A226" s="8" t="str">
        <f>'08_GDE_RISK_ENGINE'!A226</f>
        <v>P2PCB11 BR001</v>
      </c>
      <c r="B226" s="8" t="str">
        <f>'08_GDE_RISK_ENGINE'!B226</f>
        <v>Piping</v>
      </c>
      <c r="C226" s="8" t="str">
        <f>'08_GDE_RISK_ENGINE'!C226</f>
        <v>BOP/Utility</v>
      </c>
      <c r="D226" s="8" t="str">
        <f>'08_GDE_RISK_ENGINE'!D226</f>
        <v>CL-BOPUT-PCB-COOLINGWATER-FRP-L-T1_BELOW_80C</v>
      </c>
      <c r="E226" s="8">
        <f>'08_GDE_RISK_ENGINE'!E226</f>
        <v>2</v>
      </c>
      <c r="F226" s="8">
        <f>'08_GDE_RISK_ENGINE'!F226</f>
        <v>3</v>
      </c>
      <c r="G226" s="8" t="str">
        <f>'08_GDE_RISK_ENGINE'!G226</f>
        <v>High</v>
      </c>
      <c r="H226" s="8">
        <f>IF(A226="","",MIN(5,E226+'14_GDE_RISK_MATRIX_DASHBOARD'!$C$6))</f>
        <v>3</v>
      </c>
      <c r="I226" s="8">
        <f>IF(A226="","",MAX(1,E226-'14_GDE_RISK_MATRIX_DASHBOARD'!$C$7))</f>
        <v>1</v>
      </c>
      <c r="J226" s="8" t="str">
        <f t="shared" si="6"/>
        <v>High</v>
      </c>
      <c r="K226" s="8" t="str">
        <f t="shared" si="7"/>
        <v>Medium</v>
      </c>
    </row>
    <row r="227" ht="43.5" spans="1:11">
      <c r="A227" s="8" t="str">
        <f>'08_GDE_RISK_ENGINE'!A227</f>
        <v>P2PCB14 BR004</v>
      </c>
      <c r="B227" s="8" t="str">
        <f>'08_GDE_RISK_ENGINE'!B227</f>
        <v>Piping</v>
      </c>
      <c r="C227" s="8" t="str">
        <f>'08_GDE_RISK_ENGINE'!C227</f>
        <v>BOP/Utility</v>
      </c>
      <c r="D227" s="8" t="str">
        <f>'08_GDE_RISK_ENGINE'!D227</f>
        <v>CL-BOPUT-PCB-COOLINGWATER-FRP-L-T1_BELOW_80C</v>
      </c>
      <c r="E227" s="8">
        <f>'08_GDE_RISK_ENGINE'!E227</f>
        <v>2</v>
      </c>
      <c r="F227" s="8">
        <f>'08_GDE_RISK_ENGINE'!F227</f>
        <v>3</v>
      </c>
      <c r="G227" s="8" t="str">
        <f>'08_GDE_RISK_ENGINE'!G227</f>
        <v>High</v>
      </c>
      <c r="H227" s="8">
        <f>IF(A227="","",MIN(5,E227+'14_GDE_RISK_MATRIX_DASHBOARD'!$C$6))</f>
        <v>3</v>
      </c>
      <c r="I227" s="8">
        <f>IF(A227="","",MAX(1,E227-'14_GDE_RISK_MATRIX_DASHBOARD'!$C$7))</f>
        <v>1</v>
      </c>
      <c r="J227" s="8" t="str">
        <f t="shared" si="6"/>
        <v>High</v>
      </c>
      <c r="K227" s="8" t="str">
        <f t="shared" si="7"/>
        <v>Medium</v>
      </c>
    </row>
    <row r="228" ht="43.5" spans="1:11">
      <c r="A228" s="8" t="str">
        <f>'08_GDE_RISK_ENGINE'!A228</f>
        <v>P2PCB14 BR003</v>
      </c>
      <c r="B228" s="8" t="str">
        <f>'08_GDE_RISK_ENGINE'!B228</f>
        <v>Piping</v>
      </c>
      <c r="C228" s="8" t="str">
        <f>'08_GDE_RISK_ENGINE'!C228</f>
        <v>BOP/Utility</v>
      </c>
      <c r="D228" s="8" t="str">
        <f>'08_GDE_RISK_ENGINE'!D228</f>
        <v>CL-BOPUT-PCB-COOLINGWATER-FRP-L-T1_BELOW_80C</v>
      </c>
      <c r="E228" s="8">
        <f>'08_GDE_RISK_ENGINE'!E228</f>
        <v>2</v>
      </c>
      <c r="F228" s="8">
        <f>'08_GDE_RISK_ENGINE'!F228</f>
        <v>3</v>
      </c>
      <c r="G228" s="8" t="str">
        <f>'08_GDE_RISK_ENGINE'!G228</f>
        <v>High</v>
      </c>
      <c r="H228" s="8">
        <f>IF(A228="","",MIN(5,E228+'14_GDE_RISK_MATRIX_DASHBOARD'!$C$6))</f>
        <v>3</v>
      </c>
      <c r="I228" s="8">
        <f>IF(A228="","",MAX(1,E228-'14_GDE_RISK_MATRIX_DASHBOARD'!$C$7))</f>
        <v>1</v>
      </c>
      <c r="J228" s="8" t="str">
        <f t="shared" si="6"/>
        <v>High</v>
      </c>
      <c r="K228" s="8" t="str">
        <f t="shared" si="7"/>
        <v>Medium</v>
      </c>
    </row>
    <row r="229" ht="43.5" spans="1:11">
      <c r="A229" s="8" t="str">
        <f>'08_GDE_RISK_ENGINE'!A229</f>
        <v>P2PCB10 BR001</v>
      </c>
      <c r="B229" s="8" t="str">
        <f>'08_GDE_RISK_ENGINE'!B229</f>
        <v>Piping</v>
      </c>
      <c r="C229" s="8" t="str">
        <f>'08_GDE_RISK_ENGINE'!C229</f>
        <v>BOP/Utility</v>
      </c>
      <c r="D229" s="8" t="str">
        <f>'08_GDE_RISK_ENGINE'!D229</f>
        <v>CL-BOPUT-PCB-COOLINGWATER-FRP-L-T1_BELOW_80C</v>
      </c>
      <c r="E229" s="8">
        <f>'08_GDE_RISK_ENGINE'!E229</f>
        <v>2</v>
      </c>
      <c r="F229" s="8">
        <f>'08_GDE_RISK_ENGINE'!F229</f>
        <v>3</v>
      </c>
      <c r="G229" s="8" t="str">
        <f>'08_GDE_RISK_ENGINE'!G229</f>
        <v>High</v>
      </c>
      <c r="H229" s="8">
        <f>IF(A229="","",MIN(5,E229+'14_GDE_RISK_MATRIX_DASHBOARD'!$C$6))</f>
        <v>3</v>
      </c>
      <c r="I229" s="8">
        <f>IF(A229="","",MAX(1,E229-'14_GDE_RISK_MATRIX_DASHBOARD'!$C$7))</f>
        <v>1</v>
      </c>
      <c r="J229" s="8" t="str">
        <f t="shared" si="6"/>
        <v>High</v>
      </c>
      <c r="K229" s="8" t="str">
        <f t="shared" si="7"/>
        <v>Medium</v>
      </c>
    </row>
    <row r="230" ht="43.5" spans="1:11">
      <c r="A230" s="8" t="str">
        <f>'08_GDE_RISK_ENGINE'!A230</f>
        <v>P2PCB07 BR002</v>
      </c>
      <c r="B230" s="8" t="str">
        <f>'08_GDE_RISK_ENGINE'!B230</f>
        <v>Piping</v>
      </c>
      <c r="C230" s="8" t="str">
        <f>'08_GDE_RISK_ENGINE'!C230</f>
        <v>BOP/Utility</v>
      </c>
      <c r="D230" s="8" t="str">
        <f>'08_GDE_RISK_ENGINE'!D230</f>
        <v>CL-BOPUT-PCB-COOLINGWATER--L-T1_BELOW_80C</v>
      </c>
      <c r="E230" s="8">
        <f>'08_GDE_RISK_ENGINE'!E230</f>
        <v>2</v>
      </c>
      <c r="F230" s="8">
        <f>'08_GDE_RISK_ENGINE'!F230</f>
        <v>3</v>
      </c>
      <c r="G230" s="8" t="str">
        <f>'08_GDE_RISK_ENGINE'!G230</f>
        <v>High</v>
      </c>
      <c r="H230" s="8">
        <f>IF(A230="","",MIN(5,E230+'14_GDE_RISK_MATRIX_DASHBOARD'!$C$6))</f>
        <v>3</v>
      </c>
      <c r="I230" s="8">
        <f>IF(A230="","",MAX(1,E230-'14_GDE_RISK_MATRIX_DASHBOARD'!$C$7))</f>
        <v>1</v>
      </c>
      <c r="J230" s="8" t="str">
        <f t="shared" si="6"/>
        <v>High</v>
      </c>
      <c r="K230" s="8" t="str">
        <f t="shared" si="7"/>
        <v>Medium</v>
      </c>
    </row>
    <row r="231" ht="43.5" spans="1:11">
      <c r="A231" s="8" t="str">
        <f>'08_GDE_RISK_ENGINE'!A231</f>
        <v>P2PCB07 BR003</v>
      </c>
      <c r="B231" s="8" t="str">
        <f>'08_GDE_RISK_ENGINE'!B231</f>
        <v>Piping</v>
      </c>
      <c r="C231" s="8" t="str">
        <f>'08_GDE_RISK_ENGINE'!C231</f>
        <v>BOP/Utility</v>
      </c>
      <c r="D231" s="8" t="str">
        <f>'08_GDE_RISK_ENGINE'!D231</f>
        <v>CL-BOPUT-PCB-COOLINGWATER--L-T1_BELOW_80C</v>
      </c>
      <c r="E231" s="8">
        <f>'08_GDE_RISK_ENGINE'!E231</f>
        <v>2</v>
      </c>
      <c r="F231" s="8">
        <f>'08_GDE_RISK_ENGINE'!F231</f>
        <v>3</v>
      </c>
      <c r="G231" s="8" t="str">
        <f>'08_GDE_RISK_ENGINE'!G231</f>
        <v>High</v>
      </c>
      <c r="H231" s="8">
        <f>IF(A231="","",MIN(5,E231+'14_GDE_RISK_MATRIX_DASHBOARD'!$C$6))</f>
        <v>3</v>
      </c>
      <c r="I231" s="8">
        <f>IF(A231="","",MAX(1,E231-'14_GDE_RISK_MATRIX_DASHBOARD'!$C$7))</f>
        <v>1</v>
      </c>
      <c r="J231" s="8" t="str">
        <f t="shared" si="6"/>
        <v>High</v>
      </c>
      <c r="K231" s="8" t="str">
        <f t="shared" si="7"/>
        <v>Medium</v>
      </c>
    </row>
    <row r="232" ht="43.5" spans="1:11">
      <c r="A232" s="8" t="str">
        <f>'08_GDE_RISK_ENGINE'!A232</f>
        <v>P2PCB08 BR002</v>
      </c>
      <c r="B232" s="8" t="str">
        <f>'08_GDE_RISK_ENGINE'!B232</f>
        <v>Piping</v>
      </c>
      <c r="C232" s="8" t="str">
        <f>'08_GDE_RISK_ENGINE'!C232</f>
        <v>BOP/Utility</v>
      </c>
      <c r="D232" s="8" t="str">
        <f>'08_GDE_RISK_ENGINE'!D232</f>
        <v>CL-BOPUT-PCB-COOLINGWATER--L-T1_BELOW_80C</v>
      </c>
      <c r="E232" s="8">
        <f>'08_GDE_RISK_ENGINE'!E232</f>
        <v>2</v>
      </c>
      <c r="F232" s="8">
        <f>'08_GDE_RISK_ENGINE'!F232</f>
        <v>3</v>
      </c>
      <c r="G232" s="8" t="str">
        <f>'08_GDE_RISK_ENGINE'!G232</f>
        <v>High</v>
      </c>
      <c r="H232" s="8">
        <f>IF(A232="","",MIN(5,E232+'14_GDE_RISK_MATRIX_DASHBOARD'!$C$6))</f>
        <v>3</v>
      </c>
      <c r="I232" s="8">
        <f>IF(A232="","",MAX(1,E232-'14_GDE_RISK_MATRIX_DASHBOARD'!$C$7))</f>
        <v>1</v>
      </c>
      <c r="J232" s="8" t="str">
        <f t="shared" si="6"/>
        <v>High</v>
      </c>
      <c r="K232" s="8" t="str">
        <f t="shared" si="7"/>
        <v>Medium</v>
      </c>
    </row>
    <row r="233" ht="43.5" spans="1:11">
      <c r="A233" s="8" t="str">
        <f>'08_GDE_RISK_ENGINE'!A233</f>
        <v>P2PCB08 BR003</v>
      </c>
      <c r="B233" s="8" t="str">
        <f>'08_GDE_RISK_ENGINE'!B233</f>
        <v>Piping</v>
      </c>
      <c r="C233" s="8" t="str">
        <f>'08_GDE_RISK_ENGINE'!C233</f>
        <v>BOP/Utility</v>
      </c>
      <c r="D233" s="8" t="str">
        <f>'08_GDE_RISK_ENGINE'!D233</f>
        <v>CL-BOPUT-PCB-COOLINGWATER--L-T1_BELOW_80C</v>
      </c>
      <c r="E233" s="8">
        <f>'08_GDE_RISK_ENGINE'!E233</f>
        <v>2</v>
      </c>
      <c r="F233" s="8">
        <f>'08_GDE_RISK_ENGINE'!F233</f>
        <v>3</v>
      </c>
      <c r="G233" s="8" t="str">
        <f>'08_GDE_RISK_ENGINE'!G233</f>
        <v>High</v>
      </c>
      <c r="H233" s="8">
        <f>IF(A233="","",MIN(5,E233+'14_GDE_RISK_MATRIX_DASHBOARD'!$C$6))</f>
        <v>3</v>
      </c>
      <c r="I233" s="8">
        <f>IF(A233="","",MAX(1,E233-'14_GDE_RISK_MATRIX_DASHBOARD'!$C$7))</f>
        <v>1</v>
      </c>
      <c r="J233" s="8" t="str">
        <f t="shared" si="6"/>
        <v>High</v>
      </c>
      <c r="K233" s="8" t="str">
        <f t="shared" si="7"/>
        <v>Medium</v>
      </c>
    </row>
    <row r="234" ht="43.5" spans="1:11">
      <c r="A234" s="8" t="str">
        <f>'08_GDE_RISK_ENGINE'!A234</f>
        <v>P2PCB04 BR002</v>
      </c>
      <c r="B234" s="8" t="str">
        <f>'08_GDE_RISK_ENGINE'!B234</f>
        <v>Piping</v>
      </c>
      <c r="C234" s="8" t="str">
        <f>'08_GDE_RISK_ENGINE'!C234</f>
        <v>BOP/Utility</v>
      </c>
      <c r="D234" s="8" t="str">
        <f>'08_GDE_RISK_ENGINE'!D234</f>
        <v>CL-BOPUT-PCB-COOLINGWATER--L-T1_BELOW_80C</v>
      </c>
      <c r="E234" s="8">
        <f>'08_GDE_RISK_ENGINE'!E234</f>
        <v>2</v>
      </c>
      <c r="F234" s="8">
        <f>'08_GDE_RISK_ENGINE'!F234</f>
        <v>3</v>
      </c>
      <c r="G234" s="8" t="str">
        <f>'08_GDE_RISK_ENGINE'!G234</f>
        <v>High</v>
      </c>
      <c r="H234" s="8">
        <f>IF(A234="","",MIN(5,E234+'14_GDE_RISK_MATRIX_DASHBOARD'!$C$6))</f>
        <v>3</v>
      </c>
      <c r="I234" s="8">
        <f>IF(A234="","",MAX(1,E234-'14_GDE_RISK_MATRIX_DASHBOARD'!$C$7))</f>
        <v>1</v>
      </c>
      <c r="J234" s="8" t="str">
        <f t="shared" si="6"/>
        <v>High</v>
      </c>
      <c r="K234" s="8" t="str">
        <f t="shared" si="7"/>
        <v>Medium</v>
      </c>
    </row>
    <row r="235" ht="43.5" spans="1:11">
      <c r="A235" s="8" t="str">
        <f>'08_GDE_RISK_ENGINE'!A235</f>
        <v>P2PCB04 BR003</v>
      </c>
      <c r="B235" s="8" t="str">
        <f>'08_GDE_RISK_ENGINE'!B235</f>
        <v>Piping</v>
      </c>
      <c r="C235" s="8" t="str">
        <f>'08_GDE_RISK_ENGINE'!C235</f>
        <v>BOP/Utility</v>
      </c>
      <c r="D235" s="8" t="str">
        <f>'08_GDE_RISK_ENGINE'!D235</f>
        <v>CL-BOPUT-PCB-COOLINGWATER--L-T1_BELOW_80C</v>
      </c>
      <c r="E235" s="8">
        <f>'08_GDE_RISK_ENGINE'!E235</f>
        <v>2</v>
      </c>
      <c r="F235" s="8">
        <f>'08_GDE_RISK_ENGINE'!F235</f>
        <v>3</v>
      </c>
      <c r="G235" s="8" t="str">
        <f>'08_GDE_RISK_ENGINE'!G235</f>
        <v>High</v>
      </c>
      <c r="H235" s="8">
        <f>IF(A235="","",MIN(5,E235+'14_GDE_RISK_MATRIX_DASHBOARD'!$C$6))</f>
        <v>3</v>
      </c>
      <c r="I235" s="8">
        <f>IF(A235="","",MAX(1,E235-'14_GDE_RISK_MATRIX_DASHBOARD'!$C$7))</f>
        <v>1</v>
      </c>
      <c r="J235" s="8" t="str">
        <f t="shared" si="6"/>
        <v>High</v>
      </c>
      <c r="K235" s="8" t="str">
        <f t="shared" si="7"/>
        <v>Medium</v>
      </c>
    </row>
    <row r="236" ht="43.5" spans="1:11">
      <c r="A236" s="8" t="str">
        <f>'08_GDE_RISK_ENGINE'!A236</f>
        <v>P2PCB05 BR002</v>
      </c>
      <c r="B236" s="8" t="str">
        <f>'08_GDE_RISK_ENGINE'!B236</f>
        <v>Piping</v>
      </c>
      <c r="C236" s="8" t="str">
        <f>'08_GDE_RISK_ENGINE'!C236</f>
        <v>BOP/Utility</v>
      </c>
      <c r="D236" s="8" t="str">
        <f>'08_GDE_RISK_ENGINE'!D236</f>
        <v>CL-BOPUT-PCB-COOLINGWATER--L-T1_BELOW_80C</v>
      </c>
      <c r="E236" s="8">
        <f>'08_GDE_RISK_ENGINE'!E236</f>
        <v>2</v>
      </c>
      <c r="F236" s="8">
        <f>'08_GDE_RISK_ENGINE'!F236</f>
        <v>3</v>
      </c>
      <c r="G236" s="8" t="str">
        <f>'08_GDE_RISK_ENGINE'!G236</f>
        <v>High</v>
      </c>
      <c r="H236" s="8">
        <f>IF(A236="","",MIN(5,E236+'14_GDE_RISK_MATRIX_DASHBOARD'!$C$6))</f>
        <v>3</v>
      </c>
      <c r="I236" s="8">
        <f>IF(A236="","",MAX(1,E236-'14_GDE_RISK_MATRIX_DASHBOARD'!$C$7))</f>
        <v>1</v>
      </c>
      <c r="J236" s="8" t="str">
        <f t="shared" si="6"/>
        <v>High</v>
      </c>
      <c r="K236" s="8" t="str">
        <f t="shared" si="7"/>
        <v>Medium</v>
      </c>
    </row>
    <row r="237" ht="43.5" spans="1:11">
      <c r="A237" s="8" t="str">
        <f>'08_GDE_RISK_ENGINE'!A237</f>
        <v>P2PCB05 BR003</v>
      </c>
      <c r="B237" s="8" t="str">
        <f>'08_GDE_RISK_ENGINE'!B237</f>
        <v>Piping</v>
      </c>
      <c r="C237" s="8" t="str">
        <f>'08_GDE_RISK_ENGINE'!C237</f>
        <v>BOP/Utility</v>
      </c>
      <c r="D237" s="8" t="str">
        <f>'08_GDE_RISK_ENGINE'!D237</f>
        <v>CL-BOPUT-PCB-COOLINGWATER--L-T1_BELOW_80C</v>
      </c>
      <c r="E237" s="8">
        <f>'08_GDE_RISK_ENGINE'!E237</f>
        <v>2</v>
      </c>
      <c r="F237" s="8">
        <f>'08_GDE_RISK_ENGINE'!F237</f>
        <v>3</v>
      </c>
      <c r="G237" s="8" t="str">
        <f>'08_GDE_RISK_ENGINE'!G237</f>
        <v>High</v>
      </c>
      <c r="H237" s="8">
        <f>IF(A237="","",MIN(5,E237+'14_GDE_RISK_MATRIX_DASHBOARD'!$C$6))</f>
        <v>3</v>
      </c>
      <c r="I237" s="8">
        <f>IF(A237="","",MAX(1,E237-'14_GDE_RISK_MATRIX_DASHBOARD'!$C$7))</f>
        <v>1</v>
      </c>
      <c r="J237" s="8" t="str">
        <f t="shared" si="6"/>
        <v>High</v>
      </c>
      <c r="K237" s="8" t="str">
        <f t="shared" si="7"/>
        <v>Medium</v>
      </c>
    </row>
    <row r="238" ht="43.5" spans="1:11">
      <c r="A238" s="8" t="str">
        <f>'08_GDE_RISK_ENGINE'!A238</f>
        <v>P2PCB21 BR018</v>
      </c>
      <c r="B238" s="8" t="str">
        <f>'08_GDE_RISK_ENGINE'!B238</f>
        <v>Piping</v>
      </c>
      <c r="C238" s="8" t="str">
        <f>'08_GDE_RISK_ENGINE'!C238</f>
        <v>BOP/Utility</v>
      </c>
      <c r="D238" s="8" t="str">
        <f>'08_GDE_RISK_ENGINE'!D238</f>
        <v>CL-BOPUT-PCB-COOLINGWATER--L-T1_BELOW_80C</v>
      </c>
      <c r="E238" s="8">
        <f>'08_GDE_RISK_ENGINE'!E238</f>
        <v>2</v>
      </c>
      <c r="F238" s="8">
        <f>'08_GDE_RISK_ENGINE'!F238</f>
        <v>3</v>
      </c>
      <c r="G238" s="8" t="str">
        <f>'08_GDE_RISK_ENGINE'!G238</f>
        <v>High</v>
      </c>
      <c r="H238" s="8">
        <f>IF(A238="","",MIN(5,E238+'14_GDE_RISK_MATRIX_DASHBOARD'!$C$6))</f>
        <v>3</v>
      </c>
      <c r="I238" s="8">
        <f>IF(A238="","",MAX(1,E238-'14_GDE_RISK_MATRIX_DASHBOARD'!$C$7))</f>
        <v>1</v>
      </c>
      <c r="J238" s="8" t="str">
        <f t="shared" si="6"/>
        <v>High</v>
      </c>
      <c r="K238" s="8" t="str">
        <f t="shared" si="7"/>
        <v>Medium</v>
      </c>
    </row>
    <row r="239" ht="43.5" spans="1:11">
      <c r="A239" s="8" t="str">
        <f>'08_GDE_RISK_ENGINE'!A239</f>
        <v>P2LCA01 BR007</v>
      </c>
      <c r="B239" s="8" t="str">
        <f>'08_GDE_RISK_ENGINE'!B239</f>
        <v>Piping</v>
      </c>
      <c r="C239" s="8" t="str">
        <f>'08_GDE_RISK_ENGINE'!C239</f>
        <v>BOP/Utility</v>
      </c>
      <c r="D239" s="8" t="str">
        <f>'08_GDE_RISK_ENGINE'!D239</f>
        <v>CL-BOPUT-LCA-CONDENSATE-CS-L-T1_BELOW_80C</v>
      </c>
      <c r="E239" s="8">
        <f>'08_GDE_RISK_ENGINE'!E239</f>
        <v>4</v>
      </c>
      <c r="F239" s="8">
        <f>'08_GDE_RISK_ENGINE'!F239</f>
        <v>2</v>
      </c>
      <c r="G239" s="8" t="str">
        <f>'08_GDE_RISK_ENGINE'!G239</f>
        <v>High</v>
      </c>
      <c r="H239" s="8">
        <f>IF(A239="","",MIN(5,E239+'14_GDE_RISK_MATRIX_DASHBOARD'!$C$6))</f>
        <v>5</v>
      </c>
      <c r="I239" s="8">
        <f>IF(A239="","",MAX(1,E239-'14_GDE_RISK_MATRIX_DASHBOARD'!$C$7))</f>
        <v>3</v>
      </c>
      <c r="J239" s="8" t="str">
        <f t="shared" si="6"/>
        <v>Medium</v>
      </c>
      <c r="K239" s="8" t="str">
        <f t="shared" si="7"/>
        <v>Medium</v>
      </c>
    </row>
    <row r="240" ht="43.5" spans="1:11">
      <c r="A240" s="8" t="str">
        <f>'08_GDE_RISK_ENGINE'!A240</f>
        <v>P2LCA01 BR023</v>
      </c>
      <c r="B240" s="8" t="str">
        <f>'08_GDE_RISK_ENGINE'!B240</f>
        <v>Piping</v>
      </c>
      <c r="C240" s="8" t="str">
        <f>'08_GDE_RISK_ENGINE'!C240</f>
        <v>BOP/Utility</v>
      </c>
      <c r="D240" s="8" t="str">
        <f>'08_GDE_RISK_ENGINE'!D240</f>
        <v>CL-BOPUT-LCA-CONDENSATE-CS-L-T1_BELOW_80C</v>
      </c>
      <c r="E240" s="8">
        <f>'08_GDE_RISK_ENGINE'!E240</f>
        <v>4</v>
      </c>
      <c r="F240" s="8">
        <f>'08_GDE_RISK_ENGINE'!F240</f>
        <v>2</v>
      </c>
      <c r="G240" s="8" t="str">
        <f>'08_GDE_RISK_ENGINE'!G240</f>
        <v>High</v>
      </c>
      <c r="H240" s="8">
        <f>IF(A240="","",MIN(5,E240+'14_GDE_RISK_MATRIX_DASHBOARD'!$C$6))</f>
        <v>5</v>
      </c>
      <c r="I240" s="8">
        <f>IF(A240="","",MAX(1,E240-'14_GDE_RISK_MATRIX_DASHBOARD'!$C$7))</f>
        <v>3</v>
      </c>
      <c r="J240" s="8" t="str">
        <f t="shared" si="6"/>
        <v>Medium</v>
      </c>
      <c r="K240" s="8" t="str">
        <f t="shared" si="7"/>
        <v>Medium</v>
      </c>
    </row>
    <row r="241" ht="43.5" spans="1:11">
      <c r="A241" s="8" t="str">
        <f>'08_GDE_RISK_ENGINE'!A241</f>
        <v>P2LCA01 BR009</v>
      </c>
      <c r="B241" s="8" t="str">
        <f>'08_GDE_RISK_ENGINE'!B241</f>
        <v>Piping</v>
      </c>
      <c r="C241" s="8" t="str">
        <f>'08_GDE_RISK_ENGINE'!C241</f>
        <v>BOP/Utility</v>
      </c>
      <c r="D241" s="8" t="str">
        <f>'08_GDE_RISK_ENGINE'!D241</f>
        <v>CL-BOPUT-LCA-CONDENSATE-CS-L-T1_BELOW_80C</v>
      </c>
      <c r="E241" s="8">
        <f>'08_GDE_RISK_ENGINE'!E241</f>
        <v>4</v>
      </c>
      <c r="F241" s="8">
        <f>'08_GDE_RISK_ENGINE'!F241</f>
        <v>2</v>
      </c>
      <c r="G241" s="8" t="str">
        <f>'08_GDE_RISK_ENGINE'!G241</f>
        <v>High</v>
      </c>
      <c r="H241" s="8">
        <f>IF(A241="","",MIN(5,E241+'14_GDE_RISK_MATRIX_DASHBOARD'!$C$6))</f>
        <v>5</v>
      </c>
      <c r="I241" s="8">
        <f>IF(A241="","",MAX(1,E241-'14_GDE_RISK_MATRIX_DASHBOARD'!$C$7))</f>
        <v>3</v>
      </c>
      <c r="J241" s="8" t="str">
        <f t="shared" si="6"/>
        <v>Medium</v>
      </c>
      <c r="K241" s="8" t="str">
        <f t="shared" si="7"/>
        <v>Medium</v>
      </c>
    </row>
    <row r="242" ht="43.5" spans="1:11">
      <c r="A242" s="8" t="str">
        <f>'08_GDE_RISK_ENGINE'!A242</f>
        <v>P2LCA01 BR008</v>
      </c>
      <c r="B242" s="8" t="str">
        <f>'08_GDE_RISK_ENGINE'!B242</f>
        <v>Piping</v>
      </c>
      <c r="C242" s="8" t="str">
        <f>'08_GDE_RISK_ENGINE'!C242</f>
        <v>BOP/Utility</v>
      </c>
      <c r="D242" s="8" t="str">
        <f>'08_GDE_RISK_ENGINE'!D242</f>
        <v>CL-BOPUT-LCA-CONDENSATE-CS-L-T1_BELOW_80C</v>
      </c>
      <c r="E242" s="8">
        <f>'08_GDE_RISK_ENGINE'!E242</f>
        <v>4</v>
      </c>
      <c r="F242" s="8">
        <f>'08_GDE_RISK_ENGINE'!F242</f>
        <v>2</v>
      </c>
      <c r="G242" s="8" t="str">
        <f>'08_GDE_RISK_ENGINE'!G242</f>
        <v>High</v>
      </c>
      <c r="H242" s="8">
        <f>IF(A242="","",MIN(5,E242+'14_GDE_RISK_MATRIX_DASHBOARD'!$C$6))</f>
        <v>5</v>
      </c>
      <c r="I242" s="8">
        <f>IF(A242="","",MAX(1,E242-'14_GDE_RISK_MATRIX_DASHBOARD'!$C$7))</f>
        <v>3</v>
      </c>
      <c r="J242" s="8" t="str">
        <f t="shared" si="6"/>
        <v>Medium</v>
      </c>
      <c r="K242" s="8" t="str">
        <f t="shared" si="7"/>
        <v>Medium</v>
      </c>
    </row>
    <row r="243" ht="43.5" spans="1:11">
      <c r="A243" s="8" t="str">
        <f>'08_GDE_RISK_ENGINE'!A243</f>
        <v>P2LCA01 BR020</v>
      </c>
      <c r="B243" s="8" t="str">
        <f>'08_GDE_RISK_ENGINE'!B243</f>
        <v>Piping</v>
      </c>
      <c r="C243" s="8" t="str">
        <f>'08_GDE_RISK_ENGINE'!C243</f>
        <v>BOP/Utility</v>
      </c>
      <c r="D243" s="8" t="str">
        <f>'08_GDE_RISK_ENGINE'!D243</f>
        <v>CL-BOPUT-LCA-CONDENSATE-CS-L-T1_BELOW_80C</v>
      </c>
      <c r="E243" s="8">
        <f>'08_GDE_RISK_ENGINE'!E243</f>
        <v>4</v>
      </c>
      <c r="F243" s="8">
        <f>'08_GDE_RISK_ENGINE'!F243</f>
        <v>2</v>
      </c>
      <c r="G243" s="8" t="str">
        <f>'08_GDE_RISK_ENGINE'!G243</f>
        <v>High</v>
      </c>
      <c r="H243" s="8">
        <f>IF(A243="","",MIN(5,E243+'14_GDE_RISK_MATRIX_DASHBOARD'!$C$6))</f>
        <v>5</v>
      </c>
      <c r="I243" s="8">
        <f>IF(A243="","",MAX(1,E243-'14_GDE_RISK_MATRIX_DASHBOARD'!$C$7))</f>
        <v>3</v>
      </c>
      <c r="J243" s="8" t="str">
        <f t="shared" si="6"/>
        <v>Medium</v>
      </c>
      <c r="K243" s="8" t="str">
        <f t="shared" si="7"/>
        <v>Medium</v>
      </c>
    </row>
    <row r="244" ht="43.5" spans="1:11">
      <c r="A244" s="8" t="str">
        <f>'08_GDE_RISK_ENGINE'!A244</f>
        <v>P2LCA01 BR010</v>
      </c>
      <c r="B244" s="8" t="str">
        <f>'08_GDE_RISK_ENGINE'!B244</f>
        <v>Piping</v>
      </c>
      <c r="C244" s="8" t="str">
        <f>'08_GDE_RISK_ENGINE'!C244</f>
        <v>BOP/Utility</v>
      </c>
      <c r="D244" s="8" t="str">
        <f>'08_GDE_RISK_ENGINE'!D244</f>
        <v>CL-BOPUT-LCA-CONDENSATE-CS-L-T1_BELOW_80C</v>
      </c>
      <c r="E244" s="8">
        <f>'08_GDE_RISK_ENGINE'!E244</f>
        <v>4</v>
      </c>
      <c r="F244" s="8">
        <f>'08_GDE_RISK_ENGINE'!F244</f>
        <v>2</v>
      </c>
      <c r="G244" s="8" t="str">
        <f>'08_GDE_RISK_ENGINE'!G244</f>
        <v>High</v>
      </c>
      <c r="H244" s="8">
        <f>IF(A244="","",MIN(5,E244+'14_GDE_RISK_MATRIX_DASHBOARD'!$C$6))</f>
        <v>5</v>
      </c>
      <c r="I244" s="8">
        <f>IF(A244="","",MAX(1,E244-'14_GDE_RISK_MATRIX_DASHBOARD'!$C$7))</f>
        <v>3</v>
      </c>
      <c r="J244" s="8" t="str">
        <f t="shared" si="6"/>
        <v>Medium</v>
      </c>
      <c r="K244" s="8" t="str">
        <f t="shared" si="7"/>
        <v>Medium</v>
      </c>
    </row>
    <row r="245" ht="43.5" spans="1:11">
      <c r="A245" s="8" t="str">
        <f>'08_GDE_RISK_ENGINE'!A245</f>
        <v>P2LCA01 BR021</v>
      </c>
      <c r="B245" s="8" t="str">
        <f>'08_GDE_RISK_ENGINE'!B245</f>
        <v>Piping</v>
      </c>
      <c r="C245" s="8" t="str">
        <f>'08_GDE_RISK_ENGINE'!C245</f>
        <v>BOP/Utility</v>
      </c>
      <c r="D245" s="8" t="str">
        <f>'08_GDE_RISK_ENGINE'!D245</f>
        <v>CL-BOPUT-LCA-CONDENSATE-CS-L-T1_BELOW_80C</v>
      </c>
      <c r="E245" s="8">
        <f>'08_GDE_RISK_ENGINE'!E245</f>
        <v>4</v>
      </c>
      <c r="F245" s="8">
        <f>'08_GDE_RISK_ENGINE'!F245</f>
        <v>2</v>
      </c>
      <c r="G245" s="8" t="str">
        <f>'08_GDE_RISK_ENGINE'!G245</f>
        <v>High</v>
      </c>
      <c r="H245" s="8">
        <f>IF(A245="","",MIN(5,E245+'14_GDE_RISK_MATRIX_DASHBOARD'!$C$6))</f>
        <v>5</v>
      </c>
      <c r="I245" s="8">
        <f>IF(A245="","",MAX(1,E245-'14_GDE_RISK_MATRIX_DASHBOARD'!$C$7))</f>
        <v>3</v>
      </c>
      <c r="J245" s="8" t="str">
        <f t="shared" si="6"/>
        <v>Medium</v>
      </c>
      <c r="K245" s="8" t="str">
        <f t="shared" si="7"/>
        <v>Medium</v>
      </c>
    </row>
    <row r="246" ht="43.5" spans="1:11">
      <c r="A246" s="8" t="str">
        <f>'08_GDE_RISK_ENGINE'!A246</f>
        <v>P2LCA01 BR003</v>
      </c>
      <c r="B246" s="8" t="str">
        <f>'08_GDE_RISK_ENGINE'!B246</f>
        <v>Piping</v>
      </c>
      <c r="C246" s="8" t="str">
        <f>'08_GDE_RISK_ENGINE'!C246</f>
        <v>BOP/Utility</v>
      </c>
      <c r="D246" s="8" t="str">
        <f>'08_GDE_RISK_ENGINE'!D246</f>
        <v>CL-BOPUT-LCA-CONDENSATE-SS316L-L-T1_BELOW_80C</v>
      </c>
      <c r="E246" s="8">
        <f>'08_GDE_RISK_ENGINE'!E246</f>
        <v>2</v>
      </c>
      <c r="F246" s="8">
        <f>'08_GDE_RISK_ENGINE'!F246</f>
        <v>2</v>
      </c>
      <c r="G246" s="8" t="str">
        <f>'08_GDE_RISK_ENGINE'!G246</f>
        <v>Medium</v>
      </c>
      <c r="H246" s="8">
        <f>IF(A246="","",MIN(5,E246+'14_GDE_RISK_MATRIX_DASHBOARD'!$C$6))</f>
        <v>3</v>
      </c>
      <c r="I246" s="8">
        <f>IF(A246="","",MAX(1,E246-'14_GDE_RISK_MATRIX_DASHBOARD'!$C$7))</f>
        <v>1</v>
      </c>
      <c r="J246" s="8" t="str">
        <f t="shared" si="6"/>
        <v>Medium</v>
      </c>
      <c r="K246" s="8" t="str">
        <f t="shared" si="7"/>
        <v>Medium</v>
      </c>
    </row>
    <row r="247" ht="43.5" spans="1:11">
      <c r="A247" s="8" t="str">
        <f>'08_GDE_RISK_ENGINE'!A247</f>
        <v>P2PAB11 BR007</v>
      </c>
      <c r="B247" s="8" t="str">
        <f>'08_GDE_RISK_ENGINE'!B247</f>
        <v>Piping</v>
      </c>
      <c r="C247" s="8" t="str">
        <f>'08_GDE_RISK_ENGINE'!C247</f>
        <v>BOP/Utility</v>
      </c>
      <c r="D247" s="8" t="str">
        <f>'08_GDE_RISK_ENGINE'!D247</f>
        <v>CL-BOPUT-PAB-CONDENSATE-SS316L-L-T1_BELOW_80C</v>
      </c>
      <c r="E247" s="8">
        <f>'08_GDE_RISK_ENGINE'!E247</f>
        <v>2</v>
      </c>
      <c r="F247" s="8">
        <f>'08_GDE_RISK_ENGINE'!F247</f>
        <v>3</v>
      </c>
      <c r="G247" s="8" t="str">
        <f>'08_GDE_RISK_ENGINE'!G247</f>
        <v>High</v>
      </c>
      <c r="H247" s="8">
        <f>IF(A247="","",MIN(5,E247+'14_GDE_RISK_MATRIX_DASHBOARD'!$C$6))</f>
        <v>3</v>
      </c>
      <c r="I247" s="8">
        <f>IF(A247="","",MAX(1,E247-'14_GDE_RISK_MATRIX_DASHBOARD'!$C$7))</f>
        <v>1</v>
      </c>
      <c r="J247" s="8" t="str">
        <f t="shared" si="6"/>
        <v>High</v>
      </c>
      <c r="K247" s="8" t="str">
        <f t="shared" si="7"/>
        <v>Medium</v>
      </c>
    </row>
    <row r="248" ht="43.5" spans="1:11">
      <c r="A248" s="8" t="str">
        <f>'08_GDE_RISK_ENGINE'!A248</f>
        <v>P2LCA01 BR014</v>
      </c>
      <c r="B248" s="8" t="str">
        <f>'08_GDE_RISK_ENGINE'!B248</f>
        <v>Piping</v>
      </c>
      <c r="C248" s="8" t="str">
        <f>'08_GDE_RISK_ENGINE'!C248</f>
        <v>BOP/Utility</v>
      </c>
      <c r="D248" s="8" t="str">
        <f>'08_GDE_RISK_ENGINE'!D248</f>
        <v>CL-BOPUT-LCA-CONDENSATE-CS-L-T1_BELOW_80C</v>
      </c>
      <c r="E248" s="8">
        <f>'08_GDE_RISK_ENGINE'!E248</f>
        <v>4</v>
      </c>
      <c r="F248" s="8">
        <f>'08_GDE_RISK_ENGINE'!F248</f>
        <v>2</v>
      </c>
      <c r="G248" s="8" t="str">
        <f>'08_GDE_RISK_ENGINE'!G248</f>
        <v>High</v>
      </c>
      <c r="H248" s="8">
        <f>IF(A248="","",MIN(5,E248+'14_GDE_RISK_MATRIX_DASHBOARD'!$C$6))</f>
        <v>5</v>
      </c>
      <c r="I248" s="8">
        <f>IF(A248="","",MAX(1,E248-'14_GDE_RISK_MATRIX_DASHBOARD'!$C$7))</f>
        <v>3</v>
      </c>
      <c r="J248" s="8" t="str">
        <f t="shared" si="6"/>
        <v>Medium</v>
      </c>
      <c r="K248" s="8" t="str">
        <f t="shared" si="7"/>
        <v>Medium</v>
      </c>
    </row>
    <row r="249" ht="43.5" spans="1:11">
      <c r="A249" s="8" t="str">
        <f>'08_GDE_RISK_ENGINE'!A249</f>
        <v>P2LCA01 BR012</v>
      </c>
      <c r="B249" s="8" t="str">
        <f>'08_GDE_RISK_ENGINE'!B249</f>
        <v>Piping</v>
      </c>
      <c r="C249" s="8" t="str">
        <f>'08_GDE_RISK_ENGINE'!C249</f>
        <v>BOP/Utility</v>
      </c>
      <c r="D249" s="8" t="str">
        <f>'08_GDE_RISK_ENGINE'!D249</f>
        <v>CL-BOPUT-LCA-CONDENSATE-CS-L-T1_BELOW_80C</v>
      </c>
      <c r="E249" s="8">
        <f>'08_GDE_RISK_ENGINE'!E249</f>
        <v>4</v>
      </c>
      <c r="F249" s="8">
        <f>'08_GDE_RISK_ENGINE'!F249</f>
        <v>2</v>
      </c>
      <c r="G249" s="8" t="str">
        <f>'08_GDE_RISK_ENGINE'!G249</f>
        <v>High</v>
      </c>
      <c r="H249" s="8">
        <f>IF(A249="","",MIN(5,E249+'14_GDE_RISK_MATRIX_DASHBOARD'!$C$6))</f>
        <v>5</v>
      </c>
      <c r="I249" s="8">
        <f>IF(A249="","",MAX(1,E249-'14_GDE_RISK_MATRIX_DASHBOARD'!$C$7))</f>
        <v>3</v>
      </c>
      <c r="J249" s="8" t="str">
        <f t="shared" si="6"/>
        <v>Medium</v>
      </c>
      <c r="K249" s="8" t="str">
        <f t="shared" si="7"/>
        <v>Medium</v>
      </c>
    </row>
    <row r="250" ht="43.5" spans="1:11">
      <c r="A250" s="8" t="str">
        <f>'08_GDE_RISK_ENGINE'!A250</f>
        <v>P2LCA01 BR015</v>
      </c>
      <c r="B250" s="8" t="str">
        <f>'08_GDE_RISK_ENGINE'!B250</f>
        <v>Piping</v>
      </c>
      <c r="C250" s="8" t="str">
        <f>'08_GDE_RISK_ENGINE'!C250</f>
        <v>BOP/Utility</v>
      </c>
      <c r="D250" s="8" t="str">
        <f>'08_GDE_RISK_ENGINE'!D250</f>
        <v>CL-BOPUT-LCA-CONDENSATE-CS-L-T1_BELOW_80C</v>
      </c>
      <c r="E250" s="8">
        <f>'08_GDE_RISK_ENGINE'!E250</f>
        <v>4</v>
      </c>
      <c r="F250" s="8">
        <f>'08_GDE_RISK_ENGINE'!F250</f>
        <v>2</v>
      </c>
      <c r="G250" s="8" t="str">
        <f>'08_GDE_RISK_ENGINE'!G250</f>
        <v>High</v>
      </c>
      <c r="H250" s="8">
        <f>IF(A250="","",MIN(5,E250+'14_GDE_RISK_MATRIX_DASHBOARD'!$C$6))</f>
        <v>5</v>
      </c>
      <c r="I250" s="8">
        <f>IF(A250="","",MAX(1,E250-'14_GDE_RISK_MATRIX_DASHBOARD'!$C$7))</f>
        <v>3</v>
      </c>
      <c r="J250" s="8" t="str">
        <f t="shared" si="6"/>
        <v>Medium</v>
      </c>
      <c r="K250" s="8" t="str">
        <f t="shared" si="7"/>
        <v>Medium</v>
      </c>
    </row>
    <row r="251" ht="43.5" spans="1:11">
      <c r="A251" s="8" t="str">
        <f>'08_GDE_RISK_ENGINE'!A251</f>
        <v>P2LCA01 BR018</v>
      </c>
      <c r="B251" s="8" t="str">
        <f>'08_GDE_RISK_ENGINE'!B251</f>
        <v>Piping</v>
      </c>
      <c r="C251" s="8" t="str">
        <f>'08_GDE_RISK_ENGINE'!C251</f>
        <v>BOP/Utility</v>
      </c>
      <c r="D251" s="8" t="str">
        <f>'08_GDE_RISK_ENGINE'!D251</f>
        <v>CL-BOPUT-LCA-CONDENSATE-CS-L-T1_BELOW_80C</v>
      </c>
      <c r="E251" s="8">
        <f>'08_GDE_RISK_ENGINE'!E251</f>
        <v>4</v>
      </c>
      <c r="F251" s="8">
        <f>'08_GDE_RISK_ENGINE'!F251</f>
        <v>2</v>
      </c>
      <c r="G251" s="8" t="str">
        <f>'08_GDE_RISK_ENGINE'!G251</f>
        <v>High</v>
      </c>
      <c r="H251" s="8">
        <f>IF(A251="","",MIN(5,E251+'14_GDE_RISK_MATRIX_DASHBOARD'!$C$6))</f>
        <v>5</v>
      </c>
      <c r="I251" s="8">
        <f>IF(A251="","",MAX(1,E251-'14_GDE_RISK_MATRIX_DASHBOARD'!$C$7))</f>
        <v>3</v>
      </c>
      <c r="J251" s="8" t="str">
        <f t="shared" si="6"/>
        <v>Medium</v>
      </c>
      <c r="K251" s="8" t="str">
        <f t="shared" si="7"/>
        <v>Medium</v>
      </c>
    </row>
    <row r="252" ht="43.5" spans="1:11">
      <c r="A252" s="8" t="str">
        <f>'08_GDE_RISK_ENGINE'!A252</f>
        <v>P2LCA01 BR019</v>
      </c>
      <c r="B252" s="8" t="str">
        <f>'08_GDE_RISK_ENGINE'!B252</f>
        <v>Piping</v>
      </c>
      <c r="C252" s="8" t="str">
        <f>'08_GDE_RISK_ENGINE'!C252</f>
        <v>BOP/Utility</v>
      </c>
      <c r="D252" s="8" t="str">
        <f>'08_GDE_RISK_ENGINE'!D252</f>
        <v>CL-BOPUT-LCA-CONDENSATE-CS-L-T1_BELOW_80C</v>
      </c>
      <c r="E252" s="8">
        <f>'08_GDE_RISK_ENGINE'!E252</f>
        <v>4</v>
      </c>
      <c r="F252" s="8">
        <f>'08_GDE_RISK_ENGINE'!F252</f>
        <v>2</v>
      </c>
      <c r="G252" s="8" t="str">
        <f>'08_GDE_RISK_ENGINE'!G252</f>
        <v>High</v>
      </c>
      <c r="H252" s="8">
        <f>IF(A252="","",MIN(5,E252+'14_GDE_RISK_MATRIX_DASHBOARD'!$C$6))</f>
        <v>5</v>
      </c>
      <c r="I252" s="8">
        <f>IF(A252="","",MAX(1,E252-'14_GDE_RISK_MATRIX_DASHBOARD'!$C$7))</f>
        <v>3</v>
      </c>
      <c r="J252" s="8" t="str">
        <f t="shared" si="6"/>
        <v>Medium</v>
      </c>
      <c r="K252" s="8" t="str">
        <f t="shared" si="7"/>
        <v>Medium</v>
      </c>
    </row>
    <row r="253" ht="43.5" spans="1:11">
      <c r="A253" s="8" t="str">
        <f>'08_GDE_RISK_ENGINE'!A253</f>
        <v>P2LCA01 BR013</v>
      </c>
      <c r="B253" s="8" t="str">
        <f>'08_GDE_RISK_ENGINE'!B253</f>
        <v>Piping</v>
      </c>
      <c r="C253" s="8" t="str">
        <f>'08_GDE_RISK_ENGINE'!C253</f>
        <v>BOP/Utility</v>
      </c>
      <c r="D253" s="8" t="str">
        <f>'08_GDE_RISK_ENGINE'!D253</f>
        <v>CL-BOPUT-LCA-CONDENSATE-CS-L-T1_BELOW_80C</v>
      </c>
      <c r="E253" s="8">
        <f>'08_GDE_RISK_ENGINE'!E253</f>
        <v>4</v>
      </c>
      <c r="F253" s="8">
        <f>'08_GDE_RISK_ENGINE'!F253</f>
        <v>2</v>
      </c>
      <c r="G253" s="8" t="str">
        <f>'08_GDE_RISK_ENGINE'!G253</f>
        <v>High</v>
      </c>
      <c r="H253" s="8">
        <f>IF(A253="","",MIN(5,E253+'14_GDE_RISK_MATRIX_DASHBOARD'!$C$6))</f>
        <v>5</v>
      </c>
      <c r="I253" s="8">
        <f>IF(A253="","",MAX(1,E253-'14_GDE_RISK_MATRIX_DASHBOARD'!$C$7))</f>
        <v>3</v>
      </c>
      <c r="J253" s="8" t="str">
        <f t="shared" si="6"/>
        <v>Medium</v>
      </c>
      <c r="K253" s="8" t="str">
        <f t="shared" si="7"/>
        <v>Medium</v>
      </c>
    </row>
    <row r="254" ht="43.5" spans="1:11">
      <c r="A254" s="8" t="str">
        <f>'08_GDE_RISK_ENGINE'!A254</f>
        <v>P2LCA01 BR016</v>
      </c>
      <c r="B254" s="8" t="str">
        <f>'08_GDE_RISK_ENGINE'!B254</f>
        <v>Piping</v>
      </c>
      <c r="C254" s="8" t="str">
        <f>'08_GDE_RISK_ENGINE'!C254</f>
        <v>BOP/Utility</v>
      </c>
      <c r="D254" s="8" t="str">
        <f>'08_GDE_RISK_ENGINE'!D254</f>
        <v>CL-BOPUT-LCA-CONDENSATE-CS-L-T1_BELOW_80C</v>
      </c>
      <c r="E254" s="8">
        <f>'08_GDE_RISK_ENGINE'!E254</f>
        <v>4</v>
      </c>
      <c r="F254" s="8">
        <f>'08_GDE_RISK_ENGINE'!F254</f>
        <v>2</v>
      </c>
      <c r="G254" s="8" t="str">
        <f>'08_GDE_RISK_ENGINE'!G254</f>
        <v>High</v>
      </c>
      <c r="H254" s="8">
        <f>IF(A254="","",MIN(5,E254+'14_GDE_RISK_MATRIX_DASHBOARD'!$C$6))</f>
        <v>5</v>
      </c>
      <c r="I254" s="8">
        <f>IF(A254="","",MAX(1,E254-'14_GDE_RISK_MATRIX_DASHBOARD'!$C$7))</f>
        <v>3</v>
      </c>
      <c r="J254" s="8" t="str">
        <f t="shared" si="6"/>
        <v>Medium</v>
      </c>
      <c r="K254" s="8" t="str">
        <f t="shared" si="7"/>
        <v>Medium</v>
      </c>
    </row>
    <row r="255" ht="43.5" spans="1:11">
      <c r="A255" s="8" t="str">
        <f>'08_GDE_RISK_ENGINE'!A255</f>
        <v>P2LCA01 BR017</v>
      </c>
      <c r="B255" s="8" t="str">
        <f>'08_GDE_RISK_ENGINE'!B255</f>
        <v>Piping</v>
      </c>
      <c r="C255" s="8" t="str">
        <f>'08_GDE_RISK_ENGINE'!C255</f>
        <v>BOP/Utility</v>
      </c>
      <c r="D255" s="8" t="str">
        <f>'08_GDE_RISK_ENGINE'!D255</f>
        <v>CL-BOPUT-LCA-CONDENSATE-CS-L-T1_BELOW_80C</v>
      </c>
      <c r="E255" s="8">
        <f>'08_GDE_RISK_ENGINE'!E255</f>
        <v>4</v>
      </c>
      <c r="F255" s="8">
        <f>'08_GDE_RISK_ENGINE'!F255</f>
        <v>2</v>
      </c>
      <c r="G255" s="8" t="str">
        <f>'08_GDE_RISK_ENGINE'!G255</f>
        <v>High</v>
      </c>
      <c r="H255" s="8">
        <f>IF(A255="","",MIN(5,E255+'14_GDE_RISK_MATRIX_DASHBOARD'!$C$6))</f>
        <v>5</v>
      </c>
      <c r="I255" s="8">
        <f>IF(A255="","",MAX(1,E255-'14_GDE_RISK_MATRIX_DASHBOARD'!$C$7))</f>
        <v>3</v>
      </c>
      <c r="J255" s="8" t="str">
        <f t="shared" si="6"/>
        <v>Medium</v>
      </c>
      <c r="K255" s="8" t="str">
        <f t="shared" si="7"/>
        <v>Medium</v>
      </c>
    </row>
    <row r="256" ht="43.5" spans="1:11">
      <c r="A256" s="8" t="str">
        <f>'08_GDE_RISK_ENGINE'!A256</f>
        <v>P2LCA01 BR029</v>
      </c>
      <c r="B256" s="8" t="str">
        <f>'08_GDE_RISK_ENGINE'!B256</f>
        <v>Piping</v>
      </c>
      <c r="C256" s="8" t="str">
        <f>'08_GDE_RISK_ENGINE'!C256</f>
        <v>BOP/Utility</v>
      </c>
      <c r="D256" s="8" t="str">
        <f>'08_GDE_RISK_ENGINE'!D256</f>
        <v>CL-BOPUT-LCA-CONDENSATE-CS-L-T1_BELOW_80C</v>
      </c>
      <c r="E256" s="8">
        <f>'08_GDE_RISK_ENGINE'!E256</f>
        <v>4</v>
      </c>
      <c r="F256" s="8">
        <f>'08_GDE_RISK_ENGINE'!F256</f>
        <v>2</v>
      </c>
      <c r="G256" s="8" t="str">
        <f>'08_GDE_RISK_ENGINE'!G256</f>
        <v>High</v>
      </c>
      <c r="H256" s="8">
        <f>IF(A256="","",MIN(5,E256+'14_GDE_RISK_MATRIX_DASHBOARD'!$C$6))</f>
        <v>5</v>
      </c>
      <c r="I256" s="8">
        <f>IF(A256="","",MAX(1,E256-'14_GDE_RISK_MATRIX_DASHBOARD'!$C$7))</f>
        <v>3</v>
      </c>
      <c r="J256" s="8" t="str">
        <f t="shared" si="6"/>
        <v>Medium</v>
      </c>
      <c r="K256" s="8" t="str">
        <f t="shared" si="7"/>
        <v>Medium</v>
      </c>
    </row>
    <row r="257" ht="43.5" spans="1:11">
      <c r="A257" s="8" t="str">
        <f>'08_GDE_RISK_ENGINE'!A257</f>
        <v>P2LCA01 BR030</v>
      </c>
      <c r="B257" s="8" t="str">
        <f>'08_GDE_RISK_ENGINE'!B257</f>
        <v>Piping</v>
      </c>
      <c r="C257" s="8" t="str">
        <f>'08_GDE_RISK_ENGINE'!C257</f>
        <v>BOP/Utility</v>
      </c>
      <c r="D257" s="8" t="str">
        <f>'08_GDE_RISK_ENGINE'!D257</f>
        <v>CL-BOPUT-LCA-CONDENSATE-CS-L-T1_BELOW_80C</v>
      </c>
      <c r="E257" s="8">
        <f>'08_GDE_RISK_ENGINE'!E257</f>
        <v>4</v>
      </c>
      <c r="F257" s="8">
        <f>'08_GDE_RISK_ENGINE'!F257</f>
        <v>2</v>
      </c>
      <c r="G257" s="8" t="str">
        <f>'08_GDE_RISK_ENGINE'!G257</f>
        <v>High</v>
      </c>
      <c r="H257" s="8">
        <f>IF(A257="","",MIN(5,E257+'14_GDE_RISK_MATRIX_DASHBOARD'!$C$6))</f>
        <v>5</v>
      </c>
      <c r="I257" s="8">
        <f>IF(A257="","",MAX(1,E257-'14_GDE_RISK_MATRIX_DASHBOARD'!$C$7))</f>
        <v>3</v>
      </c>
      <c r="J257" s="8" t="str">
        <f t="shared" si="6"/>
        <v>Medium</v>
      </c>
      <c r="K257" s="8" t="str">
        <f t="shared" si="7"/>
        <v>Medium</v>
      </c>
    </row>
    <row r="258" ht="43.5" spans="1:11">
      <c r="A258" s="8" t="str">
        <f>'08_GDE_RISK_ENGINE'!A258</f>
        <v>P2LCA01 BR025</v>
      </c>
      <c r="B258" s="8" t="str">
        <f>'08_GDE_RISK_ENGINE'!B258</f>
        <v>Piping</v>
      </c>
      <c r="C258" s="8" t="str">
        <f>'08_GDE_RISK_ENGINE'!C258</f>
        <v>BOP/Utility</v>
      </c>
      <c r="D258" s="8" t="str">
        <f>'08_GDE_RISK_ENGINE'!D258</f>
        <v>CL-BOPUT-LCA-CONDENSATE--L-T1_BELOW_80C</v>
      </c>
      <c r="E258" s="8">
        <f>'08_GDE_RISK_ENGINE'!E258</f>
        <v>2</v>
      </c>
      <c r="F258" s="8">
        <f>'08_GDE_RISK_ENGINE'!F258</f>
        <v>2</v>
      </c>
      <c r="G258" s="8" t="str">
        <f>'08_GDE_RISK_ENGINE'!G258</f>
        <v>Medium</v>
      </c>
      <c r="H258" s="8">
        <f>IF(A258="","",MIN(5,E258+'14_GDE_RISK_MATRIX_DASHBOARD'!$C$6))</f>
        <v>3</v>
      </c>
      <c r="I258" s="8">
        <f>IF(A258="","",MAX(1,E258-'14_GDE_RISK_MATRIX_DASHBOARD'!$C$7))</f>
        <v>1</v>
      </c>
      <c r="J258" s="8" t="str">
        <f t="shared" si="6"/>
        <v>Medium</v>
      </c>
      <c r="K258" s="8" t="str">
        <f t="shared" si="7"/>
        <v>Medium</v>
      </c>
    </row>
    <row r="259" ht="43.5" spans="1:11">
      <c r="A259" s="8" t="str">
        <f>'08_GDE_RISK_ENGINE'!A259</f>
        <v>P2LCA01 BR026</v>
      </c>
      <c r="B259" s="8" t="str">
        <f>'08_GDE_RISK_ENGINE'!B259</f>
        <v>Piping</v>
      </c>
      <c r="C259" s="8" t="str">
        <f>'08_GDE_RISK_ENGINE'!C259</f>
        <v>BOP/Utility</v>
      </c>
      <c r="D259" s="8" t="str">
        <f>'08_GDE_RISK_ENGINE'!D259</f>
        <v>CL-BOPUT-LCA-CONDENSATE--L-T1_BELOW_80C</v>
      </c>
      <c r="E259" s="8">
        <f>'08_GDE_RISK_ENGINE'!E259</f>
        <v>2</v>
      </c>
      <c r="F259" s="8">
        <f>'08_GDE_RISK_ENGINE'!F259</f>
        <v>2</v>
      </c>
      <c r="G259" s="8" t="str">
        <f>'08_GDE_RISK_ENGINE'!G259</f>
        <v>Medium</v>
      </c>
      <c r="H259" s="8">
        <f>IF(A259="","",MIN(5,E259+'14_GDE_RISK_MATRIX_DASHBOARD'!$C$6))</f>
        <v>3</v>
      </c>
      <c r="I259" s="8">
        <f>IF(A259="","",MAX(1,E259-'14_GDE_RISK_MATRIX_DASHBOARD'!$C$7))</f>
        <v>1</v>
      </c>
      <c r="J259" s="8" t="str">
        <f t="shared" si="6"/>
        <v>Medium</v>
      </c>
      <c r="K259" s="8" t="str">
        <f t="shared" si="7"/>
        <v>Medium</v>
      </c>
    </row>
    <row r="260" ht="29" spans="1:11">
      <c r="A260" s="8" t="str">
        <f>'08_GDE_RISK_ENGINE'!A260</f>
        <v>P2QEA01 BR001</v>
      </c>
      <c r="B260" s="8" t="str">
        <f>'08_GDE_RISK_ENGINE'!B260</f>
        <v>Piping</v>
      </c>
      <c r="C260" s="8" t="str">
        <f>'08_GDE_RISK_ENGINE'!C260</f>
        <v>BOP/Utility</v>
      </c>
      <c r="D260" s="8" t="str">
        <f>'08_GDE_RISK_ENGINE'!D260</f>
        <v>CL-BOPUT-QEA-AIR-SS304L-V-T1_BELOW_80C</v>
      </c>
      <c r="E260" s="8">
        <f>'08_GDE_RISK_ENGINE'!E260</f>
        <v>1</v>
      </c>
      <c r="F260" s="8">
        <f>'08_GDE_RISK_ENGINE'!F260</f>
        <v>2</v>
      </c>
      <c r="G260" s="8" t="str">
        <f>'08_GDE_RISK_ENGINE'!G260</f>
        <v>Low</v>
      </c>
      <c r="H260" s="8">
        <f>IF(A260="","",MIN(5,E260+'14_GDE_RISK_MATRIX_DASHBOARD'!$C$6))</f>
        <v>2</v>
      </c>
      <c r="I260" s="8">
        <f>IF(A260="","",MAX(1,E260-'14_GDE_RISK_MATRIX_DASHBOARD'!$C$7))</f>
        <v>1</v>
      </c>
      <c r="J260" s="8" t="str">
        <f t="shared" ref="J260:J323" si="8">IF(A260="","",IF(OR(AND(H260&gt;=4,F260&gt;=4),AND(H260=5,F260&gt;=3)),"Extreme High",IF(OR(AND(H260&gt;=3,F260&gt;=3),AND(F260=5,H260&gt;=2)),"High",IF(OR(H260&gt;=2,F260&gt;=2),"Medium","Low"))))</f>
        <v>Medium</v>
      </c>
      <c r="K260" s="8" t="str">
        <f t="shared" ref="K260:K323" si="9">IF(A260="","",IF(OR(AND(I260&gt;=4,F260&gt;=4),AND(I260=5,F260&gt;=3)),"Extreme High",IF(OR(AND(I260&gt;=3,F260&gt;=3),AND(F260=5,I260&gt;=2)),"High",IF(OR(I260&gt;=2,F260&gt;=2),"Medium","Low"))))</f>
        <v>Medium</v>
      </c>
    </row>
    <row r="261" ht="29" spans="1:11">
      <c r="A261" s="8" t="str">
        <f>'08_GDE_RISK_ENGINE'!A261</f>
        <v>P2QEA01 BR005</v>
      </c>
      <c r="B261" s="8" t="str">
        <f>'08_GDE_RISK_ENGINE'!B261</f>
        <v>Piping</v>
      </c>
      <c r="C261" s="8" t="str">
        <f>'08_GDE_RISK_ENGINE'!C261</f>
        <v>BOP/Utility</v>
      </c>
      <c r="D261" s="8" t="str">
        <f>'08_GDE_RISK_ENGINE'!D261</f>
        <v>CL-BOPUT-QEA-AIR-SS304L-V-T1_BELOW_80C</v>
      </c>
      <c r="E261" s="8">
        <f>'08_GDE_RISK_ENGINE'!E261</f>
        <v>1</v>
      </c>
      <c r="F261" s="8">
        <f>'08_GDE_RISK_ENGINE'!F261</f>
        <v>2</v>
      </c>
      <c r="G261" s="8" t="str">
        <f>'08_GDE_RISK_ENGINE'!G261</f>
        <v>Low</v>
      </c>
      <c r="H261" s="8">
        <f>IF(A261="","",MIN(5,E261+'14_GDE_RISK_MATRIX_DASHBOARD'!$C$6))</f>
        <v>2</v>
      </c>
      <c r="I261" s="8">
        <f>IF(A261="","",MAX(1,E261-'14_GDE_RISK_MATRIX_DASHBOARD'!$C$7))</f>
        <v>1</v>
      </c>
      <c r="J261" s="8" t="str">
        <f t="shared" si="8"/>
        <v>Medium</v>
      </c>
      <c r="K261" s="8" t="str">
        <f t="shared" si="9"/>
        <v>Medium</v>
      </c>
    </row>
    <row r="262" ht="29" spans="1:11">
      <c r="A262" s="8" t="str">
        <f>'08_GDE_RISK_ENGINE'!A262</f>
        <v>P2QEA01 BR004</v>
      </c>
      <c r="B262" s="8" t="str">
        <f>'08_GDE_RISK_ENGINE'!B262</f>
        <v>Piping</v>
      </c>
      <c r="C262" s="8" t="str">
        <f>'08_GDE_RISK_ENGINE'!C262</f>
        <v>BOP/Utility</v>
      </c>
      <c r="D262" s="8" t="str">
        <f>'08_GDE_RISK_ENGINE'!D262</f>
        <v>CL-BOPUT-QEA-AIR-SS304L-V-T1_BELOW_80C</v>
      </c>
      <c r="E262" s="8">
        <f>'08_GDE_RISK_ENGINE'!E262</f>
        <v>1</v>
      </c>
      <c r="F262" s="8">
        <f>'08_GDE_RISK_ENGINE'!F262</f>
        <v>2</v>
      </c>
      <c r="G262" s="8" t="str">
        <f>'08_GDE_RISK_ENGINE'!G262</f>
        <v>Low</v>
      </c>
      <c r="H262" s="8">
        <f>IF(A262="","",MIN(5,E262+'14_GDE_RISK_MATRIX_DASHBOARD'!$C$6))</f>
        <v>2</v>
      </c>
      <c r="I262" s="8">
        <f>IF(A262="","",MAX(1,E262-'14_GDE_RISK_MATRIX_DASHBOARD'!$C$7))</f>
        <v>1</v>
      </c>
      <c r="J262" s="8" t="str">
        <f t="shared" si="8"/>
        <v>Medium</v>
      </c>
      <c r="K262" s="8" t="str">
        <f t="shared" si="9"/>
        <v>Medium</v>
      </c>
    </row>
    <row r="263" ht="29" spans="1:11">
      <c r="A263" s="8" t="str">
        <f>'08_GDE_RISK_ENGINE'!A263</f>
        <v>P2QEA01 BR002</v>
      </c>
      <c r="B263" s="8" t="str">
        <f>'08_GDE_RISK_ENGINE'!B263</f>
        <v>Piping</v>
      </c>
      <c r="C263" s="8" t="str">
        <f>'08_GDE_RISK_ENGINE'!C263</f>
        <v>BOP/Utility</v>
      </c>
      <c r="D263" s="8" t="str">
        <f>'08_GDE_RISK_ENGINE'!D263</f>
        <v>CL-BOPUT-QEA-AIR-SS304L-V-T1_BELOW_80C</v>
      </c>
      <c r="E263" s="8">
        <f>'08_GDE_RISK_ENGINE'!E263</f>
        <v>1</v>
      </c>
      <c r="F263" s="8">
        <f>'08_GDE_RISK_ENGINE'!F263</f>
        <v>2</v>
      </c>
      <c r="G263" s="8" t="str">
        <f>'08_GDE_RISK_ENGINE'!G263</f>
        <v>Low</v>
      </c>
      <c r="H263" s="8">
        <f>IF(A263="","",MIN(5,E263+'14_GDE_RISK_MATRIX_DASHBOARD'!$C$6))</f>
        <v>2</v>
      </c>
      <c r="I263" s="8">
        <f>IF(A263="","",MAX(1,E263-'14_GDE_RISK_MATRIX_DASHBOARD'!$C$7))</f>
        <v>1</v>
      </c>
      <c r="J263" s="8" t="str">
        <f t="shared" si="8"/>
        <v>Medium</v>
      </c>
      <c r="K263" s="8" t="str">
        <f t="shared" si="9"/>
        <v>Medium</v>
      </c>
    </row>
    <row r="264" ht="29" spans="1:11">
      <c r="A264" s="8" t="str">
        <f>'08_GDE_RISK_ENGINE'!A264</f>
        <v>P2QEA01 BR006</v>
      </c>
      <c r="B264" s="8" t="str">
        <f>'08_GDE_RISK_ENGINE'!B264</f>
        <v>Piping</v>
      </c>
      <c r="C264" s="8" t="str">
        <f>'08_GDE_RISK_ENGINE'!C264</f>
        <v>BOP/Utility</v>
      </c>
      <c r="D264" s="8" t="str">
        <f>'08_GDE_RISK_ENGINE'!D264</f>
        <v>CL-BOPUT-QEA-AIR-SS304L-V-T1_BELOW_80C</v>
      </c>
      <c r="E264" s="8">
        <f>'08_GDE_RISK_ENGINE'!E264</f>
        <v>1</v>
      </c>
      <c r="F264" s="8">
        <f>'08_GDE_RISK_ENGINE'!F264</f>
        <v>2</v>
      </c>
      <c r="G264" s="8" t="str">
        <f>'08_GDE_RISK_ENGINE'!G264</f>
        <v>Low</v>
      </c>
      <c r="H264" s="8">
        <f>IF(A264="","",MIN(5,E264+'14_GDE_RISK_MATRIX_DASHBOARD'!$C$6))</f>
        <v>2</v>
      </c>
      <c r="I264" s="8">
        <f>IF(A264="","",MAX(1,E264-'14_GDE_RISK_MATRIX_DASHBOARD'!$C$7))</f>
        <v>1</v>
      </c>
      <c r="J264" s="8" t="str">
        <f t="shared" si="8"/>
        <v>Medium</v>
      </c>
      <c r="K264" s="8" t="str">
        <f t="shared" si="9"/>
        <v>Medium</v>
      </c>
    </row>
    <row r="265" ht="29" spans="1:11">
      <c r="A265" s="8" t="str">
        <f>'08_GDE_RISK_ENGINE'!A265</f>
        <v>P2QEA01 BR007</v>
      </c>
      <c r="B265" s="8" t="str">
        <f>'08_GDE_RISK_ENGINE'!B265</f>
        <v>Piping</v>
      </c>
      <c r="C265" s="8" t="str">
        <f>'08_GDE_RISK_ENGINE'!C265</f>
        <v>BOP/Utility</v>
      </c>
      <c r="D265" s="8" t="str">
        <f>'08_GDE_RISK_ENGINE'!D265</f>
        <v>CL-BOPUT-QEA-AIR-SS304L-V-T1_BELOW_80C</v>
      </c>
      <c r="E265" s="8">
        <f>'08_GDE_RISK_ENGINE'!E265</f>
        <v>1</v>
      </c>
      <c r="F265" s="8">
        <f>'08_GDE_RISK_ENGINE'!F265</f>
        <v>2</v>
      </c>
      <c r="G265" s="8" t="str">
        <f>'08_GDE_RISK_ENGINE'!G265</f>
        <v>Low</v>
      </c>
      <c r="H265" s="8">
        <f>IF(A265="","",MIN(5,E265+'14_GDE_RISK_MATRIX_DASHBOARD'!$C$6))</f>
        <v>2</v>
      </c>
      <c r="I265" s="8">
        <f>IF(A265="","",MAX(1,E265-'14_GDE_RISK_MATRIX_DASHBOARD'!$C$7))</f>
        <v>1</v>
      </c>
      <c r="J265" s="8" t="str">
        <f t="shared" si="8"/>
        <v>Medium</v>
      </c>
      <c r="K265" s="8" t="str">
        <f t="shared" si="9"/>
        <v>Medium</v>
      </c>
    </row>
    <row r="266" ht="29" spans="1:11">
      <c r="A266" s="8" t="str">
        <f>'08_GDE_RISK_ENGINE'!A266</f>
        <v>P2QEB01 BR003</v>
      </c>
      <c r="B266" s="8" t="str">
        <f>'08_GDE_RISK_ENGINE'!B266</f>
        <v>Piping</v>
      </c>
      <c r="C266" s="8" t="str">
        <f>'08_GDE_RISK_ENGINE'!C266</f>
        <v>BOP/Utility</v>
      </c>
      <c r="D266" s="8" t="str">
        <f>'08_GDE_RISK_ENGINE'!D266</f>
        <v>CL-BOPUT-QEB-AIR-SS304L-V-T1_BELOW_80C</v>
      </c>
      <c r="E266" s="8">
        <f>'08_GDE_RISK_ENGINE'!E266</f>
        <v>1</v>
      </c>
      <c r="F266" s="8">
        <f>'08_GDE_RISK_ENGINE'!F266</f>
        <v>2</v>
      </c>
      <c r="G266" s="8" t="str">
        <f>'08_GDE_RISK_ENGINE'!G266</f>
        <v>Low</v>
      </c>
      <c r="H266" s="8">
        <f>IF(A266="","",MIN(5,E266+'14_GDE_RISK_MATRIX_DASHBOARD'!$C$6))</f>
        <v>2</v>
      </c>
      <c r="I266" s="8">
        <f>IF(A266="","",MAX(1,E266-'14_GDE_RISK_MATRIX_DASHBOARD'!$C$7))</f>
        <v>1</v>
      </c>
      <c r="J266" s="8" t="str">
        <f t="shared" si="8"/>
        <v>Medium</v>
      </c>
      <c r="K266" s="8" t="str">
        <f t="shared" si="9"/>
        <v>Medium</v>
      </c>
    </row>
    <row r="267" ht="29" spans="1:11">
      <c r="A267" s="8" t="str">
        <f>'08_GDE_RISK_ENGINE'!A267</f>
        <v>P2LCA01 BR027</v>
      </c>
      <c r="B267" s="8" t="str">
        <f>'08_GDE_RISK_ENGINE'!B267</f>
        <v>Piping</v>
      </c>
      <c r="C267" s="8" t="str">
        <f>'08_GDE_RISK_ENGINE'!C267</f>
        <v>BOP/Utility</v>
      </c>
      <c r="D267" s="8" t="str">
        <f>'08_GDE_RISK_ENGINE'!D267</f>
        <v>CL-BOPUT-LCA-AIR-SS304L-V-T1_BELOW_80C</v>
      </c>
      <c r="E267" s="8">
        <f>'08_GDE_RISK_ENGINE'!E267</f>
        <v>1</v>
      </c>
      <c r="F267" s="8">
        <f>'08_GDE_RISK_ENGINE'!F267</f>
        <v>2</v>
      </c>
      <c r="G267" s="8" t="str">
        <f>'08_GDE_RISK_ENGINE'!G267</f>
        <v>Low</v>
      </c>
      <c r="H267" s="8">
        <f>IF(A267="","",MIN(5,E267+'14_GDE_RISK_MATRIX_DASHBOARD'!$C$6))</f>
        <v>2</v>
      </c>
      <c r="I267" s="8">
        <f>IF(A267="","",MAX(1,E267-'14_GDE_RISK_MATRIX_DASHBOARD'!$C$7))</f>
        <v>1</v>
      </c>
      <c r="J267" s="8" t="str">
        <f t="shared" si="8"/>
        <v>Medium</v>
      </c>
      <c r="K267" s="8" t="str">
        <f t="shared" si="9"/>
        <v>Medium</v>
      </c>
    </row>
    <row r="268" ht="43.5" spans="1:11">
      <c r="A268" s="8" t="str">
        <f>'08_GDE_RISK_ENGINE'!A268</f>
        <v>P2PCB21 BR005</v>
      </c>
      <c r="B268" s="8" t="str">
        <f>'08_GDE_RISK_ENGINE'!B268</f>
        <v>Piping</v>
      </c>
      <c r="C268" s="8" t="str">
        <f>'08_GDE_RISK_ENGINE'!C268</f>
        <v>BOP/Utility</v>
      </c>
      <c r="D268" s="8" t="str">
        <f>'08_GDE_RISK_ENGINE'!D268</f>
        <v>CL-BOPUT-PCB-COOLINGWATER--L-T1_BELOW_80C</v>
      </c>
      <c r="E268" s="8">
        <f>'08_GDE_RISK_ENGINE'!E268</f>
        <v>2</v>
      </c>
      <c r="F268" s="8">
        <f>'08_GDE_RISK_ENGINE'!F268</f>
        <v>3</v>
      </c>
      <c r="G268" s="8" t="str">
        <f>'08_GDE_RISK_ENGINE'!G268</f>
        <v>High</v>
      </c>
      <c r="H268" s="8">
        <f>IF(A268="","",MIN(5,E268+'14_GDE_RISK_MATRIX_DASHBOARD'!$C$6))</f>
        <v>3</v>
      </c>
      <c r="I268" s="8">
        <f>IF(A268="","",MAX(1,E268-'14_GDE_RISK_MATRIX_DASHBOARD'!$C$7))</f>
        <v>1</v>
      </c>
      <c r="J268" s="8" t="str">
        <f t="shared" si="8"/>
        <v>High</v>
      </c>
      <c r="K268" s="8" t="str">
        <f t="shared" si="9"/>
        <v>Medium</v>
      </c>
    </row>
    <row r="269" ht="43.5" spans="1:11">
      <c r="A269" s="8" t="str">
        <f>'08_GDE_RISK_ENGINE'!A269</f>
        <v>P2PCB21 BR008</v>
      </c>
      <c r="B269" s="8" t="str">
        <f>'08_GDE_RISK_ENGINE'!B269</f>
        <v>Piping</v>
      </c>
      <c r="C269" s="8" t="str">
        <f>'08_GDE_RISK_ENGINE'!C269</f>
        <v>BOP/Utility</v>
      </c>
      <c r="D269" s="8" t="str">
        <f>'08_GDE_RISK_ENGINE'!D269</f>
        <v>CL-BOPUT-PCB-COOLINGWATER--L-T1_BELOW_80C</v>
      </c>
      <c r="E269" s="8">
        <f>'08_GDE_RISK_ENGINE'!E269</f>
        <v>2</v>
      </c>
      <c r="F269" s="8">
        <f>'08_GDE_RISK_ENGINE'!F269</f>
        <v>3</v>
      </c>
      <c r="G269" s="8" t="str">
        <f>'08_GDE_RISK_ENGINE'!G269</f>
        <v>High</v>
      </c>
      <c r="H269" s="8">
        <f>IF(A269="","",MIN(5,E269+'14_GDE_RISK_MATRIX_DASHBOARD'!$C$6))</f>
        <v>3</v>
      </c>
      <c r="I269" s="8">
        <f>IF(A269="","",MAX(1,E269-'14_GDE_RISK_MATRIX_DASHBOARD'!$C$7))</f>
        <v>1</v>
      </c>
      <c r="J269" s="8" t="str">
        <f t="shared" si="8"/>
        <v>High</v>
      </c>
      <c r="K269" s="8" t="str">
        <f t="shared" si="9"/>
        <v>Medium</v>
      </c>
    </row>
    <row r="270" ht="29" spans="1:11">
      <c r="A270" s="8" t="str">
        <f>'08_GDE_RISK_ENGINE'!A270</f>
        <v>P2QEB01 BR008</v>
      </c>
      <c r="B270" s="8" t="str">
        <f>'08_GDE_RISK_ENGINE'!B270</f>
        <v>Piping</v>
      </c>
      <c r="C270" s="8" t="str">
        <f>'08_GDE_RISK_ENGINE'!C270</f>
        <v>BOP/Utility</v>
      </c>
      <c r="D270" s="8" t="str">
        <f>'08_GDE_RISK_ENGINE'!D270</f>
        <v>CL-BOPUT-QEB-AIR-SS304L-V-T1_BELOW_80C</v>
      </c>
      <c r="E270" s="8">
        <f>'08_GDE_RISK_ENGINE'!E270</f>
        <v>1</v>
      </c>
      <c r="F270" s="8">
        <f>'08_GDE_RISK_ENGINE'!F270</f>
        <v>2</v>
      </c>
      <c r="G270" s="8" t="str">
        <f>'08_GDE_RISK_ENGINE'!G270</f>
        <v>Low</v>
      </c>
      <c r="H270" s="8">
        <f>IF(A270="","",MIN(5,E270+'14_GDE_RISK_MATRIX_DASHBOARD'!$C$6))</f>
        <v>2</v>
      </c>
      <c r="I270" s="8">
        <f>IF(A270="","",MAX(1,E270-'14_GDE_RISK_MATRIX_DASHBOARD'!$C$7))</f>
        <v>1</v>
      </c>
      <c r="J270" s="8" t="str">
        <f t="shared" si="8"/>
        <v>Medium</v>
      </c>
      <c r="K270" s="8" t="str">
        <f t="shared" si="9"/>
        <v>Medium</v>
      </c>
    </row>
    <row r="271" ht="29" spans="1:11">
      <c r="A271" s="8" t="str">
        <f>'08_GDE_RISK_ENGINE'!A271</f>
        <v>P2QEB01 BR009</v>
      </c>
      <c r="B271" s="8" t="str">
        <f>'08_GDE_RISK_ENGINE'!B271</f>
        <v>Piping</v>
      </c>
      <c r="C271" s="8" t="str">
        <f>'08_GDE_RISK_ENGINE'!C271</f>
        <v>BOP/Utility</v>
      </c>
      <c r="D271" s="8" t="str">
        <f>'08_GDE_RISK_ENGINE'!D271</f>
        <v>CL-BOPUT-QEB-AIR-SS304L-V-T1_BELOW_80C</v>
      </c>
      <c r="E271" s="8">
        <f>'08_GDE_RISK_ENGINE'!E271</f>
        <v>1</v>
      </c>
      <c r="F271" s="8">
        <f>'08_GDE_RISK_ENGINE'!F271</f>
        <v>2</v>
      </c>
      <c r="G271" s="8" t="str">
        <f>'08_GDE_RISK_ENGINE'!G271</f>
        <v>Low</v>
      </c>
      <c r="H271" s="8">
        <f>IF(A271="","",MIN(5,E271+'14_GDE_RISK_MATRIX_DASHBOARD'!$C$6))</f>
        <v>2</v>
      </c>
      <c r="I271" s="8">
        <f>IF(A271="","",MAX(1,E271-'14_GDE_RISK_MATRIX_DASHBOARD'!$C$7))</f>
        <v>1</v>
      </c>
      <c r="J271" s="8" t="str">
        <f t="shared" si="8"/>
        <v>Medium</v>
      </c>
      <c r="K271" s="8" t="str">
        <f t="shared" si="9"/>
        <v>Medium</v>
      </c>
    </row>
    <row r="272" ht="29" spans="1:11">
      <c r="A272" s="8" t="str">
        <f>'08_GDE_RISK_ENGINE'!A272</f>
        <v>P2QEB01 BR042</v>
      </c>
      <c r="B272" s="8" t="str">
        <f>'08_GDE_RISK_ENGINE'!B272</f>
        <v>Piping</v>
      </c>
      <c r="C272" s="8" t="str">
        <f>'08_GDE_RISK_ENGINE'!C272</f>
        <v>BOP/Utility</v>
      </c>
      <c r="D272" s="8" t="str">
        <f>'08_GDE_RISK_ENGINE'!D272</f>
        <v>CL-BOPUT-QEB-AIR-SS304L-V-T1_BELOW_80C</v>
      </c>
      <c r="E272" s="8">
        <f>'08_GDE_RISK_ENGINE'!E272</f>
        <v>1</v>
      </c>
      <c r="F272" s="8">
        <f>'08_GDE_RISK_ENGINE'!F272</f>
        <v>2</v>
      </c>
      <c r="G272" s="8" t="str">
        <f>'08_GDE_RISK_ENGINE'!G272</f>
        <v>Low</v>
      </c>
      <c r="H272" s="8">
        <f>IF(A272="","",MIN(5,E272+'14_GDE_RISK_MATRIX_DASHBOARD'!$C$6))</f>
        <v>2</v>
      </c>
      <c r="I272" s="8">
        <f>IF(A272="","",MAX(1,E272-'14_GDE_RISK_MATRIX_DASHBOARD'!$C$7))</f>
        <v>1</v>
      </c>
      <c r="J272" s="8" t="str">
        <f t="shared" si="8"/>
        <v>Medium</v>
      </c>
      <c r="K272" s="8" t="str">
        <f t="shared" si="9"/>
        <v>Medium</v>
      </c>
    </row>
    <row r="273" ht="29" spans="1:11">
      <c r="A273" s="8" t="str">
        <f>'08_GDE_RISK_ENGINE'!A273</f>
        <v>P2QEB01 BR048</v>
      </c>
      <c r="B273" s="8" t="str">
        <f>'08_GDE_RISK_ENGINE'!B273</f>
        <v>Piping</v>
      </c>
      <c r="C273" s="8" t="str">
        <f>'08_GDE_RISK_ENGINE'!C273</f>
        <v>BOP/Utility</v>
      </c>
      <c r="D273" s="8" t="str">
        <f>'08_GDE_RISK_ENGINE'!D273</f>
        <v>CL-BOPUT-QEB-AIR-SS304L-V-T1_BELOW_80C</v>
      </c>
      <c r="E273" s="8">
        <f>'08_GDE_RISK_ENGINE'!E273</f>
        <v>1</v>
      </c>
      <c r="F273" s="8">
        <f>'08_GDE_RISK_ENGINE'!F273</f>
        <v>2</v>
      </c>
      <c r="G273" s="8" t="str">
        <f>'08_GDE_RISK_ENGINE'!G273</f>
        <v>Low</v>
      </c>
      <c r="H273" s="8">
        <f>IF(A273="","",MIN(5,E273+'14_GDE_RISK_MATRIX_DASHBOARD'!$C$6))</f>
        <v>2</v>
      </c>
      <c r="I273" s="8">
        <f>IF(A273="","",MAX(1,E273-'14_GDE_RISK_MATRIX_DASHBOARD'!$C$7))</f>
        <v>1</v>
      </c>
      <c r="J273" s="8" t="str">
        <f t="shared" si="8"/>
        <v>Medium</v>
      </c>
      <c r="K273" s="8" t="str">
        <f t="shared" si="9"/>
        <v>Medium</v>
      </c>
    </row>
    <row r="274" ht="29" spans="1:11">
      <c r="A274" s="8" t="str">
        <f>'08_GDE_RISK_ENGINE'!A274</f>
        <v>P2QEB01 BR043</v>
      </c>
      <c r="B274" s="8" t="str">
        <f>'08_GDE_RISK_ENGINE'!B274</f>
        <v>Piping</v>
      </c>
      <c r="C274" s="8" t="str">
        <f>'08_GDE_RISK_ENGINE'!C274</f>
        <v>BOP/Utility</v>
      </c>
      <c r="D274" s="8" t="str">
        <f>'08_GDE_RISK_ENGINE'!D274</f>
        <v>CL-BOPUT-QEB-AIR-SS304L-V-T1_BELOW_80C</v>
      </c>
      <c r="E274" s="8">
        <f>'08_GDE_RISK_ENGINE'!E274</f>
        <v>1</v>
      </c>
      <c r="F274" s="8">
        <f>'08_GDE_RISK_ENGINE'!F274</f>
        <v>2</v>
      </c>
      <c r="G274" s="8" t="str">
        <f>'08_GDE_RISK_ENGINE'!G274</f>
        <v>Low</v>
      </c>
      <c r="H274" s="8">
        <f>IF(A274="","",MIN(5,E274+'14_GDE_RISK_MATRIX_DASHBOARD'!$C$6))</f>
        <v>2</v>
      </c>
      <c r="I274" s="8">
        <f>IF(A274="","",MAX(1,E274-'14_GDE_RISK_MATRIX_DASHBOARD'!$C$7))</f>
        <v>1</v>
      </c>
      <c r="J274" s="8" t="str">
        <f t="shared" si="8"/>
        <v>Medium</v>
      </c>
      <c r="K274" s="8" t="str">
        <f t="shared" si="9"/>
        <v>Medium</v>
      </c>
    </row>
    <row r="275" ht="29" spans="1:11">
      <c r="A275" s="8" t="str">
        <f>'08_GDE_RISK_ENGINE'!A275</f>
        <v>P2QEB01 BR044</v>
      </c>
      <c r="B275" s="8" t="str">
        <f>'08_GDE_RISK_ENGINE'!B275</f>
        <v>Piping</v>
      </c>
      <c r="C275" s="8" t="str">
        <f>'08_GDE_RISK_ENGINE'!C275</f>
        <v>BOP/Utility</v>
      </c>
      <c r="D275" s="8" t="str">
        <f>'08_GDE_RISK_ENGINE'!D275</f>
        <v>CL-BOPUT-QEB-AIR-SS304L-V-T1_BELOW_80C</v>
      </c>
      <c r="E275" s="8">
        <f>'08_GDE_RISK_ENGINE'!E275</f>
        <v>1</v>
      </c>
      <c r="F275" s="8">
        <f>'08_GDE_RISK_ENGINE'!F275</f>
        <v>2</v>
      </c>
      <c r="G275" s="8" t="str">
        <f>'08_GDE_RISK_ENGINE'!G275</f>
        <v>Low</v>
      </c>
      <c r="H275" s="8">
        <f>IF(A275="","",MIN(5,E275+'14_GDE_RISK_MATRIX_DASHBOARD'!$C$6))</f>
        <v>2</v>
      </c>
      <c r="I275" s="8">
        <f>IF(A275="","",MAX(1,E275-'14_GDE_RISK_MATRIX_DASHBOARD'!$C$7))</f>
        <v>1</v>
      </c>
      <c r="J275" s="8" t="str">
        <f t="shared" si="8"/>
        <v>Medium</v>
      </c>
      <c r="K275" s="8" t="str">
        <f t="shared" si="9"/>
        <v>Medium</v>
      </c>
    </row>
    <row r="276" ht="29" spans="1:11">
      <c r="A276" s="8" t="str">
        <f>'08_GDE_RISK_ENGINE'!A276</f>
        <v>P2QEB01 BR045</v>
      </c>
      <c r="B276" s="8" t="str">
        <f>'08_GDE_RISK_ENGINE'!B276</f>
        <v>Piping</v>
      </c>
      <c r="C276" s="8" t="str">
        <f>'08_GDE_RISK_ENGINE'!C276</f>
        <v>BOP/Utility</v>
      </c>
      <c r="D276" s="8" t="str">
        <f>'08_GDE_RISK_ENGINE'!D276</f>
        <v>CL-BOPUT-QEB-AIR-SS304L-V-T1_BELOW_80C</v>
      </c>
      <c r="E276" s="8">
        <f>'08_GDE_RISK_ENGINE'!E276</f>
        <v>1</v>
      </c>
      <c r="F276" s="8">
        <f>'08_GDE_RISK_ENGINE'!F276</f>
        <v>2</v>
      </c>
      <c r="G276" s="8" t="str">
        <f>'08_GDE_RISK_ENGINE'!G276</f>
        <v>Low</v>
      </c>
      <c r="H276" s="8">
        <f>IF(A276="","",MIN(5,E276+'14_GDE_RISK_MATRIX_DASHBOARD'!$C$6))</f>
        <v>2</v>
      </c>
      <c r="I276" s="8">
        <f>IF(A276="","",MAX(1,E276-'14_GDE_RISK_MATRIX_DASHBOARD'!$C$7))</f>
        <v>1</v>
      </c>
      <c r="J276" s="8" t="str">
        <f t="shared" si="8"/>
        <v>Medium</v>
      </c>
      <c r="K276" s="8" t="str">
        <f t="shared" si="9"/>
        <v>Medium</v>
      </c>
    </row>
    <row r="277" ht="29" spans="1:11">
      <c r="A277" s="8" t="str">
        <f>'08_GDE_RISK_ENGINE'!A277</f>
        <v>P2QEB01 BR046</v>
      </c>
      <c r="B277" s="8" t="str">
        <f>'08_GDE_RISK_ENGINE'!B277</f>
        <v>Piping</v>
      </c>
      <c r="C277" s="8" t="str">
        <f>'08_GDE_RISK_ENGINE'!C277</f>
        <v>BOP/Utility</v>
      </c>
      <c r="D277" s="8" t="str">
        <f>'08_GDE_RISK_ENGINE'!D277</f>
        <v>CL-BOPUT-QEB-AIR-SS304L-V-T1_BELOW_80C</v>
      </c>
      <c r="E277" s="8">
        <f>'08_GDE_RISK_ENGINE'!E277</f>
        <v>1</v>
      </c>
      <c r="F277" s="8">
        <f>'08_GDE_RISK_ENGINE'!F277</f>
        <v>2</v>
      </c>
      <c r="G277" s="8" t="str">
        <f>'08_GDE_RISK_ENGINE'!G277</f>
        <v>Low</v>
      </c>
      <c r="H277" s="8">
        <f>IF(A277="","",MIN(5,E277+'14_GDE_RISK_MATRIX_DASHBOARD'!$C$6))</f>
        <v>2</v>
      </c>
      <c r="I277" s="8">
        <f>IF(A277="","",MAX(1,E277-'14_GDE_RISK_MATRIX_DASHBOARD'!$C$7))</f>
        <v>1</v>
      </c>
      <c r="J277" s="8" t="str">
        <f t="shared" si="8"/>
        <v>Medium</v>
      </c>
      <c r="K277" s="8" t="str">
        <f t="shared" si="9"/>
        <v>Medium</v>
      </c>
    </row>
    <row r="278" ht="29" spans="1:11">
      <c r="A278" s="8" t="str">
        <f>'08_GDE_RISK_ENGINE'!A278</f>
        <v>P2QEB01 BR049</v>
      </c>
      <c r="B278" s="8" t="str">
        <f>'08_GDE_RISK_ENGINE'!B278</f>
        <v>Piping</v>
      </c>
      <c r="C278" s="8" t="str">
        <f>'08_GDE_RISK_ENGINE'!C278</f>
        <v>BOP/Utility</v>
      </c>
      <c r="D278" s="8" t="str">
        <f>'08_GDE_RISK_ENGINE'!D278</f>
        <v>CL-BOPUT-QEB-AIR-SS304L-V-T1_BELOW_80C</v>
      </c>
      <c r="E278" s="8">
        <f>'08_GDE_RISK_ENGINE'!E278</f>
        <v>1</v>
      </c>
      <c r="F278" s="8">
        <f>'08_GDE_RISK_ENGINE'!F278</f>
        <v>2</v>
      </c>
      <c r="G278" s="8" t="str">
        <f>'08_GDE_RISK_ENGINE'!G278</f>
        <v>Low</v>
      </c>
      <c r="H278" s="8">
        <f>IF(A278="","",MIN(5,E278+'14_GDE_RISK_MATRIX_DASHBOARD'!$C$6))</f>
        <v>2</v>
      </c>
      <c r="I278" s="8">
        <f>IF(A278="","",MAX(1,E278-'14_GDE_RISK_MATRIX_DASHBOARD'!$C$7))</f>
        <v>1</v>
      </c>
      <c r="J278" s="8" t="str">
        <f t="shared" si="8"/>
        <v>Medium</v>
      </c>
      <c r="K278" s="8" t="str">
        <f t="shared" si="9"/>
        <v>Medium</v>
      </c>
    </row>
    <row r="279" ht="29" spans="1:11">
      <c r="A279" s="8" t="str">
        <f>'08_GDE_RISK_ENGINE'!A279</f>
        <v>P2QEB01 BR041</v>
      </c>
      <c r="B279" s="8" t="str">
        <f>'08_GDE_RISK_ENGINE'!B279</f>
        <v>Piping</v>
      </c>
      <c r="C279" s="8" t="str">
        <f>'08_GDE_RISK_ENGINE'!C279</f>
        <v>BOP/Utility</v>
      </c>
      <c r="D279" s="8" t="str">
        <f>'08_GDE_RISK_ENGINE'!D279</f>
        <v>CL-BOPUT-QEB-AIR-SS304L-V-T1_BELOW_80C</v>
      </c>
      <c r="E279" s="8">
        <f>'08_GDE_RISK_ENGINE'!E279</f>
        <v>1</v>
      </c>
      <c r="F279" s="8">
        <f>'08_GDE_RISK_ENGINE'!F279</f>
        <v>2</v>
      </c>
      <c r="G279" s="8" t="str">
        <f>'08_GDE_RISK_ENGINE'!G279</f>
        <v>Low</v>
      </c>
      <c r="H279" s="8">
        <f>IF(A279="","",MIN(5,E279+'14_GDE_RISK_MATRIX_DASHBOARD'!$C$6))</f>
        <v>2</v>
      </c>
      <c r="I279" s="8">
        <f>IF(A279="","",MAX(1,E279-'14_GDE_RISK_MATRIX_DASHBOARD'!$C$7))</f>
        <v>1</v>
      </c>
      <c r="J279" s="8" t="str">
        <f t="shared" si="8"/>
        <v>Medium</v>
      </c>
      <c r="K279" s="8" t="str">
        <f t="shared" si="9"/>
        <v>Medium</v>
      </c>
    </row>
    <row r="280" ht="29" spans="1:11">
      <c r="A280" s="8" t="str">
        <f>'08_GDE_RISK_ENGINE'!A280</f>
        <v>P2QEB01 BR004</v>
      </c>
      <c r="B280" s="8" t="str">
        <f>'08_GDE_RISK_ENGINE'!B280</f>
        <v>Piping</v>
      </c>
      <c r="C280" s="8" t="str">
        <f>'08_GDE_RISK_ENGINE'!C280</f>
        <v>BOP/Utility</v>
      </c>
      <c r="D280" s="8" t="str">
        <f>'08_GDE_RISK_ENGINE'!D280</f>
        <v>CL-BOPUT-QEB-AIR-SS304L-V-T1_BELOW_80C</v>
      </c>
      <c r="E280" s="8">
        <f>'08_GDE_RISK_ENGINE'!E280</f>
        <v>1</v>
      </c>
      <c r="F280" s="8">
        <f>'08_GDE_RISK_ENGINE'!F280</f>
        <v>2</v>
      </c>
      <c r="G280" s="8" t="str">
        <f>'08_GDE_RISK_ENGINE'!G280</f>
        <v>Low</v>
      </c>
      <c r="H280" s="8">
        <f>IF(A280="","",MIN(5,E280+'14_GDE_RISK_MATRIX_DASHBOARD'!$C$6))</f>
        <v>2</v>
      </c>
      <c r="I280" s="8">
        <f>IF(A280="","",MAX(1,E280-'14_GDE_RISK_MATRIX_DASHBOARD'!$C$7))</f>
        <v>1</v>
      </c>
      <c r="J280" s="8" t="str">
        <f t="shared" si="8"/>
        <v>Medium</v>
      </c>
      <c r="K280" s="8" t="str">
        <f t="shared" si="9"/>
        <v>Medium</v>
      </c>
    </row>
    <row r="281" ht="29" spans="1:11">
      <c r="A281" s="8" t="str">
        <f>'08_GDE_RISK_ENGINE'!A281</f>
        <v>P2QEB01 BR005</v>
      </c>
      <c r="B281" s="8" t="str">
        <f>'08_GDE_RISK_ENGINE'!B281</f>
        <v>Piping</v>
      </c>
      <c r="C281" s="8" t="str">
        <f>'08_GDE_RISK_ENGINE'!C281</f>
        <v>BOP/Utility</v>
      </c>
      <c r="D281" s="8" t="str">
        <f>'08_GDE_RISK_ENGINE'!D281</f>
        <v>CL-BOPUT-QEB-AIR-SS304L-V-T1_BELOW_80C</v>
      </c>
      <c r="E281" s="8">
        <f>'08_GDE_RISK_ENGINE'!E281</f>
        <v>1</v>
      </c>
      <c r="F281" s="8">
        <f>'08_GDE_RISK_ENGINE'!F281</f>
        <v>2</v>
      </c>
      <c r="G281" s="8" t="str">
        <f>'08_GDE_RISK_ENGINE'!G281</f>
        <v>Low</v>
      </c>
      <c r="H281" s="8">
        <f>IF(A281="","",MIN(5,E281+'14_GDE_RISK_MATRIX_DASHBOARD'!$C$6))</f>
        <v>2</v>
      </c>
      <c r="I281" s="8">
        <f>IF(A281="","",MAX(1,E281-'14_GDE_RISK_MATRIX_DASHBOARD'!$C$7))</f>
        <v>1</v>
      </c>
      <c r="J281" s="8" t="str">
        <f t="shared" si="8"/>
        <v>Medium</v>
      </c>
      <c r="K281" s="8" t="str">
        <f t="shared" si="9"/>
        <v>Medium</v>
      </c>
    </row>
    <row r="282" ht="29" spans="1:11">
      <c r="A282" s="8" t="str">
        <f>'08_GDE_RISK_ENGINE'!A282</f>
        <v>P2QEB01 BR006</v>
      </c>
      <c r="B282" s="8" t="str">
        <f>'08_GDE_RISK_ENGINE'!B282</f>
        <v>Piping</v>
      </c>
      <c r="C282" s="8" t="str">
        <f>'08_GDE_RISK_ENGINE'!C282</f>
        <v>BOP/Utility</v>
      </c>
      <c r="D282" s="8" t="str">
        <f>'08_GDE_RISK_ENGINE'!D282</f>
        <v>CL-BOPUT-QEB-AIR-SS304L-V-T1_BELOW_80C</v>
      </c>
      <c r="E282" s="8">
        <f>'08_GDE_RISK_ENGINE'!E282</f>
        <v>1</v>
      </c>
      <c r="F282" s="8">
        <f>'08_GDE_RISK_ENGINE'!F282</f>
        <v>2</v>
      </c>
      <c r="G282" s="8" t="str">
        <f>'08_GDE_RISK_ENGINE'!G282</f>
        <v>Low</v>
      </c>
      <c r="H282" s="8">
        <f>IF(A282="","",MIN(5,E282+'14_GDE_RISK_MATRIX_DASHBOARD'!$C$6))</f>
        <v>2</v>
      </c>
      <c r="I282" s="8">
        <f>IF(A282="","",MAX(1,E282-'14_GDE_RISK_MATRIX_DASHBOARD'!$C$7))</f>
        <v>1</v>
      </c>
      <c r="J282" s="8" t="str">
        <f t="shared" si="8"/>
        <v>Medium</v>
      </c>
      <c r="K282" s="8" t="str">
        <f t="shared" si="9"/>
        <v>Medium</v>
      </c>
    </row>
    <row r="283" ht="29" spans="1:11">
      <c r="A283" s="8" t="str">
        <f>'08_GDE_RISK_ENGINE'!A283</f>
        <v>P2QEB01 BR007</v>
      </c>
      <c r="B283" s="8" t="str">
        <f>'08_GDE_RISK_ENGINE'!B283</f>
        <v>Piping</v>
      </c>
      <c r="C283" s="8" t="str">
        <f>'08_GDE_RISK_ENGINE'!C283</f>
        <v>BOP/Utility</v>
      </c>
      <c r="D283" s="8" t="str">
        <f>'08_GDE_RISK_ENGINE'!D283</f>
        <v>CL-BOPUT-QEB-AIR-SS304L-V-T1_BELOW_80C</v>
      </c>
      <c r="E283" s="8">
        <f>'08_GDE_RISK_ENGINE'!E283</f>
        <v>1</v>
      </c>
      <c r="F283" s="8">
        <f>'08_GDE_RISK_ENGINE'!F283</f>
        <v>2</v>
      </c>
      <c r="G283" s="8" t="str">
        <f>'08_GDE_RISK_ENGINE'!G283</f>
        <v>Low</v>
      </c>
      <c r="H283" s="8">
        <f>IF(A283="","",MIN(5,E283+'14_GDE_RISK_MATRIX_DASHBOARD'!$C$6))</f>
        <v>2</v>
      </c>
      <c r="I283" s="8">
        <f>IF(A283="","",MAX(1,E283-'14_GDE_RISK_MATRIX_DASHBOARD'!$C$7))</f>
        <v>1</v>
      </c>
      <c r="J283" s="8" t="str">
        <f t="shared" si="8"/>
        <v>Medium</v>
      </c>
      <c r="K283" s="8" t="str">
        <f t="shared" si="9"/>
        <v>Medium</v>
      </c>
    </row>
    <row r="284" ht="29" spans="1:11">
      <c r="A284" s="8" t="str">
        <f>'08_GDE_RISK_ENGINE'!A284</f>
        <v>P2QEB01 BR053</v>
      </c>
      <c r="B284" s="8" t="str">
        <f>'08_GDE_RISK_ENGINE'!B284</f>
        <v>Piping</v>
      </c>
      <c r="C284" s="8" t="str">
        <f>'08_GDE_RISK_ENGINE'!C284</f>
        <v>BOP/Utility</v>
      </c>
      <c r="D284" s="8" t="str">
        <f>'08_GDE_RISK_ENGINE'!D284</f>
        <v>CL-BOPUT-QEB-AIR-SS304L-V-T1_BELOW_80C</v>
      </c>
      <c r="E284" s="8">
        <f>'08_GDE_RISK_ENGINE'!E284</f>
        <v>1</v>
      </c>
      <c r="F284" s="8">
        <f>'08_GDE_RISK_ENGINE'!F284</f>
        <v>2</v>
      </c>
      <c r="G284" s="8" t="str">
        <f>'08_GDE_RISK_ENGINE'!G284</f>
        <v>Low</v>
      </c>
      <c r="H284" s="8">
        <f>IF(A284="","",MIN(5,E284+'14_GDE_RISK_MATRIX_DASHBOARD'!$C$6))</f>
        <v>2</v>
      </c>
      <c r="I284" s="8">
        <f>IF(A284="","",MAX(1,E284-'14_GDE_RISK_MATRIX_DASHBOARD'!$C$7))</f>
        <v>1</v>
      </c>
      <c r="J284" s="8" t="str">
        <f t="shared" si="8"/>
        <v>Medium</v>
      </c>
      <c r="K284" s="8" t="str">
        <f t="shared" si="9"/>
        <v>Medium</v>
      </c>
    </row>
    <row r="285" ht="29" spans="1:11">
      <c r="A285" s="8" t="str">
        <f>'08_GDE_RISK_ENGINE'!A285</f>
        <v>P2QEB01 BR054</v>
      </c>
      <c r="B285" s="8" t="str">
        <f>'08_GDE_RISK_ENGINE'!B285</f>
        <v>Piping</v>
      </c>
      <c r="C285" s="8" t="str">
        <f>'08_GDE_RISK_ENGINE'!C285</f>
        <v>BOP/Utility</v>
      </c>
      <c r="D285" s="8" t="str">
        <f>'08_GDE_RISK_ENGINE'!D285</f>
        <v>CL-BOPUT-QEB-AIR-SS304L-V-T1_BELOW_80C</v>
      </c>
      <c r="E285" s="8">
        <f>'08_GDE_RISK_ENGINE'!E285</f>
        <v>1</v>
      </c>
      <c r="F285" s="8">
        <f>'08_GDE_RISK_ENGINE'!F285</f>
        <v>2</v>
      </c>
      <c r="G285" s="8" t="str">
        <f>'08_GDE_RISK_ENGINE'!G285</f>
        <v>Low</v>
      </c>
      <c r="H285" s="8">
        <f>IF(A285="","",MIN(5,E285+'14_GDE_RISK_MATRIX_DASHBOARD'!$C$6))</f>
        <v>2</v>
      </c>
      <c r="I285" s="8">
        <f>IF(A285="","",MAX(1,E285-'14_GDE_RISK_MATRIX_DASHBOARD'!$C$7))</f>
        <v>1</v>
      </c>
      <c r="J285" s="8" t="str">
        <f t="shared" si="8"/>
        <v>Medium</v>
      </c>
      <c r="K285" s="8" t="str">
        <f t="shared" si="9"/>
        <v>Medium</v>
      </c>
    </row>
    <row r="286" ht="29" spans="1:11">
      <c r="A286" s="8" t="str">
        <f>'08_GDE_RISK_ENGINE'!A286</f>
        <v>P2QEB01 BR010</v>
      </c>
      <c r="B286" s="8" t="str">
        <f>'08_GDE_RISK_ENGINE'!B286</f>
        <v>Piping</v>
      </c>
      <c r="C286" s="8" t="str">
        <f>'08_GDE_RISK_ENGINE'!C286</f>
        <v>BOP/Utility</v>
      </c>
      <c r="D286" s="8" t="str">
        <f>'08_GDE_RISK_ENGINE'!D286</f>
        <v>CL-BOPUT-QEB-AIR-SS304L-V-T1_BELOW_80C</v>
      </c>
      <c r="E286" s="8">
        <f>'08_GDE_RISK_ENGINE'!E286</f>
        <v>1</v>
      </c>
      <c r="F286" s="8">
        <f>'08_GDE_RISK_ENGINE'!F286</f>
        <v>2</v>
      </c>
      <c r="G286" s="8" t="str">
        <f>'08_GDE_RISK_ENGINE'!G286</f>
        <v>Low</v>
      </c>
      <c r="H286" s="8">
        <f>IF(A286="","",MIN(5,E286+'14_GDE_RISK_MATRIX_DASHBOARD'!$C$6))</f>
        <v>2</v>
      </c>
      <c r="I286" s="8">
        <f>IF(A286="","",MAX(1,E286-'14_GDE_RISK_MATRIX_DASHBOARD'!$C$7))</f>
        <v>1</v>
      </c>
      <c r="J286" s="8" t="str">
        <f t="shared" si="8"/>
        <v>Medium</v>
      </c>
      <c r="K286" s="8" t="str">
        <f t="shared" si="9"/>
        <v>Medium</v>
      </c>
    </row>
    <row r="287" ht="29" spans="1:11">
      <c r="A287" s="8" t="str">
        <f>'08_GDE_RISK_ENGINE'!A287</f>
        <v>P2QEB01 BR011</v>
      </c>
      <c r="B287" s="8" t="str">
        <f>'08_GDE_RISK_ENGINE'!B287</f>
        <v>Piping</v>
      </c>
      <c r="C287" s="8" t="str">
        <f>'08_GDE_RISK_ENGINE'!C287</f>
        <v>BOP/Utility</v>
      </c>
      <c r="D287" s="8" t="str">
        <f>'08_GDE_RISK_ENGINE'!D287</f>
        <v>CL-BOPUT-QEB-AIR-SS304L-V-T1_BELOW_80C</v>
      </c>
      <c r="E287" s="8">
        <f>'08_GDE_RISK_ENGINE'!E287</f>
        <v>1</v>
      </c>
      <c r="F287" s="8">
        <f>'08_GDE_RISK_ENGINE'!F287</f>
        <v>2</v>
      </c>
      <c r="G287" s="8" t="str">
        <f>'08_GDE_RISK_ENGINE'!G287</f>
        <v>Low</v>
      </c>
      <c r="H287" s="8">
        <f>IF(A287="","",MIN(5,E287+'14_GDE_RISK_MATRIX_DASHBOARD'!$C$6))</f>
        <v>2</v>
      </c>
      <c r="I287" s="8">
        <f>IF(A287="","",MAX(1,E287-'14_GDE_RISK_MATRIX_DASHBOARD'!$C$7))</f>
        <v>1</v>
      </c>
      <c r="J287" s="8" t="str">
        <f t="shared" si="8"/>
        <v>Medium</v>
      </c>
      <c r="K287" s="8" t="str">
        <f t="shared" si="9"/>
        <v>Medium</v>
      </c>
    </row>
    <row r="288" ht="29" spans="1:11">
      <c r="A288" s="8" t="str">
        <f>'08_GDE_RISK_ENGINE'!A288</f>
        <v>P2QEB01 BR012</v>
      </c>
      <c r="B288" s="8" t="str">
        <f>'08_GDE_RISK_ENGINE'!B288</f>
        <v>Piping</v>
      </c>
      <c r="C288" s="8" t="str">
        <f>'08_GDE_RISK_ENGINE'!C288</f>
        <v>BOP/Utility</v>
      </c>
      <c r="D288" s="8" t="str">
        <f>'08_GDE_RISK_ENGINE'!D288</f>
        <v>CL-BOPUT-QEB-AIR-SS304L-V-T1_BELOW_80C</v>
      </c>
      <c r="E288" s="8">
        <f>'08_GDE_RISK_ENGINE'!E288</f>
        <v>1</v>
      </c>
      <c r="F288" s="8">
        <f>'08_GDE_RISK_ENGINE'!F288</f>
        <v>2</v>
      </c>
      <c r="G288" s="8" t="str">
        <f>'08_GDE_RISK_ENGINE'!G288</f>
        <v>Low</v>
      </c>
      <c r="H288" s="8">
        <f>IF(A288="","",MIN(5,E288+'14_GDE_RISK_MATRIX_DASHBOARD'!$C$6))</f>
        <v>2</v>
      </c>
      <c r="I288" s="8">
        <f>IF(A288="","",MAX(1,E288-'14_GDE_RISK_MATRIX_DASHBOARD'!$C$7))</f>
        <v>1</v>
      </c>
      <c r="J288" s="8" t="str">
        <f t="shared" si="8"/>
        <v>Medium</v>
      </c>
      <c r="K288" s="8" t="str">
        <f t="shared" si="9"/>
        <v>Medium</v>
      </c>
    </row>
    <row r="289" ht="29" spans="1:11">
      <c r="A289" s="8" t="str">
        <f>'08_GDE_RISK_ENGINE'!A289</f>
        <v>P2QEB01 BR013</v>
      </c>
      <c r="B289" s="8" t="str">
        <f>'08_GDE_RISK_ENGINE'!B289</f>
        <v>Piping</v>
      </c>
      <c r="C289" s="8" t="str">
        <f>'08_GDE_RISK_ENGINE'!C289</f>
        <v>BOP/Utility</v>
      </c>
      <c r="D289" s="8" t="str">
        <f>'08_GDE_RISK_ENGINE'!D289</f>
        <v>CL-BOPUT-QEB-AIR-SS304L-V-T1_BELOW_80C</v>
      </c>
      <c r="E289" s="8">
        <f>'08_GDE_RISK_ENGINE'!E289</f>
        <v>1</v>
      </c>
      <c r="F289" s="8">
        <f>'08_GDE_RISK_ENGINE'!F289</f>
        <v>2</v>
      </c>
      <c r="G289" s="8" t="str">
        <f>'08_GDE_RISK_ENGINE'!G289</f>
        <v>Low</v>
      </c>
      <c r="H289" s="8">
        <f>IF(A289="","",MIN(5,E289+'14_GDE_RISK_MATRIX_DASHBOARD'!$C$6))</f>
        <v>2</v>
      </c>
      <c r="I289" s="8">
        <f>IF(A289="","",MAX(1,E289-'14_GDE_RISK_MATRIX_DASHBOARD'!$C$7))</f>
        <v>1</v>
      </c>
      <c r="J289" s="8" t="str">
        <f t="shared" si="8"/>
        <v>Medium</v>
      </c>
      <c r="K289" s="8" t="str">
        <f t="shared" si="9"/>
        <v>Medium</v>
      </c>
    </row>
    <row r="290" ht="29" spans="1:11">
      <c r="A290" s="8" t="str">
        <f>'08_GDE_RISK_ENGINE'!A290</f>
        <v>P2QEB01 BR037</v>
      </c>
      <c r="B290" s="8" t="str">
        <f>'08_GDE_RISK_ENGINE'!B290</f>
        <v>Piping</v>
      </c>
      <c r="C290" s="8" t="str">
        <f>'08_GDE_RISK_ENGINE'!C290</f>
        <v>BOP/Utility</v>
      </c>
      <c r="D290" s="8" t="str">
        <f>'08_GDE_RISK_ENGINE'!D290</f>
        <v>CL-BOPUT-QEB-AIR-SS304L-V-T1_BELOW_80C</v>
      </c>
      <c r="E290" s="8">
        <f>'08_GDE_RISK_ENGINE'!E290</f>
        <v>1</v>
      </c>
      <c r="F290" s="8">
        <f>'08_GDE_RISK_ENGINE'!F290</f>
        <v>2</v>
      </c>
      <c r="G290" s="8" t="str">
        <f>'08_GDE_RISK_ENGINE'!G290</f>
        <v>Low</v>
      </c>
      <c r="H290" s="8">
        <f>IF(A290="","",MIN(5,E290+'14_GDE_RISK_MATRIX_DASHBOARD'!$C$6))</f>
        <v>2</v>
      </c>
      <c r="I290" s="8">
        <f>IF(A290="","",MAX(1,E290-'14_GDE_RISK_MATRIX_DASHBOARD'!$C$7))</f>
        <v>1</v>
      </c>
      <c r="J290" s="8" t="str">
        <f t="shared" si="8"/>
        <v>Medium</v>
      </c>
      <c r="K290" s="8" t="str">
        <f t="shared" si="9"/>
        <v>Medium</v>
      </c>
    </row>
    <row r="291" ht="29" spans="1:11">
      <c r="A291" s="8" t="str">
        <f>'08_GDE_RISK_ENGINE'!A291</f>
        <v>P2QEB01 BR040</v>
      </c>
      <c r="B291" s="8" t="str">
        <f>'08_GDE_RISK_ENGINE'!B291</f>
        <v>Piping</v>
      </c>
      <c r="C291" s="8" t="str">
        <f>'08_GDE_RISK_ENGINE'!C291</f>
        <v>BOP/Utility</v>
      </c>
      <c r="D291" s="8" t="str">
        <f>'08_GDE_RISK_ENGINE'!D291</f>
        <v>CL-BOPUT-QEB-AIR-SS304L-V-T1_BELOW_80C</v>
      </c>
      <c r="E291" s="8">
        <f>'08_GDE_RISK_ENGINE'!E291</f>
        <v>1</v>
      </c>
      <c r="F291" s="8">
        <f>'08_GDE_RISK_ENGINE'!F291</f>
        <v>2</v>
      </c>
      <c r="G291" s="8" t="str">
        <f>'08_GDE_RISK_ENGINE'!G291</f>
        <v>Low</v>
      </c>
      <c r="H291" s="8">
        <f>IF(A291="","",MIN(5,E291+'14_GDE_RISK_MATRIX_DASHBOARD'!$C$6))</f>
        <v>2</v>
      </c>
      <c r="I291" s="8">
        <f>IF(A291="","",MAX(1,E291-'14_GDE_RISK_MATRIX_DASHBOARD'!$C$7))</f>
        <v>1</v>
      </c>
      <c r="J291" s="8" t="str">
        <f t="shared" si="8"/>
        <v>Medium</v>
      </c>
      <c r="K291" s="8" t="str">
        <f t="shared" si="9"/>
        <v>Medium</v>
      </c>
    </row>
    <row r="292" ht="29" spans="1:11">
      <c r="A292" s="8" t="str">
        <f>'08_GDE_RISK_ENGINE'!A292</f>
        <v>P2QEB01 BR014</v>
      </c>
      <c r="B292" s="8" t="str">
        <f>'08_GDE_RISK_ENGINE'!B292</f>
        <v>Piping</v>
      </c>
      <c r="C292" s="8" t="str">
        <f>'08_GDE_RISK_ENGINE'!C292</f>
        <v>BOP/Utility</v>
      </c>
      <c r="D292" s="8" t="str">
        <f>'08_GDE_RISK_ENGINE'!D292</f>
        <v>CL-BOPUT-QEB-AIR-SS304L-V-T1_BELOW_80C</v>
      </c>
      <c r="E292" s="8">
        <f>'08_GDE_RISK_ENGINE'!E292</f>
        <v>1</v>
      </c>
      <c r="F292" s="8">
        <f>'08_GDE_RISK_ENGINE'!F292</f>
        <v>2</v>
      </c>
      <c r="G292" s="8" t="str">
        <f>'08_GDE_RISK_ENGINE'!G292</f>
        <v>Low</v>
      </c>
      <c r="H292" s="8">
        <f>IF(A292="","",MIN(5,E292+'14_GDE_RISK_MATRIX_DASHBOARD'!$C$6))</f>
        <v>2</v>
      </c>
      <c r="I292" s="8">
        <f>IF(A292="","",MAX(1,E292-'14_GDE_RISK_MATRIX_DASHBOARD'!$C$7))</f>
        <v>1</v>
      </c>
      <c r="J292" s="8" t="str">
        <f t="shared" si="8"/>
        <v>Medium</v>
      </c>
      <c r="K292" s="8" t="str">
        <f t="shared" si="9"/>
        <v>Medium</v>
      </c>
    </row>
    <row r="293" ht="29" spans="1:11">
      <c r="A293" s="8" t="str">
        <f>'08_GDE_RISK_ENGINE'!A293</f>
        <v>P2QEB01 BR015</v>
      </c>
      <c r="B293" s="8" t="str">
        <f>'08_GDE_RISK_ENGINE'!B293</f>
        <v>Piping</v>
      </c>
      <c r="C293" s="8" t="str">
        <f>'08_GDE_RISK_ENGINE'!C293</f>
        <v>BOP/Utility</v>
      </c>
      <c r="D293" s="8" t="str">
        <f>'08_GDE_RISK_ENGINE'!D293</f>
        <v>CL-BOPUT-QEB-AIR-SS304L-V-T1_BELOW_80C</v>
      </c>
      <c r="E293" s="8">
        <f>'08_GDE_RISK_ENGINE'!E293</f>
        <v>1</v>
      </c>
      <c r="F293" s="8">
        <f>'08_GDE_RISK_ENGINE'!F293</f>
        <v>2</v>
      </c>
      <c r="G293" s="8" t="str">
        <f>'08_GDE_RISK_ENGINE'!G293</f>
        <v>Low</v>
      </c>
      <c r="H293" s="8">
        <f>IF(A293="","",MIN(5,E293+'14_GDE_RISK_MATRIX_DASHBOARD'!$C$6))</f>
        <v>2</v>
      </c>
      <c r="I293" s="8">
        <f>IF(A293="","",MAX(1,E293-'14_GDE_RISK_MATRIX_DASHBOARD'!$C$7))</f>
        <v>1</v>
      </c>
      <c r="J293" s="8" t="str">
        <f t="shared" si="8"/>
        <v>Medium</v>
      </c>
      <c r="K293" s="8" t="str">
        <f t="shared" si="9"/>
        <v>Medium</v>
      </c>
    </row>
    <row r="294" ht="29" spans="1:11">
      <c r="A294" s="8" t="str">
        <f>'08_GDE_RISK_ENGINE'!A294</f>
        <v>P2QEB01 BR016</v>
      </c>
      <c r="B294" s="8" t="str">
        <f>'08_GDE_RISK_ENGINE'!B294</f>
        <v>Piping</v>
      </c>
      <c r="C294" s="8" t="str">
        <f>'08_GDE_RISK_ENGINE'!C294</f>
        <v>BOP/Utility</v>
      </c>
      <c r="D294" s="8" t="str">
        <f>'08_GDE_RISK_ENGINE'!D294</f>
        <v>CL-BOPUT-QEB-AIR-SS304L-V-T1_BELOW_80C</v>
      </c>
      <c r="E294" s="8">
        <f>'08_GDE_RISK_ENGINE'!E294</f>
        <v>1</v>
      </c>
      <c r="F294" s="8">
        <f>'08_GDE_RISK_ENGINE'!F294</f>
        <v>2</v>
      </c>
      <c r="G294" s="8" t="str">
        <f>'08_GDE_RISK_ENGINE'!G294</f>
        <v>Low</v>
      </c>
      <c r="H294" s="8">
        <f>IF(A294="","",MIN(5,E294+'14_GDE_RISK_MATRIX_DASHBOARD'!$C$6))</f>
        <v>2</v>
      </c>
      <c r="I294" s="8">
        <f>IF(A294="","",MAX(1,E294-'14_GDE_RISK_MATRIX_DASHBOARD'!$C$7))</f>
        <v>1</v>
      </c>
      <c r="J294" s="8" t="str">
        <f t="shared" si="8"/>
        <v>Medium</v>
      </c>
      <c r="K294" s="8" t="str">
        <f t="shared" si="9"/>
        <v>Medium</v>
      </c>
    </row>
    <row r="295" ht="29" spans="1:11">
      <c r="A295" s="8" t="str">
        <f>'08_GDE_RISK_ENGINE'!A295</f>
        <v>P2QEB01 BR018</v>
      </c>
      <c r="B295" s="8" t="str">
        <f>'08_GDE_RISK_ENGINE'!B295</f>
        <v>Piping</v>
      </c>
      <c r="C295" s="8" t="str">
        <f>'08_GDE_RISK_ENGINE'!C295</f>
        <v>BOP/Utility</v>
      </c>
      <c r="D295" s="8" t="str">
        <f>'08_GDE_RISK_ENGINE'!D295</f>
        <v>CL-BOPUT-QEB-AIR-SS304L-V-T1_BELOW_80C</v>
      </c>
      <c r="E295" s="8">
        <f>'08_GDE_RISK_ENGINE'!E295</f>
        <v>1</v>
      </c>
      <c r="F295" s="8">
        <f>'08_GDE_RISK_ENGINE'!F295</f>
        <v>2</v>
      </c>
      <c r="G295" s="8" t="str">
        <f>'08_GDE_RISK_ENGINE'!G295</f>
        <v>Low</v>
      </c>
      <c r="H295" s="8">
        <f>IF(A295="","",MIN(5,E295+'14_GDE_RISK_MATRIX_DASHBOARD'!$C$6))</f>
        <v>2</v>
      </c>
      <c r="I295" s="8">
        <f>IF(A295="","",MAX(1,E295-'14_GDE_RISK_MATRIX_DASHBOARD'!$C$7))</f>
        <v>1</v>
      </c>
      <c r="J295" s="8" t="str">
        <f t="shared" si="8"/>
        <v>Medium</v>
      </c>
      <c r="K295" s="8" t="str">
        <f t="shared" si="9"/>
        <v>Medium</v>
      </c>
    </row>
    <row r="296" ht="29" spans="1:11">
      <c r="A296" s="8" t="str">
        <f>'08_GDE_RISK_ENGINE'!A296</f>
        <v>P2QEB01 BR019</v>
      </c>
      <c r="B296" s="8" t="str">
        <f>'08_GDE_RISK_ENGINE'!B296</f>
        <v>Piping</v>
      </c>
      <c r="C296" s="8" t="str">
        <f>'08_GDE_RISK_ENGINE'!C296</f>
        <v>BOP/Utility</v>
      </c>
      <c r="D296" s="8" t="str">
        <f>'08_GDE_RISK_ENGINE'!D296</f>
        <v>CL-BOPUT-QEB-AIR-SS304L-V-T1_BELOW_80C</v>
      </c>
      <c r="E296" s="8">
        <f>'08_GDE_RISK_ENGINE'!E296</f>
        <v>1</v>
      </c>
      <c r="F296" s="8">
        <f>'08_GDE_RISK_ENGINE'!F296</f>
        <v>2</v>
      </c>
      <c r="G296" s="8" t="str">
        <f>'08_GDE_RISK_ENGINE'!G296</f>
        <v>Low</v>
      </c>
      <c r="H296" s="8">
        <f>IF(A296="","",MIN(5,E296+'14_GDE_RISK_MATRIX_DASHBOARD'!$C$6))</f>
        <v>2</v>
      </c>
      <c r="I296" s="8">
        <f>IF(A296="","",MAX(1,E296-'14_GDE_RISK_MATRIX_DASHBOARD'!$C$7))</f>
        <v>1</v>
      </c>
      <c r="J296" s="8" t="str">
        <f t="shared" si="8"/>
        <v>Medium</v>
      </c>
      <c r="K296" s="8" t="str">
        <f t="shared" si="9"/>
        <v>Medium</v>
      </c>
    </row>
    <row r="297" ht="29" spans="1:11">
      <c r="A297" s="8" t="str">
        <f>'08_GDE_RISK_ENGINE'!A297</f>
        <v>P2QEB01 BR020</v>
      </c>
      <c r="B297" s="8" t="str">
        <f>'08_GDE_RISK_ENGINE'!B297</f>
        <v>Piping</v>
      </c>
      <c r="C297" s="8" t="str">
        <f>'08_GDE_RISK_ENGINE'!C297</f>
        <v>BOP/Utility</v>
      </c>
      <c r="D297" s="8" t="str">
        <f>'08_GDE_RISK_ENGINE'!D297</f>
        <v>CL-BOPUT-QEB-AIR-SS304L-V-T1_BELOW_80C</v>
      </c>
      <c r="E297" s="8">
        <f>'08_GDE_RISK_ENGINE'!E297</f>
        <v>1</v>
      </c>
      <c r="F297" s="8">
        <f>'08_GDE_RISK_ENGINE'!F297</f>
        <v>2</v>
      </c>
      <c r="G297" s="8" t="str">
        <f>'08_GDE_RISK_ENGINE'!G297</f>
        <v>Low</v>
      </c>
      <c r="H297" s="8">
        <f>IF(A297="","",MIN(5,E297+'14_GDE_RISK_MATRIX_DASHBOARD'!$C$6))</f>
        <v>2</v>
      </c>
      <c r="I297" s="8">
        <f>IF(A297="","",MAX(1,E297-'14_GDE_RISK_MATRIX_DASHBOARD'!$C$7))</f>
        <v>1</v>
      </c>
      <c r="J297" s="8" t="str">
        <f t="shared" si="8"/>
        <v>Medium</v>
      </c>
      <c r="K297" s="8" t="str">
        <f t="shared" si="9"/>
        <v>Medium</v>
      </c>
    </row>
    <row r="298" ht="29" spans="1:11">
      <c r="A298" s="8" t="str">
        <f>'08_GDE_RISK_ENGINE'!A298</f>
        <v>P2QEB01 BR022</v>
      </c>
      <c r="B298" s="8" t="str">
        <f>'08_GDE_RISK_ENGINE'!B298</f>
        <v>Piping</v>
      </c>
      <c r="C298" s="8" t="str">
        <f>'08_GDE_RISK_ENGINE'!C298</f>
        <v>BOP/Utility</v>
      </c>
      <c r="D298" s="8" t="str">
        <f>'08_GDE_RISK_ENGINE'!D298</f>
        <v>CL-BOPUT-QEB-AIR-SS304L-V-T1_BELOW_80C</v>
      </c>
      <c r="E298" s="8">
        <f>'08_GDE_RISK_ENGINE'!E298</f>
        <v>1</v>
      </c>
      <c r="F298" s="8">
        <f>'08_GDE_RISK_ENGINE'!F298</f>
        <v>2</v>
      </c>
      <c r="G298" s="8" t="str">
        <f>'08_GDE_RISK_ENGINE'!G298</f>
        <v>Low</v>
      </c>
      <c r="H298" s="8">
        <f>IF(A298="","",MIN(5,E298+'14_GDE_RISK_MATRIX_DASHBOARD'!$C$6))</f>
        <v>2</v>
      </c>
      <c r="I298" s="8">
        <f>IF(A298="","",MAX(1,E298-'14_GDE_RISK_MATRIX_DASHBOARD'!$C$7))</f>
        <v>1</v>
      </c>
      <c r="J298" s="8" t="str">
        <f t="shared" si="8"/>
        <v>Medium</v>
      </c>
      <c r="K298" s="8" t="str">
        <f t="shared" si="9"/>
        <v>Medium</v>
      </c>
    </row>
    <row r="299" ht="29" spans="1:11">
      <c r="A299" s="8" t="str">
        <f>'08_GDE_RISK_ENGINE'!A299</f>
        <v>P2QEB01 BR023</v>
      </c>
      <c r="B299" s="8" t="str">
        <f>'08_GDE_RISK_ENGINE'!B299</f>
        <v>Piping</v>
      </c>
      <c r="C299" s="8" t="str">
        <f>'08_GDE_RISK_ENGINE'!C299</f>
        <v>BOP/Utility</v>
      </c>
      <c r="D299" s="8" t="str">
        <f>'08_GDE_RISK_ENGINE'!D299</f>
        <v>CL-BOPUT-QEB-AIR-SS304L-V-T1_BELOW_80C</v>
      </c>
      <c r="E299" s="8">
        <f>'08_GDE_RISK_ENGINE'!E299</f>
        <v>1</v>
      </c>
      <c r="F299" s="8">
        <f>'08_GDE_RISK_ENGINE'!F299</f>
        <v>2</v>
      </c>
      <c r="G299" s="8" t="str">
        <f>'08_GDE_RISK_ENGINE'!G299</f>
        <v>Low</v>
      </c>
      <c r="H299" s="8">
        <f>IF(A299="","",MIN(5,E299+'14_GDE_RISK_MATRIX_DASHBOARD'!$C$6))</f>
        <v>2</v>
      </c>
      <c r="I299" s="8">
        <f>IF(A299="","",MAX(1,E299-'14_GDE_RISK_MATRIX_DASHBOARD'!$C$7))</f>
        <v>1</v>
      </c>
      <c r="J299" s="8" t="str">
        <f t="shared" si="8"/>
        <v>Medium</v>
      </c>
      <c r="K299" s="8" t="str">
        <f t="shared" si="9"/>
        <v>Medium</v>
      </c>
    </row>
    <row r="300" ht="29" spans="1:11">
      <c r="A300" s="8" t="str">
        <f>'08_GDE_RISK_ENGINE'!A300</f>
        <v>P2QEB01 BR036</v>
      </c>
      <c r="B300" s="8" t="str">
        <f>'08_GDE_RISK_ENGINE'!B300</f>
        <v>Piping</v>
      </c>
      <c r="C300" s="8" t="str">
        <f>'08_GDE_RISK_ENGINE'!C300</f>
        <v>BOP/Utility</v>
      </c>
      <c r="D300" s="8" t="str">
        <f>'08_GDE_RISK_ENGINE'!D300</f>
        <v>CL-BOPUT-QEB-AIR-SS304L-V-T1_BELOW_80C</v>
      </c>
      <c r="E300" s="8">
        <f>'08_GDE_RISK_ENGINE'!E300</f>
        <v>1</v>
      </c>
      <c r="F300" s="8">
        <f>'08_GDE_RISK_ENGINE'!F300</f>
        <v>2</v>
      </c>
      <c r="G300" s="8" t="str">
        <f>'08_GDE_RISK_ENGINE'!G300</f>
        <v>Low</v>
      </c>
      <c r="H300" s="8">
        <f>IF(A300="","",MIN(5,E300+'14_GDE_RISK_MATRIX_DASHBOARD'!$C$6))</f>
        <v>2</v>
      </c>
      <c r="I300" s="8">
        <f>IF(A300="","",MAX(1,E300-'14_GDE_RISK_MATRIX_DASHBOARD'!$C$7))</f>
        <v>1</v>
      </c>
      <c r="J300" s="8" t="str">
        <f t="shared" si="8"/>
        <v>Medium</v>
      </c>
      <c r="K300" s="8" t="str">
        <f t="shared" si="9"/>
        <v>Medium</v>
      </c>
    </row>
    <row r="301" ht="29" spans="1:11">
      <c r="A301" s="8" t="str">
        <f>'08_GDE_RISK_ENGINE'!A301</f>
        <v>P2QEB01 BR034</v>
      </c>
      <c r="B301" s="8" t="str">
        <f>'08_GDE_RISK_ENGINE'!B301</f>
        <v>Piping</v>
      </c>
      <c r="C301" s="8" t="str">
        <f>'08_GDE_RISK_ENGINE'!C301</f>
        <v>BOP/Utility</v>
      </c>
      <c r="D301" s="8" t="str">
        <f>'08_GDE_RISK_ENGINE'!D301</f>
        <v>CL-BOPUT-QEB-AIR-SS304L-V-T1_BELOW_80C</v>
      </c>
      <c r="E301" s="8">
        <f>'08_GDE_RISK_ENGINE'!E301</f>
        <v>1</v>
      </c>
      <c r="F301" s="8">
        <f>'08_GDE_RISK_ENGINE'!F301</f>
        <v>2</v>
      </c>
      <c r="G301" s="8" t="str">
        <f>'08_GDE_RISK_ENGINE'!G301</f>
        <v>Low</v>
      </c>
      <c r="H301" s="8">
        <f>IF(A301="","",MIN(5,E301+'14_GDE_RISK_MATRIX_DASHBOARD'!$C$6))</f>
        <v>2</v>
      </c>
      <c r="I301" s="8">
        <f>IF(A301="","",MAX(1,E301-'14_GDE_RISK_MATRIX_DASHBOARD'!$C$7))</f>
        <v>1</v>
      </c>
      <c r="J301" s="8" t="str">
        <f t="shared" si="8"/>
        <v>Medium</v>
      </c>
      <c r="K301" s="8" t="str">
        <f t="shared" si="9"/>
        <v>Medium</v>
      </c>
    </row>
    <row r="302" ht="29" spans="1:11">
      <c r="A302" s="8" t="str">
        <f>'08_GDE_RISK_ENGINE'!A302</f>
        <v>P2QEB01 BR038</v>
      </c>
      <c r="B302" s="8" t="str">
        <f>'08_GDE_RISK_ENGINE'!B302</f>
        <v>Piping</v>
      </c>
      <c r="C302" s="8" t="str">
        <f>'08_GDE_RISK_ENGINE'!C302</f>
        <v>BOP/Utility</v>
      </c>
      <c r="D302" s="8" t="str">
        <f>'08_GDE_RISK_ENGINE'!D302</f>
        <v>CL-BOPUT-QEB-AIR-SS304L-V-T1_BELOW_80C</v>
      </c>
      <c r="E302" s="8">
        <f>'08_GDE_RISK_ENGINE'!E302</f>
        <v>1</v>
      </c>
      <c r="F302" s="8">
        <f>'08_GDE_RISK_ENGINE'!F302</f>
        <v>2</v>
      </c>
      <c r="G302" s="8" t="str">
        <f>'08_GDE_RISK_ENGINE'!G302</f>
        <v>Low</v>
      </c>
      <c r="H302" s="8">
        <f>IF(A302="","",MIN(5,E302+'14_GDE_RISK_MATRIX_DASHBOARD'!$C$6))</f>
        <v>2</v>
      </c>
      <c r="I302" s="8">
        <f>IF(A302="","",MAX(1,E302-'14_GDE_RISK_MATRIX_DASHBOARD'!$C$7))</f>
        <v>1</v>
      </c>
      <c r="J302" s="8" t="str">
        <f t="shared" si="8"/>
        <v>Medium</v>
      </c>
      <c r="K302" s="8" t="str">
        <f t="shared" si="9"/>
        <v>Medium</v>
      </c>
    </row>
    <row r="303" ht="29" spans="1:11">
      <c r="A303" s="8" t="str">
        <f>'08_GDE_RISK_ENGINE'!A303</f>
        <v>P2QEB01 BR039</v>
      </c>
      <c r="B303" s="8" t="str">
        <f>'08_GDE_RISK_ENGINE'!B303</f>
        <v>Piping</v>
      </c>
      <c r="C303" s="8" t="str">
        <f>'08_GDE_RISK_ENGINE'!C303</f>
        <v>BOP/Utility</v>
      </c>
      <c r="D303" s="8" t="str">
        <f>'08_GDE_RISK_ENGINE'!D303</f>
        <v>CL-BOPUT-QEB-AIR-SS304L-V-T1_BELOW_80C</v>
      </c>
      <c r="E303" s="8">
        <f>'08_GDE_RISK_ENGINE'!E303</f>
        <v>1</v>
      </c>
      <c r="F303" s="8">
        <f>'08_GDE_RISK_ENGINE'!F303</f>
        <v>2</v>
      </c>
      <c r="G303" s="8" t="str">
        <f>'08_GDE_RISK_ENGINE'!G303</f>
        <v>Low</v>
      </c>
      <c r="H303" s="8">
        <f>IF(A303="","",MIN(5,E303+'14_GDE_RISK_MATRIX_DASHBOARD'!$C$6))</f>
        <v>2</v>
      </c>
      <c r="I303" s="8">
        <f>IF(A303="","",MAX(1,E303-'14_GDE_RISK_MATRIX_DASHBOARD'!$C$7))</f>
        <v>1</v>
      </c>
      <c r="J303" s="8" t="str">
        <f t="shared" si="8"/>
        <v>Medium</v>
      </c>
      <c r="K303" s="8" t="str">
        <f t="shared" si="9"/>
        <v>Medium</v>
      </c>
    </row>
    <row r="304" ht="29" spans="1:11">
      <c r="A304" s="8" t="str">
        <f>'08_GDE_RISK_ENGINE'!A304</f>
        <v>P2QEB01 BR024</v>
      </c>
      <c r="B304" s="8" t="str">
        <f>'08_GDE_RISK_ENGINE'!B304</f>
        <v>Piping</v>
      </c>
      <c r="C304" s="8" t="str">
        <f>'08_GDE_RISK_ENGINE'!C304</f>
        <v>BOP/Utility</v>
      </c>
      <c r="D304" s="8" t="str">
        <f>'08_GDE_RISK_ENGINE'!D304</f>
        <v>CL-BOPUT-QEB-AIR-SS304L-V-T1_BELOW_80C</v>
      </c>
      <c r="E304" s="8">
        <f>'08_GDE_RISK_ENGINE'!E304</f>
        <v>1</v>
      </c>
      <c r="F304" s="8">
        <f>'08_GDE_RISK_ENGINE'!F304</f>
        <v>2</v>
      </c>
      <c r="G304" s="8" t="str">
        <f>'08_GDE_RISK_ENGINE'!G304</f>
        <v>Low</v>
      </c>
      <c r="H304" s="8">
        <f>IF(A304="","",MIN(5,E304+'14_GDE_RISK_MATRIX_DASHBOARD'!$C$6))</f>
        <v>2</v>
      </c>
      <c r="I304" s="8">
        <f>IF(A304="","",MAX(1,E304-'14_GDE_RISK_MATRIX_DASHBOARD'!$C$7))</f>
        <v>1</v>
      </c>
      <c r="J304" s="8" t="str">
        <f t="shared" si="8"/>
        <v>Medium</v>
      </c>
      <c r="K304" s="8" t="str">
        <f t="shared" si="9"/>
        <v>Medium</v>
      </c>
    </row>
    <row r="305" ht="29" spans="1:11">
      <c r="A305" s="8" t="str">
        <f>'08_GDE_RISK_ENGINE'!A305</f>
        <v>P2QEB01 BR025</v>
      </c>
      <c r="B305" s="8" t="str">
        <f>'08_GDE_RISK_ENGINE'!B305</f>
        <v>Piping</v>
      </c>
      <c r="C305" s="8" t="str">
        <f>'08_GDE_RISK_ENGINE'!C305</f>
        <v>BOP/Utility</v>
      </c>
      <c r="D305" s="8" t="str">
        <f>'08_GDE_RISK_ENGINE'!D305</f>
        <v>CL-BOPUT-QEB-AIR-SS304L-V-T1_BELOW_80C</v>
      </c>
      <c r="E305" s="8">
        <f>'08_GDE_RISK_ENGINE'!E305</f>
        <v>1</v>
      </c>
      <c r="F305" s="8">
        <f>'08_GDE_RISK_ENGINE'!F305</f>
        <v>2</v>
      </c>
      <c r="G305" s="8" t="str">
        <f>'08_GDE_RISK_ENGINE'!G305</f>
        <v>Low</v>
      </c>
      <c r="H305" s="8">
        <f>IF(A305="","",MIN(5,E305+'14_GDE_RISK_MATRIX_DASHBOARD'!$C$6))</f>
        <v>2</v>
      </c>
      <c r="I305" s="8">
        <f>IF(A305="","",MAX(1,E305-'14_GDE_RISK_MATRIX_DASHBOARD'!$C$7))</f>
        <v>1</v>
      </c>
      <c r="J305" s="8" t="str">
        <f t="shared" si="8"/>
        <v>Medium</v>
      </c>
      <c r="K305" s="8" t="str">
        <f t="shared" si="9"/>
        <v>Medium</v>
      </c>
    </row>
    <row r="306" ht="29" spans="1:11">
      <c r="A306" s="8" t="str">
        <f>'08_GDE_RISK_ENGINE'!A306</f>
        <v>P2QEB01 BR026</v>
      </c>
      <c r="B306" s="8" t="str">
        <f>'08_GDE_RISK_ENGINE'!B306</f>
        <v>Piping</v>
      </c>
      <c r="C306" s="8" t="str">
        <f>'08_GDE_RISK_ENGINE'!C306</f>
        <v>BOP/Utility</v>
      </c>
      <c r="D306" s="8" t="str">
        <f>'08_GDE_RISK_ENGINE'!D306</f>
        <v>CL-BOPUT-QEB-AIR-SS304L-V-T1_BELOW_80C</v>
      </c>
      <c r="E306" s="8">
        <f>'08_GDE_RISK_ENGINE'!E306</f>
        <v>1</v>
      </c>
      <c r="F306" s="8">
        <f>'08_GDE_RISK_ENGINE'!F306</f>
        <v>2</v>
      </c>
      <c r="G306" s="8" t="str">
        <f>'08_GDE_RISK_ENGINE'!G306</f>
        <v>Low</v>
      </c>
      <c r="H306" s="8">
        <f>IF(A306="","",MIN(5,E306+'14_GDE_RISK_MATRIX_DASHBOARD'!$C$6))</f>
        <v>2</v>
      </c>
      <c r="I306" s="8">
        <f>IF(A306="","",MAX(1,E306-'14_GDE_RISK_MATRIX_DASHBOARD'!$C$7))</f>
        <v>1</v>
      </c>
      <c r="J306" s="8" t="str">
        <f t="shared" si="8"/>
        <v>Medium</v>
      </c>
      <c r="K306" s="8" t="str">
        <f t="shared" si="9"/>
        <v>Medium</v>
      </c>
    </row>
    <row r="307" ht="29" spans="1:11">
      <c r="A307" s="8" t="str">
        <f>'08_GDE_RISK_ENGINE'!A307</f>
        <v>P2QEB01 BR027</v>
      </c>
      <c r="B307" s="8" t="str">
        <f>'08_GDE_RISK_ENGINE'!B307</f>
        <v>Piping</v>
      </c>
      <c r="C307" s="8" t="str">
        <f>'08_GDE_RISK_ENGINE'!C307</f>
        <v>BOP/Utility</v>
      </c>
      <c r="D307" s="8" t="str">
        <f>'08_GDE_RISK_ENGINE'!D307</f>
        <v>CL-BOPUT-QEB-AIR-SS304L-V-T1_BELOW_80C</v>
      </c>
      <c r="E307" s="8">
        <f>'08_GDE_RISK_ENGINE'!E307</f>
        <v>1</v>
      </c>
      <c r="F307" s="8">
        <f>'08_GDE_RISK_ENGINE'!F307</f>
        <v>2</v>
      </c>
      <c r="G307" s="8" t="str">
        <f>'08_GDE_RISK_ENGINE'!G307</f>
        <v>Low</v>
      </c>
      <c r="H307" s="8">
        <f>IF(A307="","",MIN(5,E307+'14_GDE_RISK_MATRIX_DASHBOARD'!$C$6))</f>
        <v>2</v>
      </c>
      <c r="I307" s="8">
        <f>IF(A307="","",MAX(1,E307-'14_GDE_RISK_MATRIX_DASHBOARD'!$C$7))</f>
        <v>1</v>
      </c>
      <c r="J307" s="8" t="str">
        <f t="shared" si="8"/>
        <v>Medium</v>
      </c>
      <c r="K307" s="8" t="str">
        <f t="shared" si="9"/>
        <v>Medium</v>
      </c>
    </row>
    <row r="308" ht="29" spans="1:11">
      <c r="A308" s="8" t="str">
        <f>'08_GDE_RISK_ENGINE'!A308</f>
        <v>P2QEB01 BR028</v>
      </c>
      <c r="B308" s="8" t="str">
        <f>'08_GDE_RISK_ENGINE'!B308</f>
        <v>Piping</v>
      </c>
      <c r="C308" s="8" t="str">
        <f>'08_GDE_RISK_ENGINE'!C308</f>
        <v>BOP/Utility</v>
      </c>
      <c r="D308" s="8" t="str">
        <f>'08_GDE_RISK_ENGINE'!D308</f>
        <v>CL-BOPUT-QEB-AIR-SS304L-V-T1_BELOW_80C</v>
      </c>
      <c r="E308" s="8">
        <f>'08_GDE_RISK_ENGINE'!E308</f>
        <v>1</v>
      </c>
      <c r="F308" s="8">
        <f>'08_GDE_RISK_ENGINE'!F308</f>
        <v>2</v>
      </c>
      <c r="G308" s="8" t="str">
        <f>'08_GDE_RISK_ENGINE'!G308</f>
        <v>Low</v>
      </c>
      <c r="H308" s="8">
        <f>IF(A308="","",MIN(5,E308+'14_GDE_RISK_MATRIX_DASHBOARD'!$C$6))</f>
        <v>2</v>
      </c>
      <c r="I308" s="8">
        <f>IF(A308="","",MAX(1,E308-'14_GDE_RISK_MATRIX_DASHBOARD'!$C$7))</f>
        <v>1</v>
      </c>
      <c r="J308" s="8" t="str">
        <f t="shared" si="8"/>
        <v>Medium</v>
      </c>
      <c r="K308" s="8" t="str">
        <f t="shared" si="9"/>
        <v>Medium</v>
      </c>
    </row>
    <row r="309" ht="29" spans="1:11">
      <c r="A309" s="8" t="str">
        <f>'08_GDE_RISK_ENGINE'!A309</f>
        <v>P2QEB01 BR029</v>
      </c>
      <c r="B309" s="8" t="str">
        <f>'08_GDE_RISK_ENGINE'!B309</f>
        <v>Piping</v>
      </c>
      <c r="C309" s="8" t="str">
        <f>'08_GDE_RISK_ENGINE'!C309</f>
        <v>BOP/Utility</v>
      </c>
      <c r="D309" s="8" t="str">
        <f>'08_GDE_RISK_ENGINE'!D309</f>
        <v>CL-BOPUT-QEB-AIR-SS304L-V-T1_BELOW_80C</v>
      </c>
      <c r="E309" s="8">
        <f>'08_GDE_RISK_ENGINE'!E309</f>
        <v>1</v>
      </c>
      <c r="F309" s="8">
        <f>'08_GDE_RISK_ENGINE'!F309</f>
        <v>2</v>
      </c>
      <c r="G309" s="8" t="str">
        <f>'08_GDE_RISK_ENGINE'!G309</f>
        <v>Low</v>
      </c>
      <c r="H309" s="8">
        <f>IF(A309="","",MIN(5,E309+'14_GDE_RISK_MATRIX_DASHBOARD'!$C$6))</f>
        <v>2</v>
      </c>
      <c r="I309" s="8">
        <f>IF(A309="","",MAX(1,E309-'14_GDE_RISK_MATRIX_DASHBOARD'!$C$7))</f>
        <v>1</v>
      </c>
      <c r="J309" s="8" t="str">
        <f t="shared" si="8"/>
        <v>Medium</v>
      </c>
      <c r="K309" s="8" t="str">
        <f t="shared" si="9"/>
        <v>Medium</v>
      </c>
    </row>
    <row r="310" ht="29" spans="1:11">
      <c r="A310" s="8" t="str">
        <f>'08_GDE_RISK_ENGINE'!A310</f>
        <v>P2QEB01 BR030</v>
      </c>
      <c r="B310" s="8" t="str">
        <f>'08_GDE_RISK_ENGINE'!B310</f>
        <v>Piping</v>
      </c>
      <c r="C310" s="8" t="str">
        <f>'08_GDE_RISK_ENGINE'!C310</f>
        <v>BOP/Utility</v>
      </c>
      <c r="D310" s="8" t="str">
        <f>'08_GDE_RISK_ENGINE'!D310</f>
        <v>CL-BOPUT-QEB-AIR-SS304L-V-T1_BELOW_80C</v>
      </c>
      <c r="E310" s="8">
        <f>'08_GDE_RISK_ENGINE'!E310</f>
        <v>1</v>
      </c>
      <c r="F310" s="8">
        <f>'08_GDE_RISK_ENGINE'!F310</f>
        <v>2</v>
      </c>
      <c r="G310" s="8" t="str">
        <f>'08_GDE_RISK_ENGINE'!G310</f>
        <v>Low</v>
      </c>
      <c r="H310" s="8">
        <f>IF(A310="","",MIN(5,E310+'14_GDE_RISK_MATRIX_DASHBOARD'!$C$6))</f>
        <v>2</v>
      </c>
      <c r="I310" s="8">
        <f>IF(A310="","",MAX(1,E310-'14_GDE_RISK_MATRIX_DASHBOARD'!$C$7))</f>
        <v>1</v>
      </c>
      <c r="J310" s="8" t="str">
        <f t="shared" si="8"/>
        <v>Medium</v>
      </c>
      <c r="K310" s="8" t="str">
        <f t="shared" si="9"/>
        <v>Medium</v>
      </c>
    </row>
    <row r="311" ht="29" spans="1:11">
      <c r="A311" s="8" t="str">
        <f>'08_GDE_RISK_ENGINE'!A311</f>
        <v>P2QEB01 BR031</v>
      </c>
      <c r="B311" s="8" t="str">
        <f>'08_GDE_RISK_ENGINE'!B311</f>
        <v>Piping</v>
      </c>
      <c r="C311" s="8" t="str">
        <f>'08_GDE_RISK_ENGINE'!C311</f>
        <v>BOP/Utility</v>
      </c>
      <c r="D311" s="8" t="str">
        <f>'08_GDE_RISK_ENGINE'!D311</f>
        <v>CL-BOPUT-QEB-AIR-SS304L-V-T1_BELOW_80C</v>
      </c>
      <c r="E311" s="8">
        <f>'08_GDE_RISK_ENGINE'!E311</f>
        <v>1</v>
      </c>
      <c r="F311" s="8">
        <f>'08_GDE_RISK_ENGINE'!F311</f>
        <v>2</v>
      </c>
      <c r="G311" s="8" t="str">
        <f>'08_GDE_RISK_ENGINE'!G311</f>
        <v>Low</v>
      </c>
      <c r="H311" s="8">
        <f>IF(A311="","",MIN(5,E311+'14_GDE_RISK_MATRIX_DASHBOARD'!$C$6))</f>
        <v>2</v>
      </c>
      <c r="I311" s="8">
        <f>IF(A311="","",MAX(1,E311-'14_GDE_RISK_MATRIX_DASHBOARD'!$C$7))</f>
        <v>1</v>
      </c>
      <c r="J311" s="8" t="str">
        <f t="shared" si="8"/>
        <v>Medium</v>
      </c>
      <c r="K311" s="8" t="str">
        <f t="shared" si="9"/>
        <v>Medium</v>
      </c>
    </row>
    <row r="312" ht="29" spans="1:11">
      <c r="A312" s="8" t="str">
        <f>'08_GDE_RISK_ENGINE'!A312</f>
        <v>P2QEB01 BR032</v>
      </c>
      <c r="B312" s="8" t="str">
        <f>'08_GDE_RISK_ENGINE'!B312</f>
        <v>Piping</v>
      </c>
      <c r="C312" s="8" t="str">
        <f>'08_GDE_RISK_ENGINE'!C312</f>
        <v>BOP/Utility</v>
      </c>
      <c r="D312" s="8" t="str">
        <f>'08_GDE_RISK_ENGINE'!D312</f>
        <v>CL-BOPUT-QEB-AIR-SS304L-V-T1_BELOW_80C</v>
      </c>
      <c r="E312" s="8">
        <f>'08_GDE_RISK_ENGINE'!E312</f>
        <v>1</v>
      </c>
      <c r="F312" s="8">
        <f>'08_GDE_RISK_ENGINE'!F312</f>
        <v>2</v>
      </c>
      <c r="G312" s="8" t="str">
        <f>'08_GDE_RISK_ENGINE'!G312</f>
        <v>Low</v>
      </c>
      <c r="H312" s="8">
        <f>IF(A312="","",MIN(5,E312+'14_GDE_RISK_MATRIX_DASHBOARD'!$C$6))</f>
        <v>2</v>
      </c>
      <c r="I312" s="8">
        <f>IF(A312="","",MAX(1,E312-'14_GDE_RISK_MATRIX_DASHBOARD'!$C$7))</f>
        <v>1</v>
      </c>
      <c r="J312" s="8" t="str">
        <f t="shared" si="8"/>
        <v>Medium</v>
      </c>
      <c r="K312" s="8" t="str">
        <f t="shared" si="9"/>
        <v>Medium</v>
      </c>
    </row>
    <row r="313" ht="29" spans="1:11">
      <c r="A313" s="8" t="str">
        <f>'08_GDE_RISK_ENGINE'!A313</f>
        <v>P2QEB01 BR033</v>
      </c>
      <c r="B313" s="8" t="str">
        <f>'08_GDE_RISK_ENGINE'!B313</f>
        <v>Piping</v>
      </c>
      <c r="C313" s="8" t="str">
        <f>'08_GDE_RISK_ENGINE'!C313</f>
        <v>BOP/Utility</v>
      </c>
      <c r="D313" s="8" t="str">
        <f>'08_GDE_RISK_ENGINE'!D313</f>
        <v>CL-BOPUT-QEB-AIR-SS304L-V-T1_BELOW_80C</v>
      </c>
      <c r="E313" s="8">
        <f>'08_GDE_RISK_ENGINE'!E313</f>
        <v>1</v>
      </c>
      <c r="F313" s="8">
        <f>'08_GDE_RISK_ENGINE'!F313</f>
        <v>2</v>
      </c>
      <c r="G313" s="8" t="str">
        <f>'08_GDE_RISK_ENGINE'!G313</f>
        <v>Low</v>
      </c>
      <c r="H313" s="8">
        <f>IF(A313="","",MIN(5,E313+'14_GDE_RISK_MATRIX_DASHBOARD'!$C$6))</f>
        <v>2</v>
      </c>
      <c r="I313" s="8">
        <f>IF(A313="","",MAX(1,E313-'14_GDE_RISK_MATRIX_DASHBOARD'!$C$7))</f>
        <v>1</v>
      </c>
      <c r="J313" s="8" t="str">
        <f t="shared" si="8"/>
        <v>Medium</v>
      </c>
      <c r="K313" s="8" t="str">
        <f t="shared" si="9"/>
        <v>Medium</v>
      </c>
    </row>
    <row r="314" ht="29" spans="1:11">
      <c r="A314" s="8" t="str">
        <f>'08_GDE_RISK_ENGINE'!A314</f>
        <v>P2QCB01 BR001</v>
      </c>
      <c r="B314" s="8" t="str">
        <f>'08_GDE_RISK_ENGINE'!B314</f>
        <v>Piping</v>
      </c>
      <c r="C314" s="8" t="str">
        <f>'08_GDE_RISK_ENGINE'!C314</f>
        <v>BOP/Utility</v>
      </c>
      <c r="D314" s="8" t="str">
        <f>'08_GDE_RISK_ENGINE'!D314</f>
        <v>CL-BOPUT-QCB--SS304L--T0_UNKNOWN</v>
      </c>
      <c r="E314" s="8">
        <f>'08_GDE_RISK_ENGINE'!E314</f>
        <v>3</v>
      </c>
      <c r="F314" s="8">
        <f>'08_GDE_RISK_ENGINE'!F314</f>
        <v>2</v>
      </c>
      <c r="G314" s="8" t="str">
        <f>'08_GDE_RISK_ENGINE'!G314</f>
        <v>High</v>
      </c>
      <c r="H314" s="8">
        <f>IF(A314="","",MIN(5,E314+'14_GDE_RISK_MATRIX_DASHBOARD'!$C$6))</f>
        <v>4</v>
      </c>
      <c r="I314" s="8">
        <f>IF(A314="","",MAX(1,E314-'14_GDE_RISK_MATRIX_DASHBOARD'!$C$7))</f>
        <v>2</v>
      </c>
      <c r="J314" s="8" t="str">
        <f t="shared" si="8"/>
        <v>Medium</v>
      </c>
      <c r="K314" s="8" t="str">
        <f t="shared" si="9"/>
        <v>Medium</v>
      </c>
    </row>
    <row r="315" ht="29" spans="1:11">
      <c r="A315" s="8" t="str">
        <f>'08_GDE_RISK_ENGINE'!A315</f>
        <v>P2QCH01 BR013</v>
      </c>
      <c r="B315" s="8" t="str">
        <f>'08_GDE_RISK_ENGINE'!B315</f>
        <v>Piping</v>
      </c>
      <c r="C315" s="8" t="str">
        <f>'08_GDE_RISK_ENGINE'!C315</f>
        <v>BOP/Utility</v>
      </c>
      <c r="D315" s="8" t="str">
        <f>'08_GDE_RISK_ENGINE'!D315</f>
        <v>CL-BOPUT-QCH--CS--T1_BELOW_80C</v>
      </c>
      <c r="E315" s="8">
        <f>'08_GDE_RISK_ENGINE'!E315</f>
        <v>3</v>
      </c>
      <c r="F315" s="8">
        <f>'08_GDE_RISK_ENGINE'!F315</f>
        <v>2</v>
      </c>
      <c r="G315" s="8" t="str">
        <f>'08_GDE_RISK_ENGINE'!G315</f>
        <v>High</v>
      </c>
      <c r="H315" s="8">
        <f>IF(A315="","",MIN(5,E315+'14_GDE_RISK_MATRIX_DASHBOARD'!$C$6))</f>
        <v>4</v>
      </c>
      <c r="I315" s="8">
        <f>IF(A315="","",MAX(1,E315-'14_GDE_RISK_MATRIX_DASHBOARD'!$C$7))</f>
        <v>2</v>
      </c>
      <c r="J315" s="8" t="str">
        <f t="shared" si="8"/>
        <v>Medium</v>
      </c>
      <c r="K315" s="8" t="str">
        <f t="shared" si="9"/>
        <v>Medium</v>
      </c>
    </row>
    <row r="316" ht="29" spans="1:11">
      <c r="A316" s="8" t="str">
        <f>'08_GDE_RISK_ENGINE'!A316</f>
        <v>P2QCH01 BR012</v>
      </c>
      <c r="B316" s="8" t="str">
        <f>'08_GDE_RISK_ENGINE'!B316</f>
        <v>Piping</v>
      </c>
      <c r="C316" s="8" t="str">
        <f>'08_GDE_RISK_ENGINE'!C316</f>
        <v>BOP/Utility</v>
      </c>
      <c r="D316" s="8" t="str">
        <f>'08_GDE_RISK_ENGINE'!D316</f>
        <v>CL-BOPUT-QCH--CS--T0_UNKNOWN</v>
      </c>
      <c r="E316" s="8">
        <f>'08_GDE_RISK_ENGINE'!E316</f>
        <v>3</v>
      </c>
      <c r="F316" s="8">
        <f>'08_GDE_RISK_ENGINE'!F316</f>
        <v>2</v>
      </c>
      <c r="G316" s="8" t="str">
        <f>'08_GDE_RISK_ENGINE'!G316</f>
        <v>High</v>
      </c>
      <c r="H316" s="8">
        <f>IF(A316="","",MIN(5,E316+'14_GDE_RISK_MATRIX_DASHBOARD'!$C$6))</f>
        <v>4</v>
      </c>
      <c r="I316" s="8">
        <f>IF(A316="","",MAX(1,E316-'14_GDE_RISK_MATRIX_DASHBOARD'!$C$7))</f>
        <v>2</v>
      </c>
      <c r="J316" s="8" t="str">
        <f t="shared" si="8"/>
        <v>Medium</v>
      </c>
      <c r="K316" s="8" t="str">
        <f t="shared" si="9"/>
        <v>Medium</v>
      </c>
    </row>
    <row r="317" ht="29" spans="1:11">
      <c r="A317" s="8" t="str">
        <f>'08_GDE_RISK_ENGINE'!A317</f>
        <v>P2QCH01 BR007</v>
      </c>
      <c r="B317" s="8" t="str">
        <f>'08_GDE_RISK_ENGINE'!B317</f>
        <v>Piping</v>
      </c>
      <c r="C317" s="8" t="str">
        <f>'08_GDE_RISK_ENGINE'!C317</f>
        <v>BOP/Utility</v>
      </c>
      <c r="D317" s="8" t="str">
        <f>'08_GDE_RISK_ENGINE'!D317</f>
        <v>CL-BOPUT-QCH--CS--T1_BELOW_80C</v>
      </c>
      <c r="E317" s="8">
        <f>'08_GDE_RISK_ENGINE'!E317</f>
        <v>3</v>
      </c>
      <c r="F317" s="8">
        <f>'08_GDE_RISK_ENGINE'!F317</f>
        <v>2</v>
      </c>
      <c r="G317" s="8" t="str">
        <f>'08_GDE_RISK_ENGINE'!G317</f>
        <v>High</v>
      </c>
      <c r="H317" s="8">
        <f>IF(A317="","",MIN(5,E317+'14_GDE_RISK_MATRIX_DASHBOARD'!$C$6))</f>
        <v>4</v>
      </c>
      <c r="I317" s="8">
        <f>IF(A317="","",MAX(1,E317-'14_GDE_RISK_MATRIX_DASHBOARD'!$C$7))</f>
        <v>2</v>
      </c>
      <c r="J317" s="8" t="str">
        <f t="shared" si="8"/>
        <v>Medium</v>
      </c>
      <c r="K317" s="8" t="str">
        <f t="shared" si="9"/>
        <v>Medium</v>
      </c>
    </row>
    <row r="318" ht="29" spans="1:11">
      <c r="A318" s="8" t="str">
        <f>'08_GDE_RISK_ENGINE'!A318</f>
        <v>P2QCH02 BR001</v>
      </c>
      <c r="B318" s="8" t="str">
        <f>'08_GDE_RISK_ENGINE'!B318</f>
        <v>Piping</v>
      </c>
      <c r="C318" s="8" t="str">
        <f>'08_GDE_RISK_ENGINE'!C318</f>
        <v>BOP/Utility</v>
      </c>
      <c r="D318" s="8" t="str">
        <f>'08_GDE_RISK_ENGINE'!D318</f>
        <v>CL-BOPUT-QCH--CS--T0_UNKNOWN</v>
      </c>
      <c r="E318" s="8">
        <f>'08_GDE_RISK_ENGINE'!E318</f>
        <v>3</v>
      </c>
      <c r="F318" s="8">
        <f>'08_GDE_RISK_ENGINE'!F318</f>
        <v>2</v>
      </c>
      <c r="G318" s="8" t="str">
        <f>'08_GDE_RISK_ENGINE'!G318</f>
        <v>High</v>
      </c>
      <c r="H318" s="8">
        <f>IF(A318="","",MIN(5,E318+'14_GDE_RISK_MATRIX_DASHBOARD'!$C$6))</f>
        <v>4</v>
      </c>
      <c r="I318" s="8">
        <f>IF(A318="","",MAX(1,E318-'14_GDE_RISK_MATRIX_DASHBOARD'!$C$7))</f>
        <v>2</v>
      </c>
      <c r="J318" s="8" t="str">
        <f t="shared" si="8"/>
        <v>Medium</v>
      </c>
      <c r="K318" s="8" t="str">
        <f t="shared" si="9"/>
        <v>Medium</v>
      </c>
    </row>
    <row r="319" ht="29" spans="1:11">
      <c r="A319" s="8" t="str">
        <f>'08_GDE_RISK_ENGINE'!A319</f>
        <v>P2QCH01 BR002</v>
      </c>
      <c r="B319" s="8" t="str">
        <f>'08_GDE_RISK_ENGINE'!B319</f>
        <v>Piping</v>
      </c>
      <c r="C319" s="8" t="str">
        <f>'08_GDE_RISK_ENGINE'!C319</f>
        <v>BOP/Utility</v>
      </c>
      <c r="D319" s="8" t="str">
        <f>'08_GDE_RISK_ENGINE'!D319</f>
        <v>CL-BOPUT-QCH--CS--T0_UNKNOWN</v>
      </c>
      <c r="E319" s="8">
        <f>'08_GDE_RISK_ENGINE'!E319</f>
        <v>3</v>
      </c>
      <c r="F319" s="8">
        <f>'08_GDE_RISK_ENGINE'!F319</f>
        <v>2</v>
      </c>
      <c r="G319" s="8" t="str">
        <f>'08_GDE_RISK_ENGINE'!G319</f>
        <v>High</v>
      </c>
      <c r="H319" s="8">
        <f>IF(A319="","",MIN(5,E319+'14_GDE_RISK_MATRIX_DASHBOARD'!$C$6))</f>
        <v>4</v>
      </c>
      <c r="I319" s="8">
        <f>IF(A319="","",MAX(1,E319-'14_GDE_RISK_MATRIX_DASHBOARD'!$C$7))</f>
        <v>2</v>
      </c>
      <c r="J319" s="8" t="str">
        <f t="shared" si="8"/>
        <v>Medium</v>
      </c>
      <c r="K319" s="8" t="str">
        <f t="shared" si="9"/>
        <v>Medium</v>
      </c>
    </row>
    <row r="320" ht="29" spans="1:11">
      <c r="A320" s="8" t="str">
        <f>'08_GDE_RISK_ENGINE'!A320</f>
        <v>P2QCH02 BR002</v>
      </c>
      <c r="B320" s="8" t="str">
        <f>'08_GDE_RISK_ENGINE'!B320</f>
        <v>Piping</v>
      </c>
      <c r="C320" s="8" t="str">
        <f>'08_GDE_RISK_ENGINE'!C320</f>
        <v>BOP/Utility</v>
      </c>
      <c r="D320" s="8" t="str">
        <f>'08_GDE_RISK_ENGINE'!D320</f>
        <v>CL-BOPUT-QCH--CS--T0_UNKNOWN</v>
      </c>
      <c r="E320" s="8">
        <f>'08_GDE_RISK_ENGINE'!E320</f>
        <v>3</v>
      </c>
      <c r="F320" s="8">
        <f>'08_GDE_RISK_ENGINE'!F320</f>
        <v>2</v>
      </c>
      <c r="G320" s="8" t="str">
        <f>'08_GDE_RISK_ENGINE'!G320</f>
        <v>High</v>
      </c>
      <c r="H320" s="8">
        <f>IF(A320="","",MIN(5,E320+'14_GDE_RISK_MATRIX_DASHBOARD'!$C$6))</f>
        <v>4</v>
      </c>
      <c r="I320" s="8">
        <f>IF(A320="","",MAX(1,E320-'14_GDE_RISK_MATRIX_DASHBOARD'!$C$7))</f>
        <v>2</v>
      </c>
      <c r="J320" s="8" t="str">
        <f t="shared" si="8"/>
        <v>Medium</v>
      </c>
      <c r="K320" s="8" t="str">
        <f t="shared" si="9"/>
        <v>Medium</v>
      </c>
    </row>
    <row r="321" ht="29" spans="1:11">
      <c r="A321" s="8" t="str">
        <f>'08_GDE_RISK_ENGINE'!A321</f>
        <v>P2QCH01 BR010</v>
      </c>
      <c r="B321" s="8" t="str">
        <f>'08_GDE_RISK_ENGINE'!B321</f>
        <v>Piping</v>
      </c>
      <c r="C321" s="8" t="str">
        <f>'08_GDE_RISK_ENGINE'!C321</f>
        <v>BOP/Utility</v>
      </c>
      <c r="D321" s="8" t="str">
        <f>'08_GDE_RISK_ENGINE'!D321</f>
        <v>CL-BOPUT-QCH--CS--T0_UNKNOWN</v>
      </c>
      <c r="E321" s="8">
        <f>'08_GDE_RISK_ENGINE'!E321</f>
        <v>3</v>
      </c>
      <c r="F321" s="8">
        <f>'08_GDE_RISK_ENGINE'!F321</f>
        <v>2</v>
      </c>
      <c r="G321" s="8" t="str">
        <f>'08_GDE_RISK_ENGINE'!G321</f>
        <v>High</v>
      </c>
      <c r="H321" s="8">
        <f>IF(A321="","",MIN(5,E321+'14_GDE_RISK_MATRIX_DASHBOARD'!$C$6))</f>
        <v>4</v>
      </c>
      <c r="I321" s="8">
        <f>IF(A321="","",MAX(1,E321-'14_GDE_RISK_MATRIX_DASHBOARD'!$C$7))</f>
        <v>2</v>
      </c>
      <c r="J321" s="8" t="str">
        <f t="shared" si="8"/>
        <v>Medium</v>
      </c>
      <c r="K321" s="8" t="str">
        <f t="shared" si="9"/>
        <v>Medium</v>
      </c>
    </row>
    <row r="322" ht="29" spans="1:11">
      <c r="A322" s="8" t="str">
        <f>'08_GDE_RISK_ENGINE'!A322</f>
        <v>P2QCH01 BR014</v>
      </c>
      <c r="B322" s="8" t="str">
        <f>'08_GDE_RISK_ENGINE'!B322</f>
        <v>Piping</v>
      </c>
      <c r="C322" s="8" t="str">
        <f>'08_GDE_RISK_ENGINE'!C322</f>
        <v>BOP/Utility</v>
      </c>
      <c r="D322" s="8" t="str">
        <f>'08_GDE_RISK_ENGINE'!D322</f>
        <v>CL-BOPUT-QCH--CS--T0_UNKNOWN</v>
      </c>
      <c r="E322" s="8">
        <f>'08_GDE_RISK_ENGINE'!E322</f>
        <v>3</v>
      </c>
      <c r="F322" s="8">
        <f>'08_GDE_RISK_ENGINE'!F322</f>
        <v>2</v>
      </c>
      <c r="G322" s="8" t="str">
        <f>'08_GDE_RISK_ENGINE'!G322</f>
        <v>High</v>
      </c>
      <c r="H322" s="8">
        <f>IF(A322="","",MIN(5,E322+'14_GDE_RISK_MATRIX_DASHBOARD'!$C$6))</f>
        <v>4</v>
      </c>
      <c r="I322" s="8">
        <f>IF(A322="","",MAX(1,E322-'14_GDE_RISK_MATRIX_DASHBOARD'!$C$7))</f>
        <v>2</v>
      </c>
      <c r="J322" s="8" t="str">
        <f t="shared" si="8"/>
        <v>Medium</v>
      </c>
      <c r="K322" s="8" t="str">
        <f t="shared" si="9"/>
        <v>Medium</v>
      </c>
    </row>
    <row r="323" ht="29" spans="1:11">
      <c r="A323" s="8" t="str">
        <f>'08_GDE_RISK_ENGINE'!A323</f>
        <v>P2QCH01 BR003</v>
      </c>
      <c r="B323" s="8" t="str">
        <f>'08_GDE_RISK_ENGINE'!B323</f>
        <v>Piping</v>
      </c>
      <c r="C323" s="8" t="str">
        <f>'08_GDE_RISK_ENGINE'!C323</f>
        <v>BOP/Utility</v>
      </c>
      <c r="D323" s="8" t="str">
        <f>'08_GDE_RISK_ENGINE'!D323</f>
        <v>CL-BOPUT-QCH--CS--T0_UNKNOWN</v>
      </c>
      <c r="E323" s="8">
        <f>'08_GDE_RISK_ENGINE'!E323</f>
        <v>3</v>
      </c>
      <c r="F323" s="8">
        <f>'08_GDE_RISK_ENGINE'!F323</f>
        <v>2</v>
      </c>
      <c r="G323" s="8" t="str">
        <f>'08_GDE_RISK_ENGINE'!G323</f>
        <v>High</v>
      </c>
      <c r="H323" s="8">
        <f>IF(A323="","",MIN(5,E323+'14_GDE_RISK_MATRIX_DASHBOARD'!$C$6))</f>
        <v>4</v>
      </c>
      <c r="I323" s="8">
        <f>IF(A323="","",MAX(1,E323-'14_GDE_RISK_MATRIX_DASHBOARD'!$C$7))</f>
        <v>2</v>
      </c>
      <c r="J323" s="8" t="str">
        <f t="shared" si="8"/>
        <v>Medium</v>
      </c>
      <c r="K323" s="8" t="str">
        <f t="shared" si="9"/>
        <v>Medium</v>
      </c>
    </row>
    <row r="324" ht="29" spans="1:11">
      <c r="A324" s="8" t="str">
        <f>'08_GDE_RISK_ENGINE'!A324</f>
        <v>P2QCH01 BR004</v>
      </c>
      <c r="B324" s="8" t="str">
        <f>'08_GDE_RISK_ENGINE'!B324</f>
        <v>Piping</v>
      </c>
      <c r="C324" s="8" t="str">
        <f>'08_GDE_RISK_ENGINE'!C324</f>
        <v>BOP/Utility</v>
      </c>
      <c r="D324" s="8" t="str">
        <f>'08_GDE_RISK_ENGINE'!D324</f>
        <v>CL-BOPUT-QCH--CS--T0_UNKNOWN</v>
      </c>
      <c r="E324" s="8">
        <f>'08_GDE_RISK_ENGINE'!E324</f>
        <v>3</v>
      </c>
      <c r="F324" s="8">
        <f>'08_GDE_RISK_ENGINE'!F324</f>
        <v>2</v>
      </c>
      <c r="G324" s="8" t="str">
        <f>'08_GDE_RISK_ENGINE'!G324</f>
        <v>High</v>
      </c>
      <c r="H324" s="8">
        <f>IF(A324="","",MIN(5,E324+'14_GDE_RISK_MATRIX_DASHBOARD'!$C$6))</f>
        <v>4</v>
      </c>
      <c r="I324" s="8">
        <f>IF(A324="","",MAX(1,E324-'14_GDE_RISK_MATRIX_DASHBOARD'!$C$7))</f>
        <v>2</v>
      </c>
      <c r="J324" s="8" t="str">
        <f t="shared" ref="J324:J387" si="10">IF(A324="","",IF(OR(AND(H324&gt;=4,F324&gt;=4),AND(H324=5,F324&gt;=3)),"Extreme High",IF(OR(AND(H324&gt;=3,F324&gt;=3),AND(F324=5,H324&gt;=2)),"High",IF(OR(H324&gt;=2,F324&gt;=2),"Medium","Low"))))</f>
        <v>Medium</v>
      </c>
      <c r="K324" s="8" t="str">
        <f t="shared" ref="K324:K387" si="11">IF(A324="","",IF(OR(AND(I324&gt;=4,F324&gt;=4),AND(I324=5,F324&gt;=3)),"Extreme High",IF(OR(AND(I324&gt;=3,F324&gt;=3),AND(F324=5,I324&gt;=2)),"High",IF(OR(I324&gt;=2,F324&gt;=2),"Medium","Low"))))</f>
        <v>Medium</v>
      </c>
    </row>
    <row r="325" ht="29" spans="1:11">
      <c r="A325" s="8" t="str">
        <f>'08_GDE_RISK_ENGINE'!A325</f>
        <v>P2PCC04 BR001</v>
      </c>
      <c r="B325" s="8" t="str">
        <f>'08_GDE_RISK_ENGINE'!B325</f>
        <v>Piping</v>
      </c>
      <c r="C325" s="8" t="str">
        <f>'08_GDE_RISK_ENGINE'!C325</f>
        <v>BOP/Utility</v>
      </c>
      <c r="D325" s="8" t="str">
        <f>'08_GDE_RISK_ENGINE'!D325</f>
        <v>CL-BOPUT-PCC--SS316L--T1_BELOW_80C</v>
      </c>
      <c r="E325" s="8">
        <f>'08_GDE_RISK_ENGINE'!E325</f>
        <v>2</v>
      </c>
      <c r="F325" s="8">
        <f>'08_GDE_RISK_ENGINE'!F325</f>
        <v>2</v>
      </c>
      <c r="G325" s="8" t="str">
        <f>'08_GDE_RISK_ENGINE'!G325</f>
        <v>Medium</v>
      </c>
      <c r="H325" s="8">
        <f>IF(A325="","",MIN(5,E325+'14_GDE_RISK_MATRIX_DASHBOARD'!$C$6))</f>
        <v>3</v>
      </c>
      <c r="I325" s="8">
        <f>IF(A325="","",MAX(1,E325-'14_GDE_RISK_MATRIX_DASHBOARD'!$C$7))</f>
        <v>1</v>
      </c>
      <c r="J325" s="8" t="str">
        <f t="shared" si="10"/>
        <v>Medium</v>
      </c>
      <c r="K325" s="8" t="str">
        <f t="shared" si="11"/>
        <v>Medium</v>
      </c>
    </row>
    <row r="326" ht="29" spans="1:11">
      <c r="A326" s="8" t="str">
        <f>'08_GDE_RISK_ENGINE'!A326</f>
        <v>P2PCC04 BR002</v>
      </c>
      <c r="B326" s="8" t="str">
        <f>'08_GDE_RISK_ENGINE'!B326</f>
        <v>Piping</v>
      </c>
      <c r="C326" s="8" t="str">
        <f>'08_GDE_RISK_ENGINE'!C326</f>
        <v>BOP/Utility</v>
      </c>
      <c r="D326" s="8" t="str">
        <f>'08_GDE_RISK_ENGINE'!D326</f>
        <v>CL-BOPUT-PCC--SS316L--T0_UNKNOWN</v>
      </c>
      <c r="E326" s="8">
        <f>'08_GDE_RISK_ENGINE'!E326</f>
        <v>2</v>
      </c>
      <c r="F326" s="8">
        <f>'08_GDE_RISK_ENGINE'!F326</f>
        <v>2</v>
      </c>
      <c r="G326" s="8" t="str">
        <f>'08_GDE_RISK_ENGINE'!G326</f>
        <v>Medium</v>
      </c>
      <c r="H326" s="8">
        <f>IF(A326="","",MIN(5,E326+'14_GDE_RISK_MATRIX_DASHBOARD'!$C$6))</f>
        <v>3</v>
      </c>
      <c r="I326" s="8">
        <f>IF(A326="","",MAX(1,E326-'14_GDE_RISK_MATRIX_DASHBOARD'!$C$7))</f>
        <v>1</v>
      </c>
      <c r="J326" s="8" t="str">
        <f t="shared" si="10"/>
        <v>Medium</v>
      </c>
      <c r="K326" s="8" t="str">
        <f t="shared" si="11"/>
        <v>Medium</v>
      </c>
    </row>
    <row r="327" ht="29" spans="1:11">
      <c r="A327" s="8" t="str">
        <f>'08_GDE_RISK_ENGINE'!A327</f>
        <v>P2PCC04 BR003</v>
      </c>
      <c r="B327" s="8" t="str">
        <f>'08_GDE_RISK_ENGINE'!B327</f>
        <v>Piping</v>
      </c>
      <c r="C327" s="8" t="str">
        <f>'08_GDE_RISK_ENGINE'!C327</f>
        <v>BOP/Utility</v>
      </c>
      <c r="D327" s="8" t="str">
        <f>'08_GDE_RISK_ENGINE'!D327</f>
        <v>CL-BOPUT-PCC--SS316L--T0_UNKNOWN</v>
      </c>
      <c r="E327" s="8">
        <f>'08_GDE_RISK_ENGINE'!E327</f>
        <v>2</v>
      </c>
      <c r="F327" s="8">
        <f>'08_GDE_RISK_ENGINE'!F327</f>
        <v>2</v>
      </c>
      <c r="G327" s="8" t="str">
        <f>'08_GDE_RISK_ENGINE'!G327</f>
        <v>Medium</v>
      </c>
      <c r="H327" s="8">
        <f>IF(A327="","",MIN(5,E327+'14_GDE_RISK_MATRIX_DASHBOARD'!$C$6))</f>
        <v>3</v>
      </c>
      <c r="I327" s="8">
        <f>IF(A327="","",MAX(1,E327-'14_GDE_RISK_MATRIX_DASHBOARD'!$C$7))</f>
        <v>1</v>
      </c>
      <c r="J327" s="8" t="str">
        <f t="shared" si="10"/>
        <v>Medium</v>
      </c>
      <c r="K327" s="8" t="str">
        <f t="shared" si="11"/>
        <v>Medium</v>
      </c>
    </row>
    <row r="328" ht="29" spans="1:11">
      <c r="A328" s="8" t="str">
        <f>'08_GDE_RISK_ENGINE'!A328</f>
        <v>P2PCC04 BR004</v>
      </c>
      <c r="B328" s="8" t="str">
        <f>'08_GDE_RISK_ENGINE'!B328</f>
        <v>Piping</v>
      </c>
      <c r="C328" s="8" t="str">
        <f>'08_GDE_RISK_ENGINE'!C328</f>
        <v>BOP/Utility</v>
      </c>
      <c r="D328" s="8" t="str">
        <f>'08_GDE_RISK_ENGINE'!D328</f>
        <v>CL-BOPUT-PCC--SS316L--T0_UNKNOWN</v>
      </c>
      <c r="E328" s="8">
        <f>'08_GDE_RISK_ENGINE'!E328</f>
        <v>2</v>
      </c>
      <c r="F328" s="8">
        <f>'08_GDE_RISK_ENGINE'!F328</f>
        <v>2</v>
      </c>
      <c r="G328" s="8" t="str">
        <f>'08_GDE_RISK_ENGINE'!G328</f>
        <v>Medium</v>
      </c>
      <c r="H328" s="8">
        <f>IF(A328="","",MIN(5,E328+'14_GDE_RISK_MATRIX_DASHBOARD'!$C$6))</f>
        <v>3</v>
      </c>
      <c r="I328" s="8">
        <f>IF(A328="","",MAX(1,E328-'14_GDE_RISK_MATRIX_DASHBOARD'!$C$7))</f>
        <v>1</v>
      </c>
      <c r="J328" s="8" t="str">
        <f t="shared" si="10"/>
        <v>Medium</v>
      </c>
      <c r="K328" s="8" t="str">
        <f t="shared" si="11"/>
        <v>Medium</v>
      </c>
    </row>
    <row r="329" ht="29" spans="1:11">
      <c r="A329" s="8" t="str">
        <f>'08_GDE_RISK_ENGINE'!A329</f>
        <v>P2PCC04 BR005</v>
      </c>
      <c r="B329" s="8" t="str">
        <f>'08_GDE_RISK_ENGINE'!B329</f>
        <v>Piping</v>
      </c>
      <c r="C329" s="8" t="str">
        <f>'08_GDE_RISK_ENGINE'!C329</f>
        <v>BOP/Utility</v>
      </c>
      <c r="D329" s="8" t="str">
        <f>'08_GDE_RISK_ENGINE'!D329</f>
        <v>CL-BOPUT-PCC--SS316L--T0_UNKNOWN</v>
      </c>
      <c r="E329" s="8">
        <f>'08_GDE_RISK_ENGINE'!E329</f>
        <v>2</v>
      </c>
      <c r="F329" s="8">
        <f>'08_GDE_RISK_ENGINE'!F329</f>
        <v>2</v>
      </c>
      <c r="G329" s="8" t="str">
        <f>'08_GDE_RISK_ENGINE'!G329</f>
        <v>Medium</v>
      </c>
      <c r="H329" s="8">
        <f>IF(A329="","",MIN(5,E329+'14_GDE_RISK_MATRIX_DASHBOARD'!$C$6))</f>
        <v>3</v>
      </c>
      <c r="I329" s="8">
        <f>IF(A329="","",MAX(1,E329-'14_GDE_RISK_MATRIX_DASHBOARD'!$C$7))</f>
        <v>1</v>
      </c>
      <c r="J329" s="8" t="str">
        <f t="shared" si="10"/>
        <v>Medium</v>
      </c>
      <c r="K329" s="8" t="str">
        <f t="shared" si="11"/>
        <v>Medium</v>
      </c>
    </row>
    <row r="330" ht="29" spans="1:11">
      <c r="A330" s="8" t="str">
        <f>'08_GDE_RISK_ENGINE'!A330</f>
        <v>P2PCC04 BR010</v>
      </c>
      <c r="B330" s="8" t="str">
        <f>'08_GDE_RISK_ENGINE'!B330</f>
        <v>Piping</v>
      </c>
      <c r="C330" s="8" t="str">
        <f>'08_GDE_RISK_ENGINE'!C330</f>
        <v>BOP/Utility</v>
      </c>
      <c r="D330" s="8" t="str">
        <f>'08_GDE_RISK_ENGINE'!D330</f>
        <v>CL-BOPUT-PCC--SS316L--T0_UNKNOWN</v>
      </c>
      <c r="E330" s="8">
        <f>'08_GDE_RISK_ENGINE'!E330</f>
        <v>2</v>
      </c>
      <c r="F330" s="8">
        <f>'08_GDE_RISK_ENGINE'!F330</f>
        <v>2</v>
      </c>
      <c r="G330" s="8" t="str">
        <f>'08_GDE_RISK_ENGINE'!G330</f>
        <v>Medium</v>
      </c>
      <c r="H330" s="8">
        <f>IF(A330="","",MIN(5,E330+'14_GDE_RISK_MATRIX_DASHBOARD'!$C$6))</f>
        <v>3</v>
      </c>
      <c r="I330" s="8">
        <f>IF(A330="","",MAX(1,E330-'14_GDE_RISK_MATRIX_DASHBOARD'!$C$7))</f>
        <v>1</v>
      </c>
      <c r="J330" s="8" t="str">
        <f t="shared" si="10"/>
        <v>Medium</v>
      </c>
      <c r="K330" s="8" t="str">
        <f t="shared" si="11"/>
        <v>Medium</v>
      </c>
    </row>
    <row r="331" ht="29" spans="1:11">
      <c r="A331" s="8" t="str">
        <f>'08_GDE_RISK_ENGINE'!A331</f>
        <v>P2PCC04 BR020</v>
      </c>
      <c r="B331" s="8" t="str">
        <f>'08_GDE_RISK_ENGINE'!B331</f>
        <v>Piping</v>
      </c>
      <c r="C331" s="8" t="str">
        <f>'08_GDE_RISK_ENGINE'!C331</f>
        <v>BOP/Utility</v>
      </c>
      <c r="D331" s="8" t="str">
        <f>'08_GDE_RISK_ENGINE'!D331</f>
        <v>CL-BOPUT-PCC--SS316L--T0_UNKNOWN</v>
      </c>
      <c r="E331" s="8">
        <f>'08_GDE_RISK_ENGINE'!E331</f>
        <v>2</v>
      </c>
      <c r="F331" s="8">
        <f>'08_GDE_RISK_ENGINE'!F331</f>
        <v>2</v>
      </c>
      <c r="G331" s="8" t="str">
        <f>'08_GDE_RISK_ENGINE'!G331</f>
        <v>Medium</v>
      </c>
      <c r="H331" s="8">
        <f>IF(A331="","",MIN(5,E331+'14_GDE_RISK_MATRIX_DASHBOARD'!$C$6))</f>
        <v>3</v>
      </c>
      <c r="I331" s="8">
        <f>IF(A331="","",MAX(1,E331-'14_GDE_RISK_MATRIX_DASHBOARD'!$C$7))</f>
        <v>1</v>
      </c>
      <c r="J331" s="8" t="str">
        <f t="shared" si="10"/>
        <v>Medium</v>
      </c>
      <c r="K331" s="8" t="str">
        <f t="shared" si="11"/>
        <v>Medium</v>
      </c>
    </row>
    <row r="332" ht="29" spans="1:11">
      <c r="A332" s="8" t="str">
        <f>'08_GDE_RISK_ENGINE'!A332</f>
        <v>P2PCC04 BR011</v>
      </c>
      <c r="B332" s="8" t="str">
        <f>'08_GDE_RISK_ENGINE'!B332</f>
        <v>Piping</v>
      </c>
      <c r="C332" s="8" t="str">
        <f>'08_GDE_RISK_ENGINE'!C332</f>
        <v>BOP/Utility</v>
      </c>
      <c r="D332" s="8" t="str">
        <f>'08_GDE_RISK_ENGINE'!D332</f>
        <v>CL-BOPUT-PCC--SS316L--T0_UNKNOWN</v>
      </c>
      <c r="E332" s="8">
        <f>'08_GDE_RISK_ENGINE'!E332</f>
        <v>2</v>
      </c>
      <c r="F332" s="8">
        <f>'08_GDE_RISK_ENGINE'!F332</f>
        <v>2</v>
      </c>
      <c r="G332" s="8" t="str">
        <f>'08_GDE_RISK_ENGINE'!G332</f>
        <v>Medium</v>
      </c>
      <c r="H332" s="8">
        <f>IF(A332="","",MIN(5,E332+'14_GDE_RISK_MATRIX_DASHBOARD'!$C$6))</f>
        <v>3</v>
      </c>
      <c r="I332" s="8">
        <f>IF(A332="","",MAX(1,E332-'14_GDE_RISK_MATRIX_DASHBOARD'!$C$7))</f>
        <v>1</v>
      </c>
      <c r="J332" s="8" t="str">
        <f t="shared" si="10"/>
        <v>Medium</v>
      </c>
      <c r="K332" s="8" t="str">
        <f t="shared" si="11"/>
        <v>Medium</v>
      </c>
    </row>
    <row r="333" ht="29" spans="1:11">
      <c r="A333" s="8" t="str">
        <f>'08_GDE_RISK_ENGINE'!A333</f>
        <v>P2PCC04 BR016</v>
      </c>
      <c r="B333" s="8" t="str">
        <f>'08_GDE_RISK_ENGINE'!B333</f>
        <v>Piping</v>
      </c>
      <c r="C333" s="8" t="str">
        <f>'08_GDE_RISK_ENGINE'!C333</f>
        <v>BOP/Utility</v>
      </c>
      <c r="D333" s="8" t="str">
        <f>'08_GDE_RISK_ENGINE'!D333</f>
        <v>CL-BOPUT-PCC--SS316L--T0_UNKNOWN</v>
      </c>
      <c r="E333" s="8">
        <f>'08_GDE_RISK_ENGINE'!E333</f>
        <v>2</v>
      </c>
      <c r="F333" s="8">
        <f>'08_GDE_RISK_ENGINE'!F333</f>
        <v>2</v>
      </c>
      <c r="G333" s="8" t="str">
        <f>'08_GDE_RISK_ENGINE'!G333</f>
        <v>Medium</v>
      </c>
      <c r="H333" s="8">
        <f>IF(A333="","",MIN(5,E333+'14_GDE_RISK_MATRIX_DASHBOARD'!$C$6))</f>
        <v>3</v>
      </c>
      <c r="I333" s="8">
        <f>IF(A333="","",MAX(1,E333-'14_GDE_RISK_MATRIX_DASHBOARD'!$C$7))</f>
        <v>1</v>
      </c>
      <c r="J333" s="8" t="str">
        <f t="shared" si="10"/>
        <v>Medium</v>
      </c>
      <c r="K333" s="8" t="str">
        <f t="shared" si="11"/>
        <v>Medium</v>
      </c>
    </row>
    <row r="334" ht="29" spans="1:11">
      <c r="A334" s="8" t="str">
        <f>'08_GDE_RISK_ENGINE'!A334</f>
        <v>P2PCC04 BR018</v>
      </c>
      <c r="B334" s="8" t="str">
        <f>'08_GDE_RISK_ENGINE'!B334</f>
        <v>Piping</v>
      </c>
      <c r="C334" s="8" t="str">
        <f>'08_GDE_RISK_ENGINE'!C334</f>
        <v>BOP/Utility</v>
      </c>
      <c r="D334" s="8" t="str">
        <f>'08_GDE_RISK_ENGINE'!D334</f>
        <v>CL-BOPUT-PCC--SS316L--T0_UNKNOWN</v>
      </c>
      <c r="E334" s="8">
        <f>'08_GDE_RISK_ENGINE'!E334</f>
        <v>2</v>
      </c>
      <c r="F334" s="8">
        <f>'08_GDE_RISK_ENGINE'!F334</f>
        <v>2</v>
      </c>
      <c r="G334" s="8" t="str">
        <f>'08_GDE_RISK_ENGINE'!G334</f>
        <v>Medium</v>
      </c>
      <c r="H334" s="8">
        <f>IF(A334="","",MIN(5,E334+'14_GDE_RISK_MATRIX_DASHBOARD'!$C$6))</f>
        <v>3</v>
      </c>
      <c r="I334" s="8">
        <f>IF(A334="","",MAX(1,E334-'14_GDE_RISK_MATRIX_DASHBOARD'!$C$7))</f>
        <v>1</v>
      </c>
      <c r="J334" s="8" t="str">
        <f t="shared" si="10"/>
        <v>Medium</v>
      </c>
      <c r="K334" s="8" t="str">
        <f t="shared" si="11"/>
        <v>Medium</v>
      </c>
    </row>
    <row r="335" ht="29" spans="1:11">
      <c r="A335" s="8" t="str">
        <f>'08_GDE_RISK_ENGINE'!A335</f>
        <v>P2BRV01 BR002</v>
      </c>
      <c r="B335" s="8" t="str">
        <f>'08_GDE_RISK_ENGINE'!B335</f>
        <v>Piping</v>
      </c>
      <c r="C335" s="8" t="str">
        <f>'08_GDE_RISK_ENGINE'!C335</f>
        <v>Power Plant</v>
      </c>
      <c r="D335" s="8" t="str">
        <f>'08_GDE_RISK_ENGINE'!D335</f>
        <v>CL-POWER-BRV--CS--T1_BELOW_80C</v>
      </c>
      <c r="E335" s="8">
        <f>'08_GDE_RISK_ENGINE'!E335</f>
        <v>2</v>
      </c>
      <c r="F335" s="8">
        <f>'08_GDE_RISK_ENGINE'!F335</f>
        <v>2</v>
      </c>
      <c r="G335" s="8" t="str">
        <f>'08_GDE_RISK_ENGINE'!G335</f>
        <v>Medium</v>
      </c>
      <c r="H335" s="8">
        <f>IF(A335="","",MIN(5,E335+'14_GDE_RISK_MATRIX_DASHBOARD'!$C$6))</f>
        <v>3</v>
      </c>
      <c r="I335" s="8">
        <f>IF(A335="","",MAX(1,E335-'14_GDE_RISK_MATRIX_DASHBOARD'!$C$7))</f>
        <v>1</v>
      </c>
      <c r="J335" s="8" t="str">
        <f t="shared" si="10"/>
        <v>Medium</v>
      </c>
      <c r="K335" s="8" t="str">
        <f t="shared" si="11"/>
        <v>Medium</v>
      </c>
    </row>
    <row r="336" ht="29" spans="1:11">
      <c r="A336" s="8" t="str">
        <f>'08_GDE_RISK_ENGINE'!A336</f>
        <v>P2BRV01 BR004</v>
      </c>
      <c r="B336" s="8" t="str">
        <f>'08_GDE_RISK_ENGINE'!B336</f>
        <v>Piping</v>
      </c>
      <c r="C336" s="8" t="str">
        <f>'08_GDE_RISK_ENGINE'!C336</f>
        <v>Power Plant</v>
      </c>
      <c r="D336" s="8" t="str">
        <f>'08_GDE_RISK_ENGINE'!D336</f>
        <v>CL-POWER-BRV--CS--T1_BELOW_80C</v>
      </c>
      <c r="E336" s="8">
        <f>'08_GDE_RISK_ENGINE'!E336</f>
        <v>2</v>
      </c>
      <c r="F336" s="8">
        <f>'08_GDE_RISK_ENGINE'!F336</f>
        <v>2</v>
      </c>
      <c r="G336" s="8" t="str">
        <f>'08_GDE_RISK_ENGINE'!G336</f>
        <v>Medium</v>
      </c>
      <c r="H336" s="8">
        <f>IF(A336="","",MIN(5,E336+'14_GDE_RISK_MATRIX_DASHBOARD'!$C$6))</f>
        <v>3</v>
      </c>
      <c r="I336" s="8">
        <f>IF(A336="","",MAX(1,E336-'14_GDE_RISK_MATRIX_DASHBOARD'!$C$7))</f>
        <v>1</v>
      </c>
      <c r="J336" s="8" t="str">
        <f t="shared" si="10"/>
        <v>Medium</v>
      </c>
      <c r="K336" s="8" t="str">
        <f t="shared" si="11"/>
        <v>Medium</v>
      </c>
    </row>
    <row r="337" ht="29" spans="1:11">
      <c r="A337" s="8" t="str">
        <f>'08_GDE_RISK_ENGINE'!A337</f>
        <v>P2BRV01 BR005</v>
      </c>
      <c r="B337" s="8" t="str">
        <f>'08_GDE_RISK_ENGINE'!B337</f>
        <v>Piping</v>
      </c>
      <c r="C337" s="8" t="str">
        <f>'08_GDE_RISK_ENGINE'!C337</f>
        <v>Power Plant</v>
      </c>
      <c r="D337" s="8" t="str">
        <f>'08_GDE_RISK_ENGINE'!D337</f>
        <v>CL-POWER-BRV--CS--T1_BELOW_80C</v>
      </c>
      <c r="E337" s="8">
        <f>'08_GDE_RISK_ENGINE'!E337</f>
        <v>2</v>
      </c>
      <c r="F337" s="8">
        <f>'08_GDE_RISK_ENGINE'!F337</f>
        <v>2</v>
      </c>
      <c r="G337" s="8" t="str">
        <f>'08_GDE_RISK_ENGINE'!G337</f>
        <v>Medium</v>
      </c>
      <c r="H337" s="8">
        <f>IF(A337="","",MIN(5,E337+'14_GDE_RISK_MATRIX_DASHBOARD'!$C$6))</f>
        <v>3</v>
      </c>
      <c r="I337" s="8">
        <f>IF(A337="","",MAX(1,E337-'14_GDE_RISK_MATRIX_DASHBOARD'!$C$7))</f>
        <v>1</v>
      </c>
      <c r="J337" s="8" t="str">
        <f t="shared" si="10"/>
        <v>Medium</v>
      </c>
      <c r="K337" s="8" t="str">
        <f t="shared" si="11"/>
        <v>Medium</v>
      </c>
    </row>
    <row r="338" ht="29" spans="1:11">
      <c r="A338" s="8" t="str">
        <f>'08_GDE_RISK_ENGINE'!A338</f>
        <v>P2GCB01 BR006</v>
      </c>
      <c r="B338" s="8" t="str">
        <f>'08_GDE_RISK_ENGINE'!B338</f>
        <v>Piping</v>
      </c>
      <c r="C338" s="8" t="str">
        <f>'08_GDE_RISK_ENGINE'!C338</f>
        <v>Power Plant</v>
      </c>
      <c r="D338" s="8" t="str">
        <f>'08_GDE_RISK_ENGINE'!D338</f>
        <v>CL-POWER-GCB--CS--T1_BELOW_80C</v>
      </c>
      <c r="E338" s="8">
        <f>'08_GDE_RISK_ENGINE'!E338</f>
        <v>2</v>
      </c>
      <c r="F338" s="8">
        <f>'08_GDE_RISK_ENGINE'!F338</f>
        <v>2</v>
      </c>
      <c r="G338" s="8" t="str">
        <f>'08_GDE_RISK_ENGINE'!G338</f>
        <v>Medium</v>
      </c>
      <c r="H338" s="8">
        <f>IF(A338="","",MIN(5,E338+'14_GDE_RISK_MATRIX_DASHBOARD'!$C$6))</f>
        <v>3</v>
      </c>
      <c r="I338" s="8">
        <f>IF(A338="","",MAX(1,E338-'14_GDE_RISK_MATRIX_DASHBOARD'!$C$7))</f>
        <v>1</v>
      </c>
      <c r="J338" s="8" t="str">
        <f t="shared" si="10"/>
        <v>Medium</v>
      </c>
      <c r="K338" s="8" t="str">
        <f t="shared" si="11"/>
        <v>Medium</v>
      </c>
    </row>
    <row r="339" ht="29" spans="1:11">
      <c r="A339" s="8" t="str">
        <f>'08_GDE_RISK_ENGINE'!A339</f>
        <v>P2GCB01 BR003</v>
      </c>
      <c r="B339" s="8" t="str">
        <f>'08_GDE_RISK_ENGINE'!B339</f>
        <v>Piping</v>
      </c>
      <c r="C339" s="8" t="str">
        <f>'08_GDE_RISK_ENGINE'!C339</f>
        <v>Power Plant</v>
      </c>
      <c r="D339" s="8" t="str">
        <f>'08_GDE_RISK_ENGINE'!D339</f>
        <v>CL-POWER-GCB--CS--T1_BELOW_80C</v>
      </c>
      <c r="E339" s="8">
        <f>'08_GDE_RISK_ENGINE'!E339</f>
        <v>2</v>
      </c>
      <c r="F339" s="8">
        <f>'08_GDE_RISK_ENGINE'!F339</f>
        <v>2</v>
      </c>
      <c r="G339" s="8" t="str">
        <f>'08_GDE_RISK_ENGINE'!G339</f>
        <v>Medium</v>
      </c>
      <c r="H339" s="8">
        <f>IF(A339="","",MIN(5,E339+'14_GDE_RISK_MATRIX_DASHBOARD'!$C$6))</f>
        <v>3</v>
      </c>
      <c r="I339" s="8">
        <f>IF(A339="","",MAX(1,E339-'14_GDE_RISK_MATRIX_DASHBOARD'!$C$7))</f>
        <v>1</v>
      </c>
      <c r="J339" s="8" t="str">
        <f t="shared" si="10"/>
        <v>Medium</v>
      </c>
      <c r="K339" s="8" t="str">
        <f t="shared" si="11"/>
        <v>Medium</v>
      </c>
    </row>
    <row r="340" ht="29" spans="1:11">
      <c r="A340" s="8" t="str">
        <f>'08_GDE_RISK_ENGINE'!A340</f>
        <v>P2GCB01 BR001</v>
      </c>
      <c r="B340" s="8" t="str">
        <f>'08_GDE_RISK_ENGINE'!B340</f>
        <v>Piping</v>
      </c>
      <c r="C340" s="8" t="str">
        <f>'08_GDE_RISK_ENGINE'!C340</f>
        <v>Power Plant</v>
      </c>
      <c r="D340" s="8" t="str">
        <f>'08_GDE_RISK_ENGINE'!D340</f>
        <v>CL-POWER-GCB--CS--T1_BELOW_80C</v>
      </c>
      <c r="E340" s="8">
        <f>'08_GDE_RISK_ENGINE'!E340</f>
        <v>2</v>
      </c>
      <c r="F340" s="8">
        <f>'08_GDE_RISK_ENGINE'!F340</f>
        <v>2</v>
      </c>
      <c r="G340" s="8" t="str">
        <f>'08_GDE_RISK_ENGINE'!G340</f>
        <v>Medium</v>
      </c>
      <c r="H340" s="8">
        <f>IF(A340="","",MIN(5,E340+'14_GDE_RISK_MATRIX_DASHBOARD'!$C$6))</f>
        <v>3</v>
      </c>
      <c r="I340" s="8">
        <f>IF(A340="","",MAX(1,E340-'14_GDE_RISK_MATRIX_DASHBOARD'!$C$7))</f>
        <v>1</v>
      </c>
      <c r="J340" s="8" t="str">
        <f t="shared" si="10"/>
        <v>Medium</v>
      </c>
      <c r="K340" s="8" t="str">
        <f t="shared" si="11"/>
        <v>Medium</v>
      </c>
    </row>
    <row r="341" ht="29" spans="1:11">
      <c r="A341" s="8" t="str">
        <f>'08_GDE_RISK_ENGINE'!A341</f>
        <v>P2GCB01 BR007</v>
      </c>
      <c r="B341" s="8" t="str">
        <f>'08_GDE_RISK_ENGINE'!B341</f>
        <v>Piping</v>
      </c>
      <c r="C341" s="8" t="str">
        <f>'08_GDE_RISK_ENGINE'!C341</f>
        <v>Power Plant</v>
      </c>
      <c r="D341" s="8" t="str">
        <f>'08_GDE_RISK_ENGINE'!D341</f>
        <v>CL-POWER-GCB-VENT-CS-V-T1_BELOW_80C</v>
      </c>
      <c r="E341" s="8">
        <f>'08_GDE_RISK_ENGINE'!E341</f>
        <v>1</v>
      </c>
      <c r="F341" s="8">
        <f>'08_GDE_RISK_ENGINE'!F341</f>
        <v>2</v>
      </c>
      <c r="G341" s="8" t="str">
        <f>'08_GDE_RISK_ENGINE'!G341</f>
        <v>Low</v>
      </c>
      <c r="H341" s="8">
        <f>IF(A341="","",MIN(5,E341+'14_GDE_RISK_MATRIX_DASHBOARD'!$C$6))</f>
        <v>2</v>
      </c>
      <c r="I341" s="8">
        <f>IF(A341="","",MAX(1,E341-'14_GDE_RISK_MATRIX_DASHBOARD'!$C$7))</f>
        <v>1</v>
      </c>
      <c r="J341" s="8" t="str">
        <f t="shared" si="10"/>
        <v>Medium</v>
      </c>
      <c r="K341" s="8" t="str">
        <f t="shared" si="11"/>
        <v>Medium</v>
      </c>
    </row>
    <row r="342" ht="29" spans="1:11">
      <c r="A342" s="8" t="str">
        <f>'08_GDE_RISK_ENGINE'!A342</f>
        <v>P2QEA01 BR003</v>
      </c>
      <c r="B342" s="8" t="str">
        <f>'08_GDE_RISK_ENGINE'!B342</f>
        <v>Piping</v>
      </c>
      <c r="C342" s="8" t="str">
        <f>'08_GDE_RISK_ENGINE'!C342</f>
        <v>BOP/Utility</v>
      </c>
      <c r="D342" s="8" t="str">
        <f>'08_GDE_RISK_ENGINE'!D342</f>
        <v>CL-BOPUT-QEA-AIR-SS304L-V-T1_BELOW_80C</v>
      </c>
      <c r="E342" s="8">
        <f>'08_GDE_RISK_ENGINE'!E342</f>
        <v>1</v>
      </c>
      <c r="F342" s="8">
        <f>'08_GDE_RISK_ENGINE'!F342</f>
        <v>2</v>
      </c>
      <c r="G342" s="8" t="str">
        <f>'08_GDE_RISK_ENGINE'!G342</f>
        <v>Low</v>
      </c>
      <c r="H342" s="8">
        <f>IF(A342="","",MIN(5,E342+'14_GDE_RISK_MATRIX_DASHBOARD'!$C$6))</f>
        <v>2</v>
      </c>
      <c r="I342" s="8">
        <f>IF(A342="","",MAX(1,E342-'14_GDE_RISK_MATRIX_DASHBOARD'!$C$7))</f>
        <v>1</v>
      </c>
      <c r="J342" s="8" t="str">
        <f t="shared" si="10"/>
        <v>Medium</v>
      </c>
      <c r="K342" s="8" t="str">
        <f t="shared" si="11"/>
        <v>Medium</v>
      </c>
    </row>
    <row r="343" ht="29" spans="1:11">
      <c r="A343" s="8" t="str">
        <f>'08_GDE_RISK_ENGINE'!A343</f>
        <v>P2QEA01 BR009</v>
      </c>
      <c r="B343" s="8" t="str">
        <f>'08_GDE_RISK_ENGINE'!B343</f>
        <v>Piping</v>
      </c>
      <c r="C343" s="8" t="str">
        <f>'08_GDE_RISK_ENGINE'!C343</f>
        <v>BOP/Utility</v>
      </c>
      <c r="D343" s="8" t="str">
        <f>'08_GDE_RISK_ENGINE'!D343</f>
        <v>CL-BOPUT-QEA-AIR-SS304L-V-T1_BELOW_80C</v>
      </c>
      <c r="E343" s="8">
        <f>'08_GDE_RISK_ENGINE'!E343</f>
        <v>1</v>
      </c>
      <c r="F343" s="8">
        <f>'08_GDE_RISK_ENGINE'!F343</f>
        <v>2</v>
      </c>
      <c r="G343" s="8" t="str">
        <f>'08_GDE_RISK_ENGINE'!G343</f>
        <v>Low</v>
      </c>
      <c r="H343" s="8">
        <f>IF(A343="","",MIN(5,E343+'14_GDE_RISK_MATRIX_DASHBOARD'!$C$6))</f>
        <v>2</v>
      </c>
      <c r="I343" s="8">
        <f>IF(A343="","",MAX(1,E343-'14_GDE_RISK_MATRIX_DASHBOARD'!$C$7))</f>
        <v>1</v>
      </c>
      <c r="J343" s="8" t="str">
        <f t="shared" si="10"/>
        <v>Medium</v>
      </c>
      <c r="K343" s="8" t="str">
        <f t="shared" si="11"/>
        <v>Medium</v>
      </c>
    </row>
    <row r="344" ht="29" spans="1:11">
      <c r="A344" s="8" t="str">
        <f>'08_GDE_RISK_ENGINE'!A344</f>
        <v>P2QEA01 BR010</v>
      </c>
      <c r="B344" s="8" t="str">
        <f>'08_GDE_RISK_ENGINE'!B344</f>
        <v>Piping</v>
      </c>
      <c r="C344" s="8" t="str">
        <f>'08_GDE_RISK_ENGINE'!C344</f>
        <v>BOP/Utility</v>
      </c>
      <c r="D344" s="8" t="str">
        <f>'08_GDE_RISK_ENGINE'!D344</f>
        <v>CL-BOPUT-QEA-AIR-SS304L-V-T1_BELOW_80C</v>
      </c>
      <c r="E344" s="8">
        <f>'08_GDE_RISK_ENGINE'!E344</f>
        <v>1</v>
      </c>
      <c r="F344" s="8">
        <f>'08_GDE_RISK_ENGINE'!F344</f>
        <v>2</v>
      </c>
      <c r="G344" s="8" t="str">
        <f>'08_GDE_RISK_ENGINE'!G344</f>
        <v>Low</v>
      </c>
      <c r="H344" s="8">
        <f>IF(A344="","",MIN(5,E344+'14_GDE_RISK_MATRIX_DASHBOARD'!$C$6))</f>
        <v>2</v>
      </c>
      <c r="I344" s="8">
        <f>IF(A344="","",MAX(1,E344-'14_GDE_RISK_MATRIX_DASHBOARD'!$C$7))</f>
        <v>1</v>
      </c>
      <c r="J344" s="8" t="str">
        <f t="shared" si="10"/>
        <v>Medium</v>
      </c>
      <c r="K344" s="8" t="str">
        <f t="shared" si="11"/>
        <v>Medium</v>
      </c>
    </row>
    <row r="345" ht="29" spans="1:11">
      <c r="A345" s="8" t="str">
        <f>'08_GDE_RISK_ENGINE'!A345</f>
        <v>P2QEB01 BR002</v>
      </c>
      <c r="B345" s="8" t="str">
        <f>'08_GDE_RISK_ENGINE'!B345</f>
        <v>Piping</v>
      </c>
      <c r="C345" s="8" t="str">
        <f>'08_GDE_RISK_ENGINE'!C345</f>
        <v>BOP/Utility</v>
      </c>
      <c r="D345" s="8" t="str">
        <f>'08_GDE_RISK_ENGINE'!D345</f>
        <v>CL-BOPUT-QEB-AIR-SS304L-V-T1_BELOW_80C</v>
      </c>
      <c r="E345" s="8">
        <f>'08_GDE_RISK_ENGINE'!E345</f>
        <v>1</v>
      </c>
      <c r="F345" s="8">
        <f>'08_GDE_RISK_ENGINE'!F345</f>
        <v>2</v>
      </c>
      <c r="G345" s="8" t="str">
        <f>'08_GDE_RISK_ENGINE'!G345</f>
        <v>Low</v>
      </c>
      <c r="H345" s="8">
        <f>IF(A345="","",MIN(5,E345+'14_GDE_RISK_MATRIX_DASHBOARD'!$C$6))</f>
        <v>2</v>
      </c>
      <c r="I345" s="8">
        <f>IF(A345="","",MAX(1,E345-'14_GDE_RISK_MATRIX_DASHBOARD'!$C$7))</f>
        <v>1</v>
      </c>
      <c r="J345" s="8" t="str">
        <f t="shared" si="10"/>
        <v>Medium</v>
      </c>
      <c r="K345" s="8" t="str">
        <f t="shared" si="11"/>
        <v>Medium</v>
      </c>
    </row>
    <row r="346" ht="29" spans="1:11">
      <c r="A346" s="8" t="str">
        <f>'08_GDE_RISK_ENGINE'!A346</f>
        <v>P2LCA01 BR028</v>
      </c>
      <c r="B346" s="8" t="str">
        <f>'08_GDE_RISK_ENGINE'!B346</f>
        <v>Piping</v>
      </c>
      <c r="C346" s="8" t="str">
        <f>'08_GDE_RISK_ENGINE'!C346</f>
        <v>BOP/Utility</v>
      </c>
      <c r="D346" s="8" t="str">
        <f>'08_GDE_RISK_ENGINE'!D346</f>
        <v>CL-BOPUT-LCA--SS304L--T1_BELOW_80C</v>
      </c>
      <c r="E346" s="8">
        <f>'08_GDE_RISK_ENGINE'!E346</f>
        <v>2</v>
      </c>
      <c r="F346" s="8">
        <f>'08_GDE_RISK_ENGINE'!F346</f>
        <v>2</v>
      </c>
      <c r="G346" s="8" t="str">
        <f>'08_GDE_RISK_ENGINE'!G346</f>
        <v>Medium</v>
      </c>
      <c r="H346" s="8">
        <f>IF(A346="","",MIN(5,E346+'14_GDE_RISK_MATRIX_DASHBOARD'!$C$6))</f>
        <v>3</v>
      </c>
      <c r="I346" s="8">
        <f>IF(A346="","",MAX(1,E346-'14_GDE_RISK_MATRIX_DASHBOARD'!$C$7))</f>
        <v>1</v>
      </c>
      <c r="J346" s="8" t="str">
        <f t="shared" si="10"/>
        <v>Medium</v>
      </c>
      <c r="K346" s="8" t="str">
        <f t="shared" si="11"/>
        <v>Medium</v>
      </c>
    </row>
    <row r="347" ht="29" spans="1:11">
      <c r="A347" s="8" t="str">
        <f>'08_GDE_RISK_ENGINE'!A347</f>
        <v>P2QEA01 BR008</v>
      </c>
      <c r="B347" s="8" t="str">
        <f>'08_GDE_RISK_ENGINE'!B347</f>
        <v>Piping</v>
      </c>
      <c r="C347" s="8" t="str">
        <f>'08_GDE_RISK_ENGINE'!C347</f>
        <v>BOP/Utility</v>
      </c>
      <c r="D347" s="8" t="str">
        <f>'08_GDE_RISK_ENGINE'!D347</f>
        <v>CL-BOPUT-QEA--SS304L--T1_BELOW_80C</v>
      </c>
      <c r="E347" s="8">
        <f>'08_GDE_RISK_ENGINE'!E347</f>
        <v>2</v>
      </c>
      <c r="F347" s="8">
        <f>'08_GDE_RISK_ENGINE'!F347</f>
        <v>2</v>
      </c>
      <c r="G347" s="8" t="str">
        <f>'08_GDE_RISK_ENGINE'!G347</f>
        <v>Medium</v>
      </c>
      <c r="H347" s="8">
        <f>IF(A347="","",MIN(5,E347+'14_GDE_RISK_MATRIX_DASHBOARD'!$C$6))</f>
        <v>3</v>
      </c>
      <c r="I347" s="8">
        <f>IF(A347="","",MAX(1,E347-'14_GDE_RISK_MATRIX_DASHBOARD'!$C$7))</f>
        <v>1</v>
      </c>
      <c r="J347" s="8" t="str">
        <f t="shared" si="10"/>
        <v>Medium</v>
      </c>
      <c r="K347" s="8" t="str">
        <f t="shared" si="11"/>
        <v>Medium</v>
      </c>
    </row>
    <row r="348" ht="43.5" spans="1:11">
      <c r="A348" s="8" t="str">
        <f>'08_GDE_RISK_ENGINE'!A348</f>
        <v>P2PCB21 BR012</v>
      </c>
      <c r="B348" s="8" t="str">
        <f>'08_GDE_RISK_ENGINE'!B348</f>
        <v>Piping</v>
      </c>
      <c r="C348" s="8" t="str">
        <f>'08_GDE_RISK_ENGINE'!C348</f>
        <v>BOP/Utility</v>
      </c>
      <c r="D348" s="8" t="str">
        <f>'08_GDE_RISK_ENGINE'!D348</f>
        <v>CL-BOPUT-PCB-COOLINGWATER--L-T1_BELOW_80C</v>
      </c>
      <c r="E348" s="8">
        <f>'08_GDE_RISK_ENGINE'!E348</f>
        <v>2</v>
      </c>
      <c r="F348" s="8">
        <f>'08_GDE_RISK_ENGINE'!F348</f>
        <v>3</v>
      </c>
      <c r="G348" s="8" t="str">
        <f>'08_GDE_RISK_ENGINE'!G348</f>
        <v>High</v>
      </c>
      <c r="H348" s="8">
        <f>IF(A348="","",MIN(5,E348+'14_GDE_RISK_MATRIX_DASHBOARD'!$C$6))</f>
        <v>3</v>
      </c>
      <c r="I348" s="8">
        <f>IF(A348="","",MAX(1,E348-'14_GDE_RISK_MATRIX_DASHBOARD'!$C$7))</f>
        <v>1</v>
      </c>
      <c r="J348" s="8" t="str">
        <f t="shared" si="10"/>
        <v>High</v>
      </c>
      <c r="K348" s="8" t="str">
        <f t="shared" si="11"/>
        <v>Medium</v>
      </c>
    </row>
    <row r="349" spans="1:11">
      <c r="A349" s="8" t="str">
        <f>'08_GDE_RISK_ENGINE'!A349</f>
        <v>PTH2LBF02 BS001</v>
      </c>
      <c r="B349" s="8" t="str">
        <f>'08_GDE_RISK_ENGINE'!B349</f>
        <v>Equipment</v>
      </c>
      <c r="C349" s="8" t="str">
        <f>'08_GDE_RISK_ENGINE'!C349</f>
        <v>SAGS</v>
      </c>
      <c r="D349" s="8" t="str">
        <f>'08_GDE_RISK_ENGINE'!D349</f>
        <v>EQ-SAGS-LBF-CIVILSTATIC</v>
      </c>
      <c r="E349" s="8">
        <f>'08_GDE_RISK_ENGINE'!E349</f>
        <v>3</v>
      </c>
      <c r="F349" s="8">
        <f>'08_GDE_RISK_ENGINE'!F349</f>
        <v>4</v>
      </c>
      <c r="G349" s="8" t="str">
        <f>'08_GDE_RISK_ENGINE'!G349</f>
        <v>High</v>
      </c>
      <c r="H349" s="8">
        <f>IF(A349="","",MIN(5,E349+'14_GDE_RISK_MATRIX_DASHBOARD'!$C$6))</f>
        <v>4</v>
      </c>
      <c r="I349" s="8">
        <f>IF(A349="","",MAX(1,E349-'14_GDE_RISK_MATRIX_DASHBOARD'!$C$7))</f>
        <v>2</v>
      </c>
      <c r="J349" s="8" t="str">
        <f t="shared" si="10"/>
        <v>Extreme High</v>
      </c>
      <c r="K349" s="8" t="str">
        <f t="shared" si="11"/>
        <v>Medium</v>
      </c>
    </row>
    <row r="350" ht="29" spans="1:11">
      <c r="A350" s="8" t="str">
        <f>'08_GDE_RISK_ENGINE'!A350</f>
        <v>PTH2LBF01 BS001</v>
      </c>
      <c r="B350" s="8" t="str">
        <f>'08_GDE_RISK_ENGINE'!B350</f>
        <v>Equipment</v>
      </c>
      <c r="C350" s="8" t="str">
        <f>'08_GDE_RISK_ENGINE'!C350</f>
        <v>SAGS</v>
      </c>
      <c r="D350" s="8" t="str">
        <f>'08_GDE_RISK_ENGINE'!D350</f>
        <v>EQ-SAGS-LBF-EQUIPMENT</v>
      </c>
      <c r="E350" s="8">
        <f>'08_GDE_RISK_ENGINE'!E350</f>
        <v>2</v>
      </c>
      <c r="F350" s="8">
        <f>'08_GDE_RISK_ENGINE'!F350</f>
        <v>2</v>
      </c>
      <c r="G350" s="8" t="str">
        <f>'08_GDE_RISK_ENGINE'!G350</f>
        <v>Medium</v>
      </c>
      <c r="H350" s="8">
        <f>IF(A350="","",MIN(5,E350+'14_GDE_RISK_MATRIX_DASHBOARD'!$C$6))</f>
        <v>3</v>
      </c>
      <c r="I350" s="8">
        <f>IF(A350="","",MAX(1,E350-'14_GDE_RISK_MATRIX_DASHBOARD'!$C$7))</f>
        <v>1</v>
      </c>
      <c r="J350" s="8" t="str">
        <f t="shared" si="10"/>
        <v>Medium</v>
      </c>
      <c r="K350" s="8" t="str">
        <f t="shared" si="11"/>
        <v>Medium</v>
      </c>
    </row>
    <row r="351" ht="29" spans="1:11">
      <c r="A351" s="8" t="str">
        <f>'08_GDE_RISK_ENGINE'!A351</f>
        <v>PTH2LBF01 BS002</v>
      </c>
      <c r="B351" s="8" t="str">
        <f>'08_GDE_RISK_ENGINE'!B351</f>
        <v>Equipment</v>
      </c>
      <c r="C351" s="8" t="str">
        <f>'08_GDE_RISK_ENGINE'!C351</f>
        <v>SAGS</v>
      </c>
      <c r="D351" s="8" t="str">
        <f>'08_GDE_RISK_ENGINE'!D351</f>
        <v>EQ-SAGS-LBF-EQUIPMENT</v>
      </c>
      <c r="E351" s="8">
        <f>'08_GDE_RISK_ENGINE'!E351</f>
        <v>2</v>
      </c>
      <c r="F351" s="8">
        <f>'08_GDE_RISK_ENGINE'!F351</f>
        <v>2</v>
      </c>
      <c r="G351" s="8" t="str">
        <f>'08_GDE_RISK_ENGINE'!G351</f>
        <v>Medium</v>
      </c>
      <c r="H351" s="8">
        <f>IF(A351="","",MIN(5,E351+'14_GDE_RISK_MATRIX_DASHBOARD'!$C$6))</f>
        <v>3</v>
      </c>
      <c r="I351" s="8">
        <f>IF(A351="","",MAX(1,E351-'14_GDE_RISK_MATRIX_DASHBOARD'!$C$7))</f>
        <v>1</v>
      </c>
      <c r="J351" s="8" t="str">
        <f t="shared" si="10"/>
        <v>Medium</v>
      </c>
      <c r="K351" s="8" t="str">
        <f t="shared" si="11"/>
        <v>Medium</v>
      </c>
    </row>
    <row r="352" ht="29" spans="1:11">
      <c r="A352" s="8" t="str">
        <f>'08_GDE_RISK_ENGINE'!A352</f>
        <v>PTH2LBF01 BS003</v>
      </c>
      <c r="B352" s="8" t="str">
        <f>'08_GDE_RISK_ENGINE'!B352</f>
        <v>Equipment</v>
      </c>
      <c r="C352" s="8" t="str">
        <f>'08_GDE_RISK_ENGINE'!C352</f>
        <v>SAGS</v>
      </c>
      <c r="D352" s="8" t="str">
        <f>'08_GDE_RISK_ENGINE'!D352</f>
        <v>EQ-SAGS-LBF-EQUIPMENT</v>
      </c>
      <c r="E352" s="8">
        <f>'08_GDE_RISK_ENGINE'!E352</f>
        <v>2</v>
      </c>
      <c r="F352" s="8">
        <f>'08_GDE_RISK_ENGINE'!F352</f>
        <v>2</v>
      </c>
      <c r="G352" s="8" t="str">
        <f>'08_GDE_RISK_ENGINE'!G352</f>
        <v>Medium</v>
      </c>
      <c r="H352" s="8">
        <f>IF(A352="","",MIN(5,E352+'14_GDE_RISK_MATRIX_DASHBOARD'!$C$6))</f>
        <v>3</v>
      </c>
      <c r="I352" s="8">
        <f>IF(A352="","",MAX(1,E352-'14_GDE_RISK_MATRIX_DASHBOARD'!$C$7))</f>
        <v>1</v>
      </c>
      <c r="J352" s="8" t="str">
        <f t="shared" si="10"/>
        <v>Medium</v>
      </c>
      <c r="K352" s="8" t="str">
        <f t="shared" si="11"/>
        <v>Medium</v>
      </c>
    </row>
    <row r="353" spans="1:11">
      <c r="A353" s="8" t="str">
        <f>'08_GDE_RISK_ENGINE'!A353</f>
        <v>PTH2LBF01 BS004</v>
      </c>
      <c r="B353" s="8" t="str">
        <f>'08_GDE_RISK_ENGINE'!B353</f>
        <v>Equipment</v>
      </c>
      <c r="C353" s="8" t="str">
        <f>'08_GDE_RISK_ENGINE'!C353</f>
        <v>SAGS</v>
      </c>
      <c r="D353" s="8" t="str">
        <f>'08_GDE_RISK_ENGINE'!D353</f>
        <v>EQ-SAGS-LBF-CIVILSTATIC</v>
      </c>
      <c r="E353" s="8">
        <f>'08_GDE_RISK_ENGINE'!E353</f>
        <v>3</v>
      </c>
      <c r="F353" s="8">
        <f>'08_GDE_RISK_ENGINE'!F353</f>
        <v>4</v>
      </c>
      <c r="G353" s="8" t="str">
        <f>'08_GDE_RISK_ENGINE'!G353</f>
        <v>High</v>
      </c>
      <c r="H353" s="8">
        <f>IF(A353="","",MIN(5,E353+'14_GDE_RISK_MATRIX_DASHBOARD'!$C$6))</f>
        <v>4</v>
      </c>
      <c r="I353" s="8">
        <f>IF(A353="","",MAX(1,E353-'14_GDE_RISK_MATRIX_DASHBOARD'!$C$7))</f>
        <v>2</v>
      </c>
      <c r="J353" s="8" t="str">
        <f t="shared" si="10"/>
        <v>Extreme High</v>
      </c>
      <c r="K353" s="8" t="str">
        <f t="shared" si="11"/>
        <v>Medium</v>
      </c>
    </row>
    <row r="354" ht="29" spans="1:11">
      <c r="A354" s="8" t="str">
        <f>'08_GDE_RISK_ENGINE'!A354</f>
        <v>PTH2LBJ01 BB001</v>
      </c>
      <c r="B354" s="8" t="str">
        <f>'08_GDE_RISK_ENGINE'!B354</f>
        <v>Equipment</v>
      </c>
      <c r="C354" s="8" t="str">
        <f>'08_GDE_RISK_ENGINE'!C354</f>
        <v>SAGS</v>
      </c>
      <c r="D354" s="8" t="str">
        <f>'08_GDE_RISK_ENGINE'!D354</f>
        <v>EQ-SAGS-LBJ-STATICEQUIPMENT</v>
      </c>
      <c r="E354" s="8">
        <f>'08_GDE_RISK_ENGINE'!E354</f>
        <v>3</v>
      </c>
      <c r="F354" s="8">
        <f>'08_GDE_RISK_ENGINE'!F354</f>
        <v>5</v>
      </c>
      <c r="G354" s="8" t="str">
        <f>'08_GDE_RISK_ENGINE'!G354</f>
        <v>Extreme High</v>
      </c>
      <c r="H354" s="8">
        <f>IF(A354="","",MIN(5,E354+'14_GDE_RISK_MATRIX_DASHBOARD'!$C$6))</f>
        <v>4</v>
      </c>
      <c r="I354" s="8">
        <f>IF(A354="","",MAX(1,E354-'14_GDE_RISK_MATRIX_DASHBOARD'!$C$7))</f>
        <v>2</v>
      </c>
      <c r="J354" s="8" t="str">
        <f t="shared" si="10"/>
        <v>Extreme High</v>
      </c>
      <c r="K354" s="8" t="str">
        <f t="shared" si="11"/>
        <v>High</v>
      </c>
    </row>
    <row r="355" ht="29" spans="1:11">
      <c r="A355" s="8" t="str">
        <f>'08_GDE_RISK_ENGINE'!A355</f>
        <v>PTH2MKA10 AC010</v>
      </c>
      <c r="B355" s="8" t="str">
        <f>'08_GDE_RISK_ENGINE'!B355</f>
        <v>Equipment</v>
      </c>
      <c r="C355" s="8" t="str">
        <f>'08_GDE_RISK_ENGINE'!C355</f>
        <v>Power Block</v>
      </c>
      <c r="D355" s="8" t="str">
        <f>'08_GDE_RISK_ENGINE'!D355</f>
        <v>EQ-POWER-MKA-EQUIPMENT</v>
      </c>
      <c r="E355" s="8">
        <f>'08_GDE_RISK_ENGINE'!E355</f>
        <v>2</v>
      </c>
      <c r="F355" s="8">
        <f>'08_GDE_RISK_ENGINE'!F355</f>
        <v>4</v>
      </c>
      <c r="G355" s="8" t="str">
        <f>'08_GDE_RISK_ENGINE'!G355</f>
        <v>High</v>
      </c>
      <c r="H355" s="8">
        <f>IF(A355="","",MIN(5,E355+'14_GDE_RISK_MATRIX_DASHBOARD'!$C$6))</f>
        <v>3</v>
      </c>
      <c r="I355" s="8">
        <f>IF(A355="","",MAX(1,E355-'14_GDE_RISK_MATRIX_DASHBOARD'!$C$7))</f>
        <v>1</v>
      </c>
      <c r="J355" s="8" t="str">
        <f t="shared" si="10"/>
        <v>High</v>
      </c>
      <c r="K355" s="8" t="str">
        <f t="shared" si="11"/>
        <v>Medium</v>
      </c>
    </row>
    <row r="356" ht="29" spans="1:11">
      <c r="A356" s="8" t="str">
        <f>'08_GDE_RISK_ENGINE'!A356</f>
        <v>PTH2MKA10 AC020</v>
      </c>
      <c r="B356" s="8" t="str">
        <f>'08_GDE_RISK_ENGINE'!B356</f>
        <v>Equipment</v>
      </c>
      <c r="C356" s="8" t="str">
        <f>'08_GDE_RISK_ENGINE'!C356</f>
        <v>Power Block</v>
      </c>
      <c r="D356" s="8" t="str">
        <f>'08_GDE_RISK_ENGINE'!D356</f>
        <v>EQ-POWER-MKA-STATICEQUIPMENT</v>
      </c>
      <c r="E356" s="8">
        <f>'08_GDE_RISK_ENGINE'!E356</f>
        <v>3</v>
      </c>
      <c r="F356" s="8">
        <f>'08_GDE_RISK_ENGINE'!F356</f>
        <v>4</v>
      </c>
      <c r="G356" s="8" t="str">
        <f>'08_GDE_RISK_ENGINE'!G356</f>
        <v>High</v>
      </c>
      <c r="H356" s="8">
        <f>IF(A356="","",MIN(5,E356+'14_GDE_RISK_MATRIX_DASHBOARD'!$C$6))</f>
        <v>4</v>
      </c>
      <c r="I356" s="8">
        <f>IF(A356="","",MAX(1,E356-'14_GDE_RISK_MATRIX_DASHBOARD'!$C$7))</f>
        <v>2</v>
      </c>
      <c r="J356" s="8" t="str">
        <f t="shared" si="10"/>
        <v>Extreme High</v>
      </c>
      <c r="K356" s="8" t="str">
        <f t="shared" si="11"/>
        <v>Medium</v>
      </c>
    </row>
    <row r="357" ht="29" spans="1:11">
      <c r="A357" s="8" t="str">
        <f>'08_GDE_RISK_ENGINE'!A357</f>
        <v>PTH2MAV11 AC010</v>
      </c>
      <c r="B357" s="8" t="str">
        <f>'08_GDE_RISK_ENGINE'!B357</f>
        <v>Equipment</v>
      </c>
      <c r="C357" s="8" t="str">
        <f>'08_GDE_RISK_ENGINE'!C357</f>
        <v>Power Block</v>
      </c>
      <c r="D357" s="8" t="str">
        <f>'08_GDE_RISK_ENGINE'!D357</f>
        <v>EQ-POWER-MAV-EQUIPMENT</v>
      </c>
      <c r="E357" s="8">
        <f>'08_GDE_RISK_ENGINE'!E357</f>
        <v>2</v>
      </c>
      <c r="F357" s="8">
        <f>'08_GDE_RISK_ENGINE'!F357</f>
        <v>4</v>
      </c>
      <c r="G357" s="8" t="str">
        <f>'08_GDE_RISK_ENGINE'!G357</f>
        <v>High</v>
      </c>
      <c r="H357" s="8">
        <f>IF(A357="","",MIN(5,E357+'14_GDE_RISK_MATRIX_DASHBOARD'!$C$6))</f>
        <v>3</v>
      </c>
      <c r="I357" s="8">
        <f>IF(A357="","",MAX(1,E357-'14_GDE_RISK_MATRIX_DASHBOARD'!$C$7))</f>
        <v>1</v>
      </c>
      <c r="J357" s="8" t="str">
        <f t="shared" si="10"/>
        <v>High</v>
      </c>
      <c r="K357" s="8" t="str">
        <f t="shared" si="11"/>
        <v>Medium</v>
      </c>
    </row>
    <row r="358" ht="29" spans="1:11">
      <c r="A358" s="8" t="str">
        <f>'08_GDE_RISK_ENGINE'!A358</f>
        <v>PTH2MAV12 AC010</v>
      </c>
      <c r="B358" s="8" t="str">
        <f>'08_GDE_RISK_ENGINE'!B358</f>
        <v>Equipment</v>
      </c>
      <c r="C358" s="8" t="str">
        <f>'08_GDE_RISK_ENGINE'!C358</f>
        <v>Power Block</v>
      </c>
      <c r="D358" s="8" t="str">
        <f>'08_GDE_RISK_ENGINE'!D358</f>
        <v>EQ-POWER-MAV-STATICEQUIPMENT</v>
      </c>
      <c r="E358" s="8">
        <f>'08_GDE_RISK_ENGINE'!E358</f>
        <v>3</v>
      </c>
      <c r="F358" s="8">
        <f>'08_GDE_RISK_ENGINE'!F358</f>
        <v>4</v>
      </c>
      <c r="G358" s="8" t="str">
        <f>'08_GDE_RISK_ENGINE'!G358</f>
        <v>High</v>
      </c>
      <c r="H358" s="8">
        <f>IF(A358="","",MIN(5,E358+'14_GDE_RISK_MATRIX_DASHBOARD'!$C$6))</f>
        <v>4</v>
      </c>
      <c r="I358" s="8">
        <f>IF(A358="","",MAX(1,E358-'14_GDE_RISK_MATRIX_DASHBOARD'!$C$7))</f>
        <v>2</v>
      </c>
      <c r="J358" s="8" t="str">
        <f t="shared" si="10"/>
        <v>Extreme High</v>
      </c>
      <c r="K358" s="8" t="str">
        <f t="shared" si="11"/>
        <v>Medium</v>
      </c>
    </row>
    <row r="359" ht="29" spans="1:11">
      <c r="A359" s="8" t="str">
        <f>'08_GDE_RISK_ENGINE'!A359</f>
        <v>PTH2MAV10 BB010</v>
      </c>
      <c r="B359" s="8" t="str">
        <f>'08_GDE_RISK_ENGINE'!B359</f>
        <v>Equipment</v>
      </c>
      <c r="C359" s="8" t="str">
        <f>'08_GDE_RISK_ENGINE'!C359</f>
        <v>Power Block</v>
      </c>
      <c r="D359" s="8" t="str">
        <f>'08_GDE_RISK_ENGINE'!D359</f>
        <v>EQ-POWER-MAV-STATICEQUIPMENT</v>
      </c>
      <c r="E359" s="8">
        <f>'08_GDE_RISK_ENGINE'!E359</f>
        <v>3</v>
      </c>
      <c r="F359" s="8">
        <f>'08_GDE_RISK_ENGINE'!F359</f>
        <v>4</v>
      </c>
      <c r="G359" s="8" t="str">
        <f>'08_GDE_RISK_ENGINE'!G359</f>
        <v>High</v>
      </c>
      <c r="H359" s="8">
        <f>IF(A359="","",MIN(5,E359+'14_GDE_RISK_MATRIX_DASHBOARD'!$C$6))</f>
        <v>4</v>
      </c>
      <c r="I359" s="8">
        <f>IF(A359="","",MAX(1,E359-'14_GDE_RISK_MATRIX_DASHBOARD'!$C$7))</f>
        <v>2</v>
      </c>
      <c r="J359" s="8" t="str">
        <f t="shared" si="10"/>
        <v>Extreme High</v>
      </c>
      <c r="K359" s="8" t="str">
        <f t="shared" si="11"/>
        <v>Medium</v>
      </c>
    </row>
    <row r="360" ht="29" spans="1:11">
      <c r="A360" s="8" t="str">
        <f>'08_GDE_RISK_ENGINE'!A360</f>
        <v>PTH2MAV50 AN001</v>
      </c>
      <c r="B360" s="8" t="str">
        <f>'08_GDE_RISK_ENGINE'!B360</f>
        <v>Equipment</v>
      </c>
      <c r="C360" s="8" t="str">
        <f>'08_GDE_RISK_ENGINE'!C360</f>
        <v>Power Block</v>
      </c>
      <c r="D360" s="8" t="str">
        <f>'08_GDE_RISK_ENGINE'!D360</f>
        <v>EQ-POWER-MAV-STATICEQUIPMENT</v>
      </c>
      <c r="E360" s="8">
        <f>'08_GDE_RISK_ENGINE'!E360</f>
        <v>3</v>
      </c>
      <c r="F360" s="8">
        <f>'08_GDE_RISK_ENGINE'!F360</f>
        <v>4</v>
      </c>
      <c r="G360" s="8" t="str">
        <f>'08_GDE_RISK_ENGINE'!G360</f>
        <v>High</v>
      </c>
      <c r="H360" s="8">
        <f>IF(A360="","",MIN(5,E360+'14_GDE_RISK_MATRIX_DASHBOARD'!$C$6))</f>
        <v>4</v>
      </c>
      <c r="I360" s="8">
        <f>IF(A360="","",MAX(1,E360-'14_GDE_RISK_MATRIX_DASHBOARD'!$C$7))</f>
        <v>2</v>
      </c>
      <c r="J360" s="8" t="str">
        <f t="shared" si="10"/>
        <v>Extreme High</v>
      </c>
      <c r="K360" s="8" t="str">
        <f t="shared" si="11"/>
        <v>Medium</v>
      </c>
    </row>
    <row r="361" ht="29" spans="1:11">
      <c r="A361" s="8" t="str">
        <f>'08_GDE_RISK_ENGINE'!A361</f>
        <v>PTH2MAV50 AT001</v>
      </c>
      <c r="B361" s="8" t="str">
        <f>'08_GDE_RISK_ENGINE'!B361</f>
        <v>Equipment</v>
      </c>
      <c r="C361" s="8" t="str">
        <f>'08_GDE_RISK_ENGINE'!C361</f>
        <v>Power Block</v>
      </c>
      <c r="D361" s="8" t="str">
        <f>'08_GDE_RISK_ENGINE'!D361</f>
        <v>EQ-POWER-MAV-EQUIPMENT</v>
      </c>
      <c r="E361" s="8">
        <f>'08_GDE_RISK_ENGINE'!E361</f>
        <v>2</v>
      </c>
      <c r="F361" s="8">
        <f>'08_GDE_RISK_ENGINE'!F361</f>
        <v>4</v>
      </c>
      <c r="G361" s="8" t="str">
        <f>'08_GDE_RISK_ENGINE'!G361</f>
        <v>High</v>
      </c>
      <c r="H361" s="8">
        <f>IF(A361="","",MIN(5,E361+'14_GDE_RISK_MATRIX_DASHBOARD'!$C$6))</f>
        <v>3</v>
      </c>
      <c r="I361" s="8">
        <f>IF(A361="","",MAX(1,E361-'14_GDE_RISK_MATRIX_DASHBOARD'!$C$7))</f>
        <v>1</v>
      </c>
      <c r="J361" s="8" t="str">
        <f t="shared" si="10"/>
        <v>High</v>
      </c>
      <c r="K361" s="8" t="str">
        <f t="shared" si="11"/>
        <v>Medium</v>
      </c>
    </row>
    <row r="362" ht="29" spans="1:11">
      <c r="A362" s="8" t="str">
        <f>'08_GDE_RISK_ENGINE'!A362</f>
        <v>PTH2MAV60 AT010</v>
      </c>
      <c r="B362" s="8" t="str">
        <f>'08_GDE_RISK_ENGINE'!B362</f>
        <v>Equipment</v>
      </c>
      <c r="C362" s="8" t="str">
        <f>'08_GDE_RISK_ENGINE'!C362</f>
        <v>Power Block</v>
      </c>
      <c r="D362" s="8" t="str">
        <f>'08_GDE_RISK_ENGINE'!D362</f>
        <v>EQ-POWER-MAV-EQUIPMENT</v>
      </c>
      <c r="E362" s="8">
        <f>'08_GDE_RISK_ENGINE'!E362</f>
        <v>2</v>
      </c>
      <c r="F362" s="8">
        <f>'08_GDE_RISK_ENGINE'!F362</f>
        <v>4</v>
      </c>
      <c r="G362" s="8" t="str">
        <f>'08_GDE_RISK_ENGINE'!G362</f>
        <v>High</v>
      </c>
      <c r="H362" s="8">
        <f>IF(A362="","",MIN(5,E362+'14_GDE_RISK_MATRIX_DASHBOARD'!$C$6))</f>
        <v>3</v>
      </c>
      <c r="I362" s="8">
        <f>IF(A362="","",MAX(1,E362-'14_GDE_RISK_MATRIX_DASHBOARD'!$C$7))</f>
        <v>1</v>
      </c>
      <c r="J362" s="8" t="str">
        <f t="shared" si="10"/>
        <v>High</v>
      </c>
      <c r="K362" s="8" t="str">
        <f t="shared" si="11"/>
        <v>Medium</v>
      </c>
    </row>
    <row r="363" ht="29" spans="1:11">
      <c r="A363" s="8" t="str">
        <f>'08_GDE_RISK_ENGINE'!A363</f>
        <v>PTH2MAV60 AP001</v>
      </c>
      <c r="B363" s="8" t="str">
        <f>'08_GDE_RISK_ENGINE'!B363</f>
        <v>Equipment</v>
      </c>
      <c r="C363" s="8" t="str">
        <f>'08_GDE_RISK_ENGINE'!C363</f>
        <v>Power Block</v>
      </c>
      <c r="D363" s="8" t="str">
        <f>'08_GDE_RISK_ENGINE'!D363</f>
        <v>EQ-POWER-MAV-ROTATINGPACKAGE</v>
      </c>
      <c r="E363" s="8">
        <f>'08_GDE_RISK_ENGINE'!E363</f>
        <v>2</v>
      </c>
      <c r="F363" s="8">
        <f>'08_GDE_RISK_ENGINE'!F363</f>
        <v>4</v>
      </c>
      <c r="G363" s="8" t="str">
        <f>'08_GDE_RISK_ENGINE'!G363</f>
        <v>High</v>
      </c>
      <c r="H363" s="8">
        <f>IF(A363="","",MIN(5,E363+'14_GDE_RISK_MATRIX_DASHBOARD'!$C$6))</f>
        <v>3</v>
      </c>
      <c r="I363" s="8">
        <f>IF(A363="","",MAX(1,E363-'14_GDE_RISK_MATRIX_DASHBOARD'!$C$7))</f>
        <v>1</v>
      </c>
      <c r="J363" s="8" t="str">
        <f t="shared" si="10"/>
        <v>High</v>
      </c>
      <c r="K363" s="8" t="str">
        <f t="shared" si="11"/>
        <v>Medium</v>
      </c>
    </row>
    <row r="364" ht="29" spans="1:11">
      <c r="A364" s="8" t="str">
        <f>'08_GDE_RISK_ENGINE'!A364</f>
        <v>PTH2MAV60 AT001</v>
      </c>
      <c r="B364" s="8" t="str">
        <f>'08_GDE_RISK_ENGINE'!B364</f>
        <v>Equipment</v>
      </c>
      <c r="C364" s="8" t="str">
        <f>'08_GDE_RISK_ENGINE'!C364</f>
        <v>Power Block</v>
      </c>
      <c r="D364" s="8" t="str">
        <f>'08_GDE_RISK_ENGINE'!D364</f>
        <v>EQ-POWER-MAV-EQUIPMENT</v>
      </c>
      <c r="E364" s="8">
        <f>'08_GDE_RISK_ENGINE'!E364</f>
        <v>2</v>
      </c>
      <c r="F364" s="8">
        <f>'08_GDE_RISK_ENGINE'!F364</f>
        <v>4</v>
      </c>
      <c r="G364" s="8" t="str">
        <f>'08_GDE_RISK_ENGINE'!G364</f>
        <v>High</v>
      </c>
      <c r="H364" s="8">
        <f>IF(A364="","",MIN(5,E364+'14_GDE_RISK_MATRIX_DASHBOARD'!$C$6))</f>
        <v>3</v>
      </c>
      <c r="I364" s="8">
        <f>IF(A364="","",MAX(1,E364-'14_GDE_RISK_MATRIX_DASHBOARD'!$C$7))</f>
        <v>1</v>
      </c>
      <c r="J364" s="8" t="str">
        <f t="shared" si="10"/>
        <v>High</v>
      </c>
      <c r="K364" s="8" t="str">
        <f t="shared" si="11"/>
        <v>Medium</v>
      </c>
    </row>
    <row r="365" ht="29" spans="1:11">
      <c r="A365" s="8" t="str">
        <f>'08_GDE_RISK_ENGINE'!A365</f>
        <v>PTH2GCB01 BB001</v>
      </c>
      <c r="B365" s="8" t="str">
        <f>'08_GDE_RISK_ENGINE'!B365</f>
        <v>Equipment</v>
      </c>
      <c r="C365" s="8" t="str">
        <f>'08_GDE_RISK_ENGINE'!C365</f>
        <v>Equipment</v>
      </c>
      <c r="D365" s="8" t="str">
        <f>'08_GDE_RISK_ENGINE'!D365</f>
        <v>EQ-EQUIP-GCB-STATICEQUIPMENT</v>
      </c>
      <c r="E365" s="8">
        <f>'08_GDE_RISK_ENGINE'!E365</f>
        <v>3</v>
      </c>
      <c r="F365" s="8">
        <f>'08_GDE_RISK_ENGINE'!F365</f>
        <v>2</v>
      </c>
      <c r="G365" s="8" t="str">
        <f>'08_GDE_RISK_ENGINE'!G365</f>
        <v>High</v>
      </c>
      <c r="H365" s="8">
        <f>IF(A365="","",MIN(5,E365+'14_GDE_RISK_MATRIX_DASHBOARD'!$C$6))</f>
        <v>4</v>
      </c>
      <c r="I365" s="8">
        <f>IF(A365="","",MAX(1,E365-'14_GDE_RISK_MATRIX_DASHBOARD'!$C$7))</f>
        <v>2</v>
      </c>
      <c r="J365" s="8" t="str">
        <f t="shared" si="10"/>
        <v>Medium</v>
      </c>
      <c r="K365" s="8" t="str">
        <f t="shared" si="11"/>
        <v>Medium</v>
      </c>
    </row>
    <row r="366" ht="29" spans="1:11">
      <c r="A366" s="8" t="str">
        <f>'08_GDE_RISK_ENGINE'!A366</f>
        <v>PTH2GCB01 AP001</v>
      </c>
      <c r="B366" s="8" t="str">
        <f>'08_GDE_RISK_ENGINE'!B366</f>
        <v>Equipment</v>
      </c>
      <c r="C366" s="8" t="str">
        <f>'08_GDE_RISK_ENGINE'!C366</f>
        <v>Equipment</v>
      </c>
      <c r="D366" s="8" t="str">
        <f>'08_GDE_RISK_ENGINE'!D366</f>
        <v>EQ-EQUIP-GCB-ROTATINGPACKAGE</v>
      </c>
      <c r="E366" s="8">
        <f>'08_GDE_RISK_ENGINE'!E366</f>
        <v>2</v>
      </c>
      <c r="F366" s="8">
        <f>'08_GDE_RISK_ENGINE'!F366</f>
        <v>2</v>
      </c>
      <c r="G366" s="8" t="str">
        <f>'08_GDE_RISK_ENGINE'!G366</f>
        <v>Medium</v>
      </c>
      <c r="H366" s="8">
        <f>IF(A366="","",MIN(5,E366+'14_GDE_RISK_MATRIX_DASHBOARD'!$C$6))</f>
        <v>3</v>
      </c>
      <c r="I366" s="8">
        <f>IF(A366="","",MAX(1,E366-'14_GDE_RISK_MATRIX_DASHBOARD'!$C$7))</f>
        <v>1</v>
      </c>
      <c r="J366" s="8" t="str">
        <f t="shared" si="10"/>
        <v>Medium</v>
      </c>
      <c r="K366" s="8" t="str">
        <f t="shared" si="11"/>
        <v>Medium</v>
      </c>
    </row>
    <row r="367" ht="29" spans="1:11">
      <c r="A367" s="8" t="str">
        <f>'08_GDE_RISK_ENGINE'!A367</f>
        <v>PTH2MAJ11 BN010</v>
      </c>
      <c r="B367" s="8" t="str">
        <f>'08_GDE_RISK_ENGINE'!B367</f>
        <v>Equipment</v>
      </c>
      <c r="C367" s="8" t="str">
        <f>'08_GDE_RISK_ENGINE'!C367</f>
        <v>Power Block</v>
      </c>
      <c r="D367" s="8" t="str">
        <f>'08_GDE_RISK_ENGINE'!D367</f>
        <v>EQ-POWER-MAJ-EQUIPMENT</v>
      </c>
      <c r="E367" s="8">
        <f>'08_GDE_RISK_ENGINE'!E367</f>
        <v>2</v>
      </c>
      <c r="F367" s="8">
        <f>'08_GDE_RISK_ENGINE'!F367</f>
        <v>4</v>
      </c>
      <c r="G367" s="8" t="str">
        <f>'08_GDE_RISK_ENGINE'!G367</f>
        <v>High</v>
      </c>
      <c r="H367" s="8">
        <f>IF(A367="","",MIN(5,E367+'14_GDE_RISK_MATRIX_DASHBOARD'!$C$6))</f>
        <v>3</v>
      </c>
      <c r="I367" s="8">
        <f>IF(A367="","",MAX(1,E367-'14_GDE_RISK_MATRIX_DASHBOARD'!$C$7))</f>
        <v>1</v>
      </c>
      <c r="J367" s="8" t="str">
        <f t="shared" si="10"/>
        <v>High</v>
      </c>
      <c r="K367" s="8" t="str">
        <f t="shared" si="11"/>
        <v>Medium</v>
      </c>
    </row>
    <row r="368" ht="29" spans="1:11">
      <c r="A368" s="8" t="str">
        <f>'08_GDE_RISK_ENGINE'!A368</f>
        <v>PTH2MAJ12 BN010</v>
      </c>
      <c r="B368" s="8" t="str">
        <f>'08_GDE_RISK_ENGINE'!B368</f>
        <v>Equipment</v>
      </c>
      <c r="C368" s="8" t="str">
        <f>'08_GDE_RISK_ENGINE'!C368</f>
        <v>Power Block</v>
      </c>
      <c r="D368" s="8" t="str">
        <f>'08_GDE_RISK_ENGINE'!D368</f>
        <v>EQ-POWER-MAJ-EQUIPMENT</v>
      </c>
      <c r="E368" s="8">
        <f>'08_GDE_RISK_ENGINE'!E368</f>
        <v>2</v>
      </c>
      <c r="F368" s="8">
        <f>'08_GDE_RISK_ENGINE'!F368</f>
        <v>4</v>
      </c>
      <c r="G368" s="8" t="str">
        <f>'08_GDE_RISK_ENGINE'!G368</f>
        <v>High</v>
      </c>
      <c r="H368" s="8">
        <f>IF(A368="","",MIN(5,E368+'14_GDE_RISK_MATRIX_DASHBOARD'!$C$6))</f>
        <v>3</v>
      </c>
      <c r="I368" s="8">
        <f>IF(A368="","",MAX(1,E368-'14_GDE_RISK_MATRIX_DASHBOARD'!$C$7))</f>
        <v>1</v>
      </c>
      <c r="J368" s="8" t="str">
        <f t="shared" si="10"/>
        <v>High</v>
      </c>
      <c r="K368" s="8" t="str">
        <f t="shared" si="11"/>
        <v>Medium</v>
      </c>
    </row>
    <row r="369" ht="29" spans="1:11">
      <c r="A369" s="8" t="str">
        <f>'08_GDE_RISK_ENGINE'!A369</f>
        <v>PTH2MAJ13 BN010</v>
      </c>
      <c r="B369" s="8" t="str">
        <f>'08_GDE_RISK_ENGINE'!B369</f>
        <v>Equipment</v>
      </c>
      <c r="C369" s="8" t="str">
        <f>'08_GDE_RISK_ENGINE'!C369</f>
        <v>Power Block</v>
      </c>
      <c r="D369" s="8" t="str">
        <f>'08_GDE_RISK_ENGINE'!D369</f>
        <v>EQ-POWER-MAJ-EQUIPMENT</v>
      </c>
      <c r="E369" s="8">
        <f>'08_GDE_RISK_ENGINE'!E369</f>
        <v>2</v>
      </c>
      <c r="F369" s="8">
        <f>'08_GDE_RISK_ENGINE'!F369</f>
        <v>4</v>
      </c>
      <c r="G369" s="8" t="str">
        <f>'08_GDE_RISK_ENGINE'!G369</f>
        <v>High</v>
      </c>
      <c r="H369" s="8">
        <f>IF(A369="","",MIN(5,E369+'14_GDE_RISK_MATRIX_DASHBOARD'!$C$6))</f>
        <v>3</v>
      </c>
      <c r="I369" s="8">
        <f>IF(A369="","",MAX(1,E369-'14_GDE_RISK_MATRIX_DASHBOARD'!$C$7))</f>
        <v>1</v>
      </c>
      <c r="J369" s="8" t="str">
        <f t="shared" si="10"/>
        <v>High</v>
      </c>
      <c r="K369" s="8" t="str">
        <f t="shared" si="11"/>
        <v>Medium</v>
      </c>
    </row>
    <row r="370" ht="29" spans="1:11">
      <c r="A370" s="8" t="str">
        <f>'08_GDE_RISK_ENGINE'!A370</f>
        <v>PTH2MAJ21 AC010</v>
      </c>
      <c r="B370" s="8" t="str">
        <f>'08_GDE_RISK_ENGINE'!B370</f>
        <v>Equipment</v>
      </c>
      <c r="C370" s="8" t="str">
        <f>'08_GDE_RISK_ENGINE'!C370</f>
        <v>Power Block</v>
      </c>
      <c r="D370" s="8" t="str">
        <f>'08_GDE_RISK_ENGINE'!D370</f>
        <v>EQ-POWER-MAJ-STATICEQUIPMENT</v>
      </c>
      <c r="E370" s="8">
        <f>'08_GDE_RISK_ENGINE'!E370</f>
        <v>3</v>
      </c>
      <c r="F370" s="8">
        <f>'08_GDE_RISK_ENGINE'!F370</f>
        <v>5</v>
      </c>
      <c r="G370" s="8" t="str">
        <f>'08_GDE_RISK_ENGINE'!G370</f>
        <v>Extreme High</v>
      </c>
      <c r="H370" s="8">
        <f>IF(A370="","",MIN(5,E370+'14_GDE_RISK_MATRIX_DASHBOARD'!$C$6))</f>
        <v>4</v>
      </c>
      <c r="I370" s="8">
        <f>IF(A370="","",MAX(1,E370-'14_GDE_RISK_MATRIX_DASHBOARD'!$C$7))</f>
        <v>2</v>
      </c>
      <c r="J370" s="8" t="str">
        <f t="shared" si="10"/>
        <v>Extreme High</v>
      </c>
      <c r="K370" s="8" t="str">
        <f t="shared" si="11"/>
        <v>High</v>
      </c>
    </row>
    <row r="371" ht="29" spans="1:11">
      <c r="A371" s="8" t="str">
        <f>'08_GDE_RISK_ENGINE'!A371</f>
        <v>PTH2MAJ51 AP001</v>
      </c>
      <c r="B371" s="8" t="str">
        <f>'08_GDE_RISK_ENGINE'!B371</f>
        <v>Equipment</v>
      </c>
      <c r="C371" s="8" t="str">
        <f>'08_GDE_RISK_ENGINE'!C371</f>
        <v>Power Block</v>
      </c>
      <c r="D371" s="8" t="str">
        <f>'08_GDE_RISK_ENGINE'!D371</f>
        <v>EQ-POWER-MAJ-EQUIPMENT</v>
      </c>
      <c r="E371" s="8">
        <f>'08_GDE_RISK_ENGINE'!E371</f>
        <v>2</v>
      </c>
      <c r="F371" s="8">
        <f>'08_GDE_RISK_ENGINE'!F371</f>
        <v>4</v>
      </c>
      <c r="G371" s="8" t="str">
        <f>'08_GDE_RISK_ENGINE'!G371</f>
        <v>High</v>
      </c>
      <c r="H371" s="8">
        <f>IF(A371="","",MIN(5,E371+'14_GDE_RISK_MATRIX_DASHBOARD'!$C$6))</f>
        <v>3</v>
      </c>
      <c r="I371" s="8">
        <f>IF(A371="","",MAX(1,E371-'14_GDE_RISK_MATRIX_DASHBOARD'!$C$7))</f>
        <v>1</v>
      </c>
      <c r="J371" s="8" t="str">
        <f t="shared" si="10"/>
        <v>High</v>
      </c>
      <c r="K371" s="8" t="str">
        <f t="shared" si="11"/>
        <v>Medium</v>
      </c>
    </row>
    <row r="372" ht="29" spans="1:11">
      <c r="A372" s="8" t="str">
        <f>'08_GDE_RISK_ENGINE'!A372</f>
        <v>PTH2MAJ52 AP001</v>
      </c>
      <c r="B372" s="8" t="str">
        <f>'08_GDE_RISK_ENGINE'!B372</f>
        <v>Equipment</v>
      </c>
      <c r="C372" s="8" t="str">
        <f>'08_GDE_RISK_ENGINE'!C372</f>
        <v>Power Block</v>
      </c>
      <c r="D372" s="8" t="str">
        <f>'08_GDE_RISK_ENGINE'!D372</f>
        <v>EQ-POWER-MAJ-ROTATINGPACKAGE</v>
      </c>
      <c r="E372" s="8">
        <f>'08_GDE_RISK_ENGINE'!E372</f>
        <v>2</v>
      </c>
      <c r="F372" s="8">
        <f>'08_GDE_RISK_ENGINE'!F372</f>
        <v>4</v>
      </c>
      <c r="G372" s="8" t="str">
        <f>'08_GDE_RISK_ENGINE'!G372</f>
        <v>High</v>
      </c>
      <c r="H372" s="8">
        <f>IF(A372="","",MIN(5,E372+'14_GDE_RISK_MATRIX_DASHBOARD'!$C$6))</f>
        <v>3</v>
      </c>
      <c r="I372" s="8">
        <f>IF(A372="","",MAX(1,E372-'14_GDE_RISK_MATRIX_DASHBOARD'!$C$7))</f>
        <v>1</v>
      </c>
      <c r="J372" s="8" t="str">
        <f t="shared" si="10"/>
        <v>High</v>
      </c>
      <c r="K372" s="8" t="str">
        <f t="shared" si="11"/>
        <v>Medium</v>
      </c>
    </row>
    <row r="373" ht="29" spans="1:11">
      <c r="A373" s="8" t="str">
        <f>'08_GDE_RISK_ENGINE'!A373</f>
        <v>PTH2MAJ51 AT001</v>
      </c>
      <c r="B373" s="8" t="str">
        <f>'08_GDE_RISK_ENGINE'!B373</f>
        <v>Equipment</v>
      </c>
      <c r="C373" s="8" t="str">
        <f>'08_GDE_RISK_ENGINE'!C373</f>
        <v>Power Block</v>
      </c>
      <c r="D373" s="8" t="str">
        <f>'08_GDE_RISK_ENGINE'!D373</f>
        <v>EQ-POWER-MAJ-EQUIPMENT</v>
      </c>
      <c r="E373" s="8">
        <f>'08_GDE_RISK_ENGINE'!E373</f>
        <v>2</v>
      </c>
      <c r="F373" s="8">
        <f>'08_GDE_RISK_ENGINE'!F373</f>
        <v>4</v>
      </c>
      <c r="G373" s="8" t="str">
        <f>'08_GDE_RISK_ENGINE'!G373</f>
        <v>High</v>
      </c>
      <c r="H373" s="8">
        <f>IF(A373="","",MIN(5,E373+'14_GDE_RISK_MATRIX_DASHBOARD'!$C$6))</f>
        <v>3</v>
      </c>
      <c r="I373" s="8">
        <f>IF(A373="","",MAX(1,E373-'14_GDE_RISK_MATRIX_DASHBOARD'!$C$7))</f>
        <v>1</v>
      </c>
      <c r="J373" s="8" t="str">
        <f t="shared" si="10"/>
        <v>High</v>
      </c>
      <c r="K373" s="8" t="str">
        <f t="shared" si="11"/>
        <v>Medium</v>
      </c>
    </row>
    <row r="374" ht="29" spans="1:11">
      <c r="A374" s="8" t="str">
        <f>'08_GDE_RISK_ENGINE'!A374</f>
        <v>PTH2MAJ52 AT001</v>
      </c>
      <c r="B374" s="8" t="str">
        <f>'08_GDE_RISK_ENGINE'!B374</f>
        <v>Equipment</v>
      </c>
      <c r="C374" s="8" t="str">
        <f>'08_GDE_RISK_ENGINE'!C374</f>
        <v>Power Block</v>
      </c>
      <c r="D374" s="8" t="str">
        <f>'08_GDE_RISK_ENGINE'!D374</f>
        <v>EQ-POWER-MAJ-STATICEQUIPMENT</v>
      </c>
      <c r="E374" s="8">
        <f>'08_GDE_RISK_ENGINE'!E374</f>
        <v>3</v>
      </c>
      <c r="F374" s="8">
        <f>'08_GDE_RISK_ENGINE'!F374</f>
        <v>4</v>
      </c>
      <c r="G374" s="8" t="str">
        <f>'08_GDE_RISK_ENGINE'!G374</f>
        <v>High</v>
      </c>
      <c r="H374" s="8">
        <f>IF(A374="","",MIN(5,E374+'14_GDE_RISK_MATRIX_DASHBOARD'!$C$6))</f>
        <v>4</v>
      </c>
      <c r="I374" s="8">
        <f>IF(A374="","",MAX(1,E374-'14_GDE_RISK_MATRIX_DASHBOARD'!$C$7))</f>
        <v>2</v>
      </c>
      <c r="J374" s="8" t="str">
        <f t="shared" si="10"/>
        <v>Extreme High</v>
      </c>
      <c r="K374" s="8" t="str">
        <f t="shared" si="11"/>
        <v>Medium</v>
      </c>
    </row>
    <row r="375" ht="29" spans="1:11">
      <c r="A375" s="8" t="str">
        <f>'08_GDE_RISK_ENGINE'!A375</f>
        <v>PTH2MAJ41 BN010</v>
      </c>
      <c r="B375" s="8" t="str">
        <f>'08_GDE_RISK_ENGINE'!B375</f>
        <v>Equipment</v>
      </c>
      <c r="C375" s="8" t="str">
        <f>'08_GDE_RISK_ENGINE'!C375</f>
        <v>Power Block</v>
      </c>
      <c r="D375" s="8" t="str">
        <f>'08_GDE_RISK_ENGINE'!D375</f>
        <v>EQ-POWER-MAJ-EQUIPMENT</v>
      </c>
      <c r="E375" s="8">
        <f>'08_GDE_RISK_ENGINE'!E375</f>
        <v>2</v>
      </c>
      <c r="F375" s="8">
        <f>'08_GDE_RISK_ENGINE'!F375</f>
        <v>4</v>
      </c>
      <c r="G375" s="8" t="str">
        <f>'08_GDE_RISK_ENGINE'!G375</f>
        <v>High</v>
      </c>
      <c r="H375" s="8">
        <f>IF(A375="","",MIN(5,E375+'14_GDE_RISK_MATRIX_DASHBOARD'!$C$6))</f>
        <v>3</v>
      </c>
      <c r="I375" s="8">
        <f>IF(A375="","",MAX(1,E375-'14_GDE_RISK_MATRIX_DASHBOARD'!$C$7))</f>
        <v>1</v>
      </c>
      <c r="J375" s="8" t="str">
        <f t="shared" si="10"/>
        <v>High</v>
      </c>
      <c r="K375" s="8" t="str">
        <f t="shared" si="11"/>
        <v>Medium</v>
      </c>
    </row>
    <row r="376" ht="29" spans="1:11">
      <c r="A376" s="8" t="str">
        <f>'08_GDE_RISK_ENGINE'!A376</f>
        <v>PTH2MAJ42 AC010</v>
      </c>
      <c r="B376" s="8" t="str">
        <f>'08_GDE_RISK_ENGINE'!B376</f>
        <v>Equipment</v>
      </c>
      <c r="C376" s="8" t="str">
        <f>'08_GDE_RISK_ENGINE'!C376</f>
        <v>Power Block</v>
      </c>
      <c r="D376" s="8" t="str">
        <f>'08_GDE_RISK_ENGINE'!D376</f>
        <v>EQ-POWER-MAJ-STATICEQUIPMENT</v>
      </c>
      <c r="E376" s="8">
        <f>'08_GDE_RISK_ENGINE'!E376</f>
        <v>3</v>
      </c>
      <c r="F376" s="8">
        <f>'08_GDE_RISK_ENGINE'!F376</f>
        <v>5</v>
      </c>
      <c r="G376" s="8" t="str">
        <f>'08_GDE_RISK_ENGINE'!G376</f>
        <v>Extreme High</v>
      </c>
      <c r="H376" s="8">
        <f>IF(A376="","",MIN(5,E376+'14_GDE_RISK_MATRIX_DASHBOARD'!$C$6))</f>
        <v>4</v>
      </c>
      <c r="I376" s="8">
        <f>IF(A376="","",MAX(1,E376-'14_GDE_RISK_MATRIX_DASHBOARD'!$C$7))</f>
        <v>2</v>
      </c>
      <c r="J376" s="8" t="str">
        <f t="shared" si="10"/>
        <v>Extreme High</v>
      </c>
      <c r="K376" s="8" t="str">
        <f t="shared" si="11"/>
        <v>High</v>
      </c>
    </row>
    <row r="377" ht="29" spans="1:11">
      <c r="A377" s="8" t="str">
        <f>'08_GDE_RISK_ENGINE'!A377</f>
        <v>PTH2LCB01 AP001</v>
      </c>
      <c r="B377" s="8" t="str">
        <f>'08_GDE_RISK_ENGINE'!B377</f>
        <v>Equipment</v>
      </c>
      <c r="C377" s="8" t="str">
        <f>'08_GDE_RISK_ENGINE'!C377</f>
        <v>BOP/Utility</v>
      </c>
      <c r="D377" s="8" t="str">
        <f>'08_GDE_RISK_ENGINE'!D377</f>
        <v>EQ-BOPUT-LCB-EQUIPMENT</v>
      </c>
      <c r="E377" s="8">
        <f>'08_GDE_RISK_ENGINE'!E377</f>
        <v>2</v>
      </c>
      <c r="F377" s="8">
        <f>'08_GDE_RISK_ENGINE'!F377</f>
        <v>2</v>
      </c>
      <c r="G377" s="8" t="str">
        <f>'08_GDE_RISK_ENGINE'!G377</f>
        <v>Medium</v>
      </c>
      <c r="H377" s="8">
        <f>IF(A377="","",MIN(5,E377+'14_GDE_RISK_MATRIX_DASHBOARD'!$C$6))</f>
        <v>3</v>
      </c>
      <c r="I377" s="8">
        <f>IF(A377="","",MAX(1,E377-'14_GDE_RISK_MATRIX_DASHBOARD'!$C$7))</f>
        <v>1</v>
      </c>
      <c r="J377" s="8" t="str">
        <f t="shared" si="10"/>
        <v>Medium</v>
      </c>
      <c r="K377" s="8" t="str">
        <f t="shared" si="11"/>
        <v>Medium</v>
      </c>
    </row>
    <row r="378" ht="29" spans="1:11">
      <c r="A378" s="8" t="str">
        <f>'08_GDE_RISK_ENGINE'!A378</f>
        <v>PTH2LCB02 AP001</v>
      </c>
      <c r="B378" s="8" t="str">
        <f>'08_GDE_RISK_ENGINE'!B378</f>
        <v>Equipment</v>
      </c>
      <c r="C378" s="8" t="str">
        <f>'08_GDE_RISK_ENGINE'!C378</f>
        <v>BOP/Utility</v>
      </c>
      <c r="D378" s="8" t="str">
        <f>'08_GDE_RISK_ENGINE'!D378</f>
        <v>EQ-BOPUT-LCB-ROTATINGPACKAGE</v>
      </c>
      <c r="E378" s="8">
        <f>'08_GDE_RISK_ENGINE'!E378</f>
        <v>2</v>
      </c>
      <c r="F378" s="8">
        <f>'08_GDE_RISK_ENGINE'!F378</f>
        <v>4</v>
      </c>
      <c r="G378" s="8" t="str">
        <f>'08_GDE_RISK_ENGINE'!G378</f>
        <v>High</v>
      </c>
      <c r="H378" s="8">
        <f>IF(A378="","",MIN(5,E378+'14_GDE_RISK_MATRIX_DASHBOARD'!$C$6))</f>
        <v>3</v>
      </c>
      <c r="I378" s="8">
        <f>IF(A378="","",MAX(1,E378-'14_GDE_RISK_MATRIX_DASHBOARD'!$C$7))</f>
        <v>1</v>
      </c>
      <c r="J378" s="8" t="str">
        <f t="shared" si="10"/>
        <v>High</v>
      </c>
      <c r="K378" s="8" t="str">
        <f t="shared" si="11"/>
        <v>Medium</v>
      </c>
    </row>
    <row r="379" ht="29" spans="1:11">
      <c r="A379" s="8" t="str">
        <f>'08_GDE_RISK_ENGINE'!A379</f>
        <v>PTH2PAE01 AP001</v>
      </c>
      <c r="B379" s="8" t="str">
        <f>'08_GDE_RISK_ENGINE'!B379</f>
        <v>Equipment</v>
      </c>
      <c r="C379" s="8" t="str">
        <f>'08_GDE_RISK_ENGINE'!C379</f>
        <v>BOP/Utility</v>
      </c>
      <c r="D379" s="8" t="str">
        <f>'08_GDE_RISK_ENGINE'!D379</f>
        <v>EQ-BOPUT-PAE-EQUIPMENT</v>
      </c>
      <c r="E379" s="8">
        <f>'08_GDE_RISK_ENGINE'!E379</f>
        <v>2</v>
      </c>
      <c r="F379" s="8">
        <f>'08_GDE_RISK_ENGINE'!F379</f>
        <v>3</v>
      </c>
      <c r="G379" s="8" t="str">
        <f>'08_GDE_RISK_ENGINE'!G379</f>
        <v>High</v>
      </c>
      <c r="H379" s="8">
        <f>IF(A379="","",MIN(5,E379+'14_GDE_RISK_MATRIX_DASHBOARD'!$C$6))</f>
        <v>3</v>
      </c>
      <c r="I379" s="8">
        <f>IF(A379="","",MAX(1,E379-'14_GDE_RISK_MATRIX_DASHBOARD'!$C$7))</f>
        <v>1</v>
      </c>
      <c r="J379" s="8" t="str">
        <f t="shared" si="10"/>
        <v>High</v>
      </c>
      <c r="K379" s="8" t="str">
        <f t="shared" si="11"/>
        <v>Medium</v>
      </c>
    </row>
    <row r="380" ht="29" spans="1:11">
      <c r="A380" s="8" t="str">
        <f>'08_GDE_RISK_ENGINE'!A380</f>
        <v>PTH2PAE02 AP001</v>
      </c>
      <c r="B380" s="8" t="str">
        <f>'08_GDE_RISK_ENGINE'!B380</f>
        <v>Equipment</v>
      </c>
      <c r="C380" s="8" t="str">
        <f>'08_GDE_RISK_ENGINE'!C380</f>
        <v>BOP/Utility</v>
      </c>
      <c r="D380" s="8" t="str">
        <f>'08_GDE_RISK_ENGINE'!D380</f>
        <v>EQ-BOPUT-PAE-ROTATINGPACKAGE</v>
      </c>
      <c r="E380" s="8">
        <f>'08_GDE_RISK_ENGINE'!E380</f>
        <v>2</v>
      </c>
      <c r="F380" s="8">
        <f>'08_GDE_RISK_ENGINE'!F380</f>
        <v>3</v>
      </c>
      <c r="G380" s="8" t="str">
        <f>'08_GDE_RISK_ENGINE'!G380</f>
        <v>High</v>
      </c>
      <c r="H380" s="8">
        <f>IF(A380="","",MIN(5,E380+'14_GDE_RISK_MATRIX_DASHBOARD'!$C$6))</f>
        <v>3</v>
      </c>
      <c r="I380" s="8">
        <f>IF(A380="","",MAX(1,E380-'14_GDE_RISK_MATRIX_DASHBOARD'!$C$7))</f>
        <v>1</v>
      </c>
      <c r="J380" s="8" t="str">
        <f t="shared" si="10"/>
        <v>High</v>
      </c>
      <c r="K380" s="8" t="str">
        <f t="shared" si="11"/>
        <v>Medium</v>
      </c>
    </row>
    <row r="381" ht="29" spans="1:11">
      <c r="A381" s="8" t="str">
        <f>'08_GDE_RISK_ENGINE'!A381</f>
        <v>PTH2PAD01 AH001</v>
      </c>
      <c r="B381" s="8" t="str">
        <f>'08_GDE_RISK_ENGINE'!B381</f>
        <v>Equipment</v>
      </c>
      <c r="C381" s="8" t="str">
        <f>'08_GDE_RISK_ENGINE'!C381</f>
        <v>BOP/Utility</v>
      </c>
      <c r="D381" s="8" t="str">
        <f>'08_GDE_RISK_ENGINE'!D381</f>
        <v>EQ-BOPUT-PAD-EQUIPMENT</v>
      </c>
      <c r="E381" s="8">
        <f>'08_GDE_RISK_ENGINE'!E381</f>
        <v>2</v>
      </c>
      <c r="F381" s="8">
        <f>'08_GDE_RISK_ENGINE'!F381</f>
        <v>4</v>
      </c>
      <c r="G381" s="8" t="str">
        <f>'08_GDE_RISK_ENGINE'!G381</f>
        <v>High</v>
      </c>
      <c r="H381" s="8">
        <f>IF(A381="","",MIN(5,E381+'14_GDE_RISK_MATRIX_DASHBOARD'!$C$6))</f>
        <v>3</v>
      </c>
      <c r="I381" s="8">
        <f>IF(A381="","",MAX(1,E381-'14_GDE_RISK_MATRIX_DASHBOARD'!$C$7))</f>
        <v>1</v>
      </c>
      <c r="J381" s="8" t="str">
        <f t="shared" si="10"/>
        <v>High</v>
      </c>
      <c r="K381" s="8" t="str">
        <f t="shared" si="11"/>
        <v>Medium</v>
      </c>
    </row>
    <row r="382" ht="29" spans="1:11">
      <c r="A382" s="8" t="str">
        <f>'08_GDE_RISK_ENGINE'!A382</f>
        <v>PTH2PAD01 BF001</v>
      </c>
      <c r="B382" s="8" t="str">
        <f>'08_GDE_RISK_ENGINE'!B382</f>
        <v>Equipment</v>
      </c>
      <c r="C382" s="8" t="str">
        <f>'08_GDE_RISK_ENGINE'!C382</f>
        <v>BOP/Utility</v>
      </c>
      <c r="D382" s="8" t="str">
        <f>'08_GDE_RISK_ENGINE'!D382</f>
        <v>EQ-BOPUT-PAD-CIVILSTATIC</v>
      </c>
      <c r="E382" s="8">
        <f>'08_GDE_RISK_ENGINE'!E382</f>
        <v>3</v>
      </c>
      <c r="F382" s="8">
        <f>'08_GDE_RISK_ENGINE'!F382</f>
        <v>4</v>
      </c>
      <c r="G382" s="8" t="str">
        <f>'08_GDE_RISK_ENGINE'!G382</f>
        <v>High</v>
      </c>
      <c r="H382" s="8">
        <f>IF(A382="","",MIN(5,E382+'14_GDE_RISK_MATRIX_DASHBOARD'!$C$6))</f>
        <v>4</v>
      </c>
      <c r="I382" s="8">
        <f>IF(A382="","",MAX(1,E382-'14_GDE_RISK_MATRIX_DASHBOARD'!$C$7))</f>
        <v>2</v>
      </c>
      <c r="J382" s="8" t="str">
        <f t="shared" si="10"/>
        <v>Extreme High</v>
      </c>
      <c r="K382" s="8" t="str">
        <f t="shared" si="11"/>
        <v>Medium</v>
      </c>
    </row>
    <row r="383" ht="29" spans="1:11">
      <c r="A383" s="8" t="str">
        <f>'08_GDE_RISK_ENGINE'!A383</f>
        <v>PTH2LCB01 AP002</v>
      </c>
      <c r="B383" s="8" t="str">
        <f>'08_GDE_RISK_ENGINE'!B383</f>
        <v>Equipment</v>
      </c>
      <c r="C383" s="8" t="str">
        <f>'08_GDE_RISK_ENGINE'!C383</f>
        <v>BOP/Utility</v>
      </c>
      <c r="D383" s="8" t="str">
        <f>'08_GDE_RISK_ENGINE'!D383</f>
        <v>EQ-BOPUT-LCB-EQUIPMENT</v>
      </c>
      <c r="E383" s="8">
        <f>'08_GDE_RISK_ENGINE'!E383</f>
        <v>2</v>
      </c>
      <c r="F383" s="8">
        <f>'08_GDE_RISK_ENGINE'!F383</f>
        <v>2</v>
      </c>
      <c r="G383" s="8" t="str">
        <f>'08_GDE_RISK_ENGINE'!G383</f>
        <v>Medium</v>
      </c>
      <c r="H383" s="8">
        <f>IF(A383="","",MIN(5,E383+'14_GDE_RISK_MATRIX_DASHBOARD'!$C$6))</f>
        <v>3</v>
      </c>
      <c r="I383" s="8">
        <f>IF(A383="","",MAX(1,E383-'14_GDE_RISK_MATRIX_DASHBOARD'!$C$7))</f>
        <v>1</v>
      </c>
      <c r="J383" s="8" t="str">
        <f t="shared" si="10"/>
        <v>Medium</v>
      </c>
      <c r="K383" s="8" t="str">
        <f t="shared" si="11"/>
        <v>Medium</v>
      </c>
    </row>
    <row r="384" ht="29" spans="1:11">
      <c r="A384" s="8" t="str">
        <f>'08_GDE_RISK_ENGINE'!A384</f>
        <v>PTH2LCB02 AP002</v>
      </c>
      <c r="B384" s="8" t="str">
        <f>'08_GDE_RISK_ENGINE'!B384</f>
        <v>Equipment</v>
      </c>
      <c r="C384" s="8" t="str">
        <f>'08_GDE_RISK_ENGINE'!C384</f>
        <v>Power Block</v>
      </c>
      <c r="D384" s="8" t="str">
        <f>'08_GDE_RISK_ENGINE'!D384</f>
        <v>EQ-POWER-LCB-ROTATINGPACKAGE</v>
      </c>
      <c r="E384" s="8">
        <f>'08_GDE_RISK_ENGINE'!E384</f>
        <v>2</v>
      </c>
      <c r="F384" s="8">
        <f>'08_GDE_RISK_ENGINE'!F384</f>
        <v>4</v>
      </c>
      <c r="G384" s="8" t="str">
        <f>'08_GDE_RISK_ENGINE'!G384</f>
        <v>High</v>
      </c>
      <c r="H384" s="8">
        <f>IF(A384="","",MIN(5,E384+'14_GDE_RISK_MATRIX_DASHBOARD'!$C$6))</f>
        <v>3</v>
      </c>
      <c r="I384" s="8">
        <f>IF(A384="","",MAX(1,E384-'14_GDE_RISK_MATRIX_DASHBOARD'!$C$7))</f>
        <v>1</v>
      </c>
      <c r="J384" s="8" t="str">
        <f t="shared" si="10"/>
        <v>High</v>
      </c>
      <c r="K384" s="8" t="str">
        <f t="shared" si="11"/>
        <v>Medium</v>
      </c>
    </row>
    <row r="385" ht="29" spans="1:11">
      <c r="A385" s="8" t="str">
        <f>'08_GDE_RISK_ENGINE'!A385</f>
        <v>PTH2PAD01 AP001</v>
      </c>
      <c r="B385" s="8" t="str">
        <f>'08_GDE_RISK_ENGINE'!B385</f>
        <v>Equipment</v>
      </c>
      <c r="C385" s="8" t="str">
        <f>'08_GDE_RISK_ENGINE'!C385</f>
        <v>BOP/Utility</v>
      </c>
      <c r="D385" s="8" t="str">
        <f>'08_GDE_RISK_ENGINE'!D385</f>
        <v>EQ-BOPUT-PAD-ROTATINGPACKAGE</v>
      </c>
      <c r="E385" s="8">
        <f>'08_GDE_RISK_ENGINE'!E385</f>
        <v>2</v>
      </c>
      <c r="F385" s="8">
        <f>'08_GDE_RISK_ENGINE'!F385</f>
        <v>4</v>
      </c>
      <c r="G385" s="8" t="str">
        <f>'08_GDE_RISK_ENGINE'!G385</f>
        <v>High</v>
      </c>
      <c r="H385" s="8">
        <f>IF(A385="","",MIN(5,E385+'14_GDE_RISK_MATRIX_DASHBOARD'!$C$6))</f>
        <v>3</v>
      </c>
      <c r="I385" s="8">
        <f>IF(A385="","",MAX(1,E385-'14_GDE_RISK_MATRIX_DASHBOARD'!$C$7))</f>
        <v>1</v>
      </c>
      <c r="J385" s="8" t="str">
        <f t="shared" si="10"/>
        <v>High</v>
      </c>
      <c r="K385" s="8" t="str">
        <f t="shared" si="11"/>
        <v>Medium</v>
      </c>
    </row>
    <row r="386" ht="29" spans="1:11">
      <c r="A386" s="8" t="str">
        <f>'08_GDE_RISK_ENGINE'!A386</f>
        <v>PTH2QEA01 AN001</v>
      </c>
      <c r="B386" s="8" t="str">
        <f>'08_GDE_RISK_ENGINE'!B386</f>
        <v>Equipment</v>
      </c>
      <c r="C386" s="8" t="str">
        <f>'08_GDE_RISK_ENGINE'!C386</f>
        <v>BOP/Utility</v>
      </c>
      <c r="D386" s="8" t="str">
        <f>'08_GDE_RISK_ENGINE'!D386</f>
        <v>EQ-BOPUT-QEA-EQUIPMENT</v>
      </c>
      <c r="E386" s="8">
        <f>'08_GDE_RISK_ENGINE'!E386</f>
        <v>2</v>
      </c>
      <c r="F386" s="8">
        <f>'08_GDE_RISK_ENGINE'!F386</f>
        <v>2</v>
      </c>
      <c r="G386" s="8" t="str">
        <f>'08_GDE_RISK_ENGINE'!G386</f>
        <v>Medium</v>
      </c>
      <c r="H386" s="8">
        <f>IF(A386="","",MIN(5,E386+'14_GDE_RISK_MATRIX_DASHBOARD'!$C$6))</f>
        <v>3</v>
      </c>
      <c r="I386" s="8">
        <f>IF(A386="","",MAX(1,E386-'14_GDE_RISK_MATRIX_DASHBOARD'!$C$7))</f>
        <v>1</v>
      </c>
      <c r="J386" s="8" t="str">
        <f t="shared" si="10"/>
        <v>Medium</v>
      </c>
      <c r="K386" s="8" t="str">
        <f t="shared" si="11"/>
        <v>Medium</v>
      </c>
    </row>
    <row r="387" ht="29" spans="1:11">
      <c r="A387" s="8" t="str">
        <f>'08_GDE_RISK_ENGINE'!A387</f>
        <v>PTH2QEA01 AN002</v>
      </c>
      <c r="B387" s="8" t="str">
        <f>'08_GDE_RISK_ENGINE'!B387</f>
        <v>Equipment</v>
      </c>
      <c r="C387" s="8" t="str">
        <f>'08_GDE_RISK_ENGINE'!C387</f>
        <v>BOP/Utility</v>
      </c>
      <c r="D387" s="8" t="str">
        <f>'08_GDE_RISK_ENGINE'!D387</f>
        <v>EQ-BOPUT-QEA-ROTATINGPACKAGE</v>
      </c>
      <c r="E387" s="8">
        <f>'08_GDE_RISK_ENGINE'!E387</f>
        <v>2</v>
      </c>
      <c r="F387" s="8">
        <f>'08_GDE_RISK_ENGINE'!F387</f>
        <v>2</v>
      </c>
      <c r="G387" s="8" t="str">
        <f>'08_GDE_RISK_ENGINE'!G387</f>
        <v>Medium</v>
      </c>
      <c r="H387" s="8">
        <f>IF(A387="","",MIN(5,E387+'14_GDE_RISK_MATRIX_DASHBOARD'!$C$6))</f>
        <v>3</v>
      </c>
      <c r="I387" s="8">
        <f>IF(A387="","",MAX(1,E387-'14_GDE_RISK_MATRIX_DASHBOARD'!$C$7))</f>
        <v>1</v>
      </c>
      <c r="J387" s="8" t="str">
        <f t="shared" si="10"/>
        <v>Medium</v>
      </c>
      <c r="K387" s="8" t="str">
        <f t="shared" si="11"/>
        <v>Medium</v>
      </c>
    </row>
    <row r="388" ht="29" spans="1:11">
      <c r="A388" s="8" t="str">
        <f>'08_GDE_RISK_ENGINE'!A388</f>
        <v>PTH2QEA01 BB001</v>
      </c>
      <c r="B388" s="8" t="str">
        <f>'08_GDE_RISK_ENGINE'!B388</f>
        <v>Equipment</v>
      </c>
      <c r="C388" s="8" t="str">
        <f>'08_GDE_RISK_ENGINE'!C388</f>
        <v>BOP/Utility</v>
      </c>
      <c r="D388" s="8" t="str">
        <f>'08_GDE_RISK_ENGINE'!D388</f>
        <v>EQ-BOPUT-QEA-STATICEQUIPMENT</v>
      </c>
      <c r="E388" s="8">
        <f>'08_GDE_RISK_ENGINE'!E388</f>
        <v>3</v>
      </c>
      <c r="F388" s="8">
        <f>'08_GDE_RISK_ENGINE'!F388</f>
        <v>4</v>
      </c>
      <c r="G388" s="8" t="str">
        <f>'08_GDE_RISK_ENGINE'!G388</f>
        <v>High</v>
      </c>
      <c r="H388" s="8">
        <f>IF(A388="","",MIN(5,E388+'14_GDE_RISK_MATRIX_DASHBOARD'!$C$6))</f>
        <v>4</v>
      </c>
      <c r="I388" s="8">
        <f>IF(A388="","",MAX(1,E388-'14_GDE_RISK_MATRIX_DASHBOARD'!$C$7))</f>
        <v>2</v>
      </c>
      <c r="J388" s="8" t="str">
        <f t="shared" ref="J388:J416" si="12">IF(A388="","",IF(OR(AND(H388&gt;=4,F388&gt;=4),AND(H388=5,F388&gt;=3)),"Extreme High",IF(OR(AND(H388&gt;=3,F388&gt;=3),AND(F388=5,H388&gt;=2)),"High",IF(OR(H388&gt;=2,F388&gt;=2),"Medium","Low"))))</f>
        <v>Extreme High</v>
      </c>
      <c r="K388" s="8" t="str">
        <f t="shared" ref="K388:K416" si="13">IF(A388="","",IF(OR(AND(I388&gt;=4,F388&gt;=4),AND(I388=5,F388&gt;=3)),"Extreme High",IF(OR(AND(I388&gt;=3,F388&gt;=3),AND(F388=5,I388&gt;=2)),"High",IF(OR(I388&gt;=2,F388&gt;=2),"Medium","Low"))))</f>
        <v>Medium</v>
      </c>
    </row>
    <row r="389" ht="29" spans="1:11">
      <c r="A389" s="8" t="str">
        <f>'08_GDE_RISK_ENGINE'!A389</f>
        <v>PTH2QEB01 BB001</v>
      </c>
      <c r="B389" s="8" t="str">
        <f>'08_GDE_RISK_ENGINE'!B389</f>
        <v>Equipment</v>
      </c>
      <c r="C389" s="8" t="str">
        <f>'08_GDE_RISK_ENGINE'!C389</f>
        <v>BOP/Utility</v>
      </c>
      <c r="D389" s="8" t="str">
        <f>'08_GDE_RISK_ENGINE'!D389</f>
        <v>EQ-BOPUT-QEB-STATICEQUIPMENT</v>
      </c>
      <c r="E389" s="8">
        <f>'08_GDE_RISK_ENGINE'!E389</f>
        <v>3</v>
      </c>
      <c r="F389" s="8">
        <f>'08_GDE_RISK_ENGINE'!F389</f>
        <v>4</v>
      </c>
      <c r="G389" s="8" t="str">
        <f>'08_GDE_RISK_ENGINE'!G389</f>
        <v>High</v>
      </c>
      <c r="H389" s="8">
        <f>IF(A389="","",MIN(5,E389+'14_GDE_RISK_MATRIX_DASHBOARD'!$C$6))</f>
        <v>4</v>
      </c>
      <c r="I389" s="8">
        <f>IF(A389="","",MAX(1,E389-'14_GDE_RISK_MATRIX_DASHBOARD'!$C$7))</f>
        <v>2</v>
      </c>
      <c r="J389" s="8" t="str">
        <f t="shared" si="12"/>
        <v>Extreme High</v>
      </c>
      <c r="K389" s="8" t="str">
        <f t="shared" si="13"/>
        <v>Medium</v>
      </c>
    </row>
    <row r="390" ht="29" spans="1:11">
      <c r="A390" s="8" t="str">
        <f>'08_GDE_RISK_ENGINE'!A390</f>
        <v>PTH2QEA01 AT001</v>
      </c>
      <c r="B390" s="8" t="str">
        <f>'08_GDE_RISK_ENGINE'!B390</f>
        <v>Equipment</v>
      </c>
      <c r="C390" s="8" t="str">
        <f>'08_GDE_RISK_ENGINE'!C390</f>
        <v>BOP/Utility</v>
      </c>
      <c r="D390" s="8" t="str">
        <f>'08_GDE_RISK_ENGINE'!D390</f>
        <v>EQ-BOPUT-QEA-EQUIPMENT</v>
      </c>
      <c r="E390" s="8">
        <f>'08_GDE_RISK_ENGINE'!E390</f>
        <v>2</v>
      </c>
      <c r="F390" s="8">
        <f>'08_GDE_RISK_ENGINE'!F390</f>
        <v>2</v>
      </c>
      <c r="G390" s="8" t="str">
        <f>'08_GDE_RISK_ENGINE'!G390</f>
        <v>Medium</v>
      </c>
      <c r="H390" s="8">
        <f>IF(A390="","",MIN(5,E390+'14_GDE_RISK_MATRIX_DASHBOARD'!$C$6))</f>
        <v>3</v>
      </c>
      <c r="I390" s="8">
        <f>IF(A390="","",MAX(1,E390-'14_GDE_RISK_MATRIX_DASHBOARD'!$C$7))</f>
        <v>1</v>
      </c>
      <c r="J390" s="8" t="str">
        <f t="shared" si="12"/>
        <v>Medium</v>
      </c>
      <c r="K390" s="8" t="str">
        <f t="shared" si="13"/>
        <v>Medium</v>
      </c>
    </row>
    <row r="391" ht="29" spans="1:11">
      <c r="A391" s="8" t="str">
        <f>'08_GDE_RISK_ENGINE'!A391</f>
        <v>PTH2QEA01 AT002</v>
      </c>
      <c r="B391" s="8" t="str">
        <f>'08_GDE_RISK_ENGINE'!B391</f>
        <v>Equipment</v>
      </c>
      <c r="C391" s="8" t="str">
        <f>'08_GDE_RISK_ENGINE'!C391</f>
        <v>BOP/Utility</v>
      </c>
      <c r="D391" s="8" t="str">
        <f>'08_GDE_RISK_ENGINE'!D391</f>
        <v>EQ-BOPUT-QEA-ROTATINGPACKAGE</v>
      </c>
      <c r="E391" s="8">
        <f>'08_GDE_RISK_ENGINE'!E391</f>
        <v>2</v>
      </c>
      <c r="F391" s="8">
        <f>'08_GDE_RISK_ENGINE'!F391</f>
        <v>2</v>
      </c>
      <c r="G391" s="8" t="str">
        <f>'08_GDE_RISK_ENGINE'!G391</f>
        <v>Medium</v>
      </c>
      <c r="H391" s="8">
        <f>IF(A391="","",MIN(5,E391+'14_GDE_RISK_MATRIX_DASHBOARD'!$C$6))</f>
        <v>3</v>
      </c>
      <c r="I391" s="8">
        <f>IF(A391="","",MAX(1,E391-'14_GDE_RISK_MATRIX_DASHBOARD'!$C$7))</f>
        <v>1</v>
      </c>
      <c r="J391" s="8" t="str">
        <f t="shared" si="12"/>
        <v>Medium</v>
      </c>
      <c r="K391" s="8" t="str">
        <f t="shared" si="13"/>
        <v>Medium</v>
      </c>
    </row>
    <row r="392" ht="29" spans="1:11">
      <c r="A392" s="8" t="str">
        <f>'08_GDE_RISK_ENGINE'!A392</f>
        <v>PTH2QEA01 AN003</v>
      </c>
      <c r="B392" s="8" t="str">
        <f>'08_GDE_RISK_ENGINE'!B392</f>
        <v>Equipment</v>
      </c>
      <c r="C392" s="8" t="str">
        <f>'08_GDE_RISK_ENGINE'!C392</f>
        <v>BOP/Utility</v>
      </c>
      <c r="D392" s="8" t="str">
        <f>'08_GDE_RISK_ENGINE'!D392</f>
        <v>EQ-BOPUT-QEA-ROTATINGPACKAGE</v>
      </c>
      <c r="E392" s="8">
        <f>'08_GDE_RISK_ENGINE'!E392</f>
        <v>2</v>
      </c>
      <c r="F392" s="8">
        <f>'08_GDE_RISK_ENGINE'!F392</f>
        <v>2</v>
      </c>
      <c r="G392" s="8" t="str">
        <f>'08_GDE_RISK_ENGINE'!G392</f>
        <v>Medium</v>
      </c>
      <c r="H392" s="8">
        <f>IF(A392="","",MIN(5,E392+'14_GDE_RISK_MATRIX_DASHBOARD'!$C$6))</f>
        <v>3</v>
      </c>
      <c r="I392" s="8">
        <f>IF(A392="","",MAX(1,E392-'14_GDE_RISK_MATRIX_DASHBOARD'!$C$7))</f>
        <v>1</v>
      </c>
      <c r="J392" s="8" t="str">
        <f t="shared" si="12"/>
        <v>Medium</v>
      </c>
      <c r="K392" s="8" t="str">
        <f t="shared" si="13"/>
        <v>Medium</v>
      </c>
    </row>
    <row r="393" ht="29" spans="1:11">
      <c r="A393" s="8" t="str">
        <f>'08_GDE_RISK_ENGINE'!A393</f>
        <v>PTH2QEA01 BB002</v>
      </c>
      <c r="B393" s="8" t="str">
        <f>'08_GDE_RISK_ENGINE'!B393</f>
        <v>Equipment</v>
      </c>
      <c r="C393" s="8" t="str">
        <f>'08_GDE_RISK_ENGINE'!C393</f>
        <v>BOP/Utility</v>
      </c>
      <c r="D393" s="8" t="str">
        <f>'08_GDE_RISK_ENGINE'!D393</f>
        <v>EQ-BOPUT-QEA-STATICEQUIPMENT</v>
      </c>
      <c r="E393" s="8">
        <f>'08_GDE_RISK_ENGINE'!E393</f>
        <v>3</v>
      </c>
      <c r="F393" s="8">
        <f>'08_GDE_RISK_ENGINE'!F393</f>
        <v>4</v>
      </c>
      <c r="G393" s="8" t="str">
        <f>'08_GDE_RISK_ENGINE'!G393</f>
        <v>High</v>
      </c>
      <c r="H393" s="8">
        <f>IF(A393="","",MIN(5,E393+'14_GDE_RISK_MATRIX_DASHBOARD'!$C$6))</f>
        <v>4</v>
      </c>
      <c r="I393" s="8">
        <f>IF(A393="","",MAX(1,E393-'14_GDE_RISK_MATRIX_DASHBOARD'!$C$7))</f>
        <v>2</v>
      </c>
      <c r="J393" s="8" t="str">
        <f t="shared" si="12"/>
        <v>Extreme High</v>
      </c>
      <c r="K393" s="8" t="str">
        <f t="shared" si="13"/>
        <v>Medium</v>
      </c>
    </row>
    <row r="394" ht="29" spans="1:11">
      <c r="A394" s="8" t="str">
        <f>'08_GDE_RISK_ENGINE'!A394</f>
        <v>PTH2BRV01 BB001</v>
      </c>
      <c r="B394" s="8" t="str">
        <f>'08_GDE_RISK_ENGINE'!B394</f>
        <v>Equipment</v>
      </c>
      <c r="C394" s="8" t="str">
        <f>'08_GDE_RISK_ENGINE'!C394</f>
        <v>BOP/Utility</v>
      </c>
      <c r="D394" s="8" t="str">
        <f>'08_GDE_RISK_ENGINE'!D394</f>
        <v>EQ-BOPUT-BRV-STATICEQUIPMENT</v>
      </c>
      <c r="E394" s="8">
        <f>'08_GDE_RISK_ENGINE'!E394</f>
        <v>3</v>
      </c>
      <c r="F394" s="8">
        <f>'08_GDE_RISK_ENGINE'!F394</f>
        <v>2</v>
      </c>
      <c r="G394" s="8" t="str">
        <f>'08_GDE_RISK_ENGINE'!G394</f>
        <v>High</v>
      </c>
      <c r="H394" s="8">
        <f>IF(A394="","",MIN(5,E394+'14_GDE_RISK_MATRIX_DASHBOARD'!$C$6))</f>
        <v>4</v>
      </c>
      <c r="I394" s="8">
        <f>IF(A394="","",MAX(1,E394-'14_GDE_RISK_MATRIX_DASHBOARD'!$C$7))</f>
        <v>2</v>
      </c>
      <c r="J394" s="8" t="str">
        <f t="shared" si="12"/>
        <v>Medium</v>
      </c>
      <c r="K394" s="8" t="str">
        <f t="shared" si="13"/>
        <v>Medium</v>
      </c>
    </row>
    <row r="395" ht="29" spans="1:11">
      <c r="A395" s="8" t="str">
        <f>'08_GDE_RISK_ENGINE'!A395</f>
        <v>PTH2BRV01 AG001</v>
      </c>
      <c r="B395" s="8" t="str">
        <f>'08_GDE_RISK_ENGINE'!B395</f>
        <v>Equipment</v>
      </c>
      <c r="C395" s="8" t="str">
        <f>'08_GDE_RISK_ENGINE'!C395</f>
        <v>BOP/Utility</v>
      </c>
      <c r="D395" s="8" t="str">
        <f>'08_GDE_RISK_ENGINE'!D395</f>
        <v>EQ-BOPUT-BRV-ROTATINGPACKAGE</v>
      </c>
      <c r="E395" s="8">
        <f>'08_GDE_RISK_ENGINE'!E395</f>
        <v>2</v>
      </c>
      <c r="F395" s="8">
        <f>'08_GDE_RISK_ENGINE'!F395</f>
        <v>2</v>
      </c>
      <c r="G395" s="8" t="str">
        <f>'08_GDE_RISK_ENGINE'!G395</f>
        <v>Medium</v>
      </c>
      <c r="H395" s="8">
        <f>IF(A395="","",MIN(5,E395+'14_GDE_RISK_MATRIX_DASHBOARD'!$C$6))</f>
        <v>3</v>
      </c>
      <c r="I395" s="8">
        <f>IF(A395="","",MAX(1,E395-'14_GDE_RISK_MATRIX_DASHBOARD'!$C$7))</f>
        <v>1</v>
      </c>
      <c r="J395" s="8" t="str">
        <f t="shared" si="12"/>
        <v>Medium</v>
      </c>
      <c r="K395" s="8" t="str">
        <f t="shared" si="13"/>
        <v>Medium</v>
      </c>
    </row>
    <row r="396" ht="29" spans="1:11">
      <c r="A396" s="8" t="str">
        <f>'08_GDE_RISK_ENGINE'!A396</f>
        <v>PTH2QCB01 BB001</v>
      </c>
      <c r="B396" s="8" t="str">
        <f>'08_GDE_RISK_ENGINE'!B396</f>
        <v>Equipment</v>
      </c>
      <c r="C396" s="8" t="str">
        <f>'08_GDE_RISK_ENGINE'!C396</f>
        <v>BOP/Utility</v>
      </c>
      <c r="D396" s="8" t="str">
        <f>'08_GDE_RISK_ENGINE'!D396</f>
        <v>EQ-BOPUT-QCB-ROTATINGPACKAGE</v>
      </c>
      <c r="E396" s="8">
        <f>'08_GDE_RISK_ENGINE'!E396</f>
        <v>2</v>
      </c>
      <c r="F396" s="8">
        <f>'08_GDE_RISK_ENGINE'!F396</f>
        <v>2</v>
      </c>
      <c r="G396" s="8" t="str">
        <f>'08_GDE_RISK_ENGINE'!G396</f>
        <v>Medium</v>
      </c>
      <c r="H396" s="8">
        <f>IF(A396="","",MIN(5,E396+'14_GDE_RISK_MATRIX_DASHBOARD'!$C$6))</f>
        <v>3</v>
      </c>
      <c r="I396" s="8">
        <f>IF(A396="","",MAX(1,E396-'14_GDE_RISK_MATRIX_DASHBOARD'!$C$7))</f>
        <v>1</v>
      </c>
      <c r="J396" s="8" t="str">
        <f t="shared" si="12"/>
        <v>Medium</v>
      </c>
      <c r="K396" s="8" t="str">
        <f t="shared" si="13"/>
        <v>Medium</v>
      </c>
    </row>
    <row r="397" ht="29" spans="1:11">
      <c r="A397" s="8" t="str">
        <f>'08_GDE_RISK_ENGINE'!A397</f>
        <v>PTH2QCB02 BB001</v>
      </c>
      <c r="B397" s="8" t="str">
        <f>'08_GDE_RISK_ENGINE'!B397</f>
        <v>Equipment</v>
      </c>
      <c r="C397" s="8" t="str">
        <f>'08_GDE_RISK_ENGINE'!C397</f>
        <v>BOP/Utility</v>
      </c>
      <c r="D397" s="8" t="str">
        <f>'08_GDE_RISK_ENGINE'!D397</f>
        <v>EQ-BOPUT-QCB-ROTATINGPACKAGE</v>
      </c>
      <c r="E397" s="8">
        <f>'08_GDE_RISK_ENGINE'!E397</f>
        <v>2</v>
      </c>
      <c r="F397" s="8">
        <f>'08_GDE_RISK_ENGINE'!F397</f>
        <v>2</v>
      </c>
      <c r="G397" s="8" t="str">
        <f>'08_GDE_RISK_ENGINE'!G397</f>
        <v>Medium</v>
      </c>
      <c r="H397" s="8">
        <f>IF(A397="","",MIN(5,E397+'14_GDE_RISK_MATRIX_DASHBOARD'!$C$6))</f>
        <v>3</v>
      </c>
      <c r="I397" s="8">
        <f>IF(A397="","",MAX(1,E397-'14_GDE_RISK_MATRIX_DASHBOARD'!$C$7))</f>
        <v>1</v>
      </c>
      <c r="J397" s="8" t="str">
        <f t="shared" si="12"/>
        <v>Medium</v>
      </c>
      <c r="K397" s="8" t="str">
        <f t="shared" si="13"/>
        <v>Medium</v>
      </c>
    </row>
    <row r="398" ht="29" spans="1:11">
      <c r="A398" s="8" t="str">
        <f>'08_GDE_RISK_ENGINE'!A398</f>
        <v>PTH2QCH01 BB002</v>
      </c>
      <c r="B398" s="8" t="str">
        <f>'08_GDE_RISK_ENGINE'!B398</f>
        <v>Equipment</v>
      </c>
      <c r="C398" s="8" t="str">
        <f>'08_GDE_RISK_ENGINE'!C398</f>
        <v>BOP/Utility</v>
      </c>
      <c r="D398" s="8" t="str">
        <f>'08_GDE_RISK_ENGINE'!D398</f>
        <v>EQ-BOPUT-QCH-STATICEQUIPMENT</v>
      </c>
      <c r="E398" s="8">
        <f>'08_GDE_RISK_ENGINE'!E398</f>
        <v>3</v>
      </c>
      <c r="F398" s="8">
        <f>'08_GDE_RISK_ENGINE'!F398</f>
        <v>2</v>
      </c>
      <c r="G398" s="8" t="str">
        <f>'08_GDE_RISK_ENGINE'!G398</f>
        <v>High</v>
      </c>
      <c r="H398" s="8">
        <f>IF(A398="","",MIN(5,E398+'14_GDE_RISK_MATRIX_DASHBOARD'!$C$6))</f>
        <v>4</v>
      </c>
      <c r="I398" s="8">
        <f>IF(A398="","",MAX(1,E398-'14_GDE_RISK_MATRIX_DASHBOARD'!$C$7))</f>
        <v>2</v>
      </c>
      <c r="J398" s="8" t="str">
        <f t="shared" si="12"/>
        <v>Medium</v>
      </c>
      <c r="K398" s="8" t="str">
        <f t="shared" si="13"/>
        <v>Medium</v>
      </c>
    </row>
    <row r="399" ht="29" spans="1:11">
      <c r="A399" s="8" t="str">
        <f>'08_GDE_RISK_ENGINE'!A399</f>
        <v>PTH2QCH01 AP001</v>
      </c>
      <c r="B399" s="8" t="str">
        <f>'08_GDE_RISK_ENGINE'!B399</f>
        <v>Equipment</v>
      </c>
      <c r="C399" s="8" t="str">
        <f>'08_GDE_RISK_ENGINE'!C399</f>
        <v>BOP/Utility</v>
      </c>
      <c r="D399" s="8" t="str">
        <f>'08_GDE_RISK_ENGINE'!D399</f>
        <v>EQ-BOPUT-QCH-EQUIPMENT</v>
      </c>
      <c r="E399" s="8">
        <f>'08_GDE_RISK_ENGINE'!E399</f>
        <v>2</v>
      </c>
      <c r="F399" s="8">
        <f>'08_GDE_RISK_ENGINE'!F399</f>
        <v>2</v>
      </c>
      <c r="G399" s="8" t="str">
        <f>'08_GDE_RISK_ENGINE'!G399</f>
        <v>Medium</v>
      </c>
      <c r="H399" s="8">
        <f>IF(A399="","",MIN(5,E399+'14_GDE_RISK_MATRIX_DASHBOARD'!$C$6))</f>
        <v>3</v>
      </c>
      <c r="I399" s="8">
        <f>IF(A399="","",MAX(1,E399-'14_GDE_RISK_MATRIX_DASHBOARD'!$C$7))</f>
        <v>1</v>
      </c>
      <c r="J399" s="8" t="str">
        <f t="shared" si="12"/>
        <v>Medium</v>
      </c>
      <c r="K399" s="8" t="str">
        <f t="shared" si="13"/>
        <v>Medium</v>
      </c>
    </row>
    <row r="400" ht="29" spans="1:11">
      <c r="A400" s="8" t="str">
        <f>'08_GDE_RISK_ENGINE'!A400</f>
        <v>PTH2QCH02 AP001</v>
      </c>
      <c r="B400" s="8" t="str">
        <f>'08_GDE_RISK_ENGINE'!B400</f>
        <v>Equipment</v>
      </c>
      <c r="C400" s="8" t="str">
        <f>'08_GDE_RISK_ENGINE'!C400</f>
        <v>BOP/Utility</v>
      </c>
      <c r="D400" s="8" t="str">
        <f>'08_GDE_RISK_ENGINE'!D400</f>
        <v>EQ-BOPUT-QCH-ROTATINGPACKAGE</v>
      </c>
      <c r="E400" s="8">
        <f>'08_GDE_RISK_ENGINE'!E400</f>
        <v>2</v>
      </c>
      <c r="F400" s="8">
        <f>'08_GDE_RISK_ENGINE'!F400</f>
        <v>2</v>
      </c>
      <c r="G400" s="8" t="str">
        <f>'08_GDE_RISK_ENGINE'!G400</f>
        <v>Medium</v>
      </c>
      <c r="H400" s="8">
        <f>IF(A400="","",MIN(5,E400+'14_GDE_RISK_MATRIX_DASHBOARD'!$C$6))</f>
        <v>3</v>
      </c>
      <c r="I400" s="8">
        <f>IF(A400="","",MAX(1,E400-'14_GDE_RISK_MATRIX_DASHBOARD'!$C$7))</f>
        <v>1</v>
      </c>
      <c r="J400" s="8" t="str">
        <f t="shared" si="12"/>
        <v>Medium</v>
      </c>
      <c r="K400" s="8" t="str">
        <f t="shared" si="13"/>
        <v>Medium</v>
      </c>
    </row>
    <row r="401" ht="29" spans="1:11">
      <c r="A401" s="8" t="str">
        <f>'08_GDE_RISK_ENGINE'!A401</f>
        <v>PTH2QCH01 BB001</v>
      </c>
      <c r="B401" s="8" t="str">
        <f>'08_GDE_RISK_ENGINE'!B401</f>
        <v>Equipment</v>
      </c>
      <c r="C401" s="8" t="str">
        <f>'08_GDE_RISK_ENGINE'!C401</f>
        <v>BOP/Utility</v>
      </c>
      <c r="D401" s="8" t="str">
        <f>'08_GDE_RISK_ENGINE'!D401</f>
        <v>EQ-BOPUT-QCH-ROTATINGPACKAGE</v>
      </c>
      <c r="E401" s="8">
        <f>'08_GDE_RISK_ENGINE'!E401</f>
        <v>2</v>
      </c>
      <c r="F401" s="8">
        <f>'08_GDE_RISK_ENGINE'!F401</f>
        <v>2</v>
      </c>
      <c r="G401" s="8" t="str">
        <f>'08_GDE_RISK_ENGINE'!G401</f>
        <v>Medium</v>
      </c>
      <c r="H401" s="8">
        <f>IF(A401="","",MIN(5,E401+'14_GDE_RISK_MATRIX_DASHBOARD'!$C$6))</f>
        <v>3</v>
      </c>
      <c r="I401" s="8">
        <f>IF(A401="","",MAX(1,E401-'14_GDE_RISK_MATRIX_DASHBOARD'!$C$7))</f>
        <v>1</v>
      </c>
      <c r="J401" s="8" t="str">
        <f t="shared" si="12"/>
        <v>Medium</v>
      </c>
      <c r="K401" s="8" t="str">
        <f t="shared" si="13"/>
        <v>Medium</v>
      </c>
    </row>
    <row r="402" ht="29" spans="1:11">
      <c r="A402" s="8" t="str">
        <f>'08_GDE_RISK_ENGINE'!A402</f>
        <v>PTH2LCA01 BB002</v>
      </c>
      <c r="B402" s="8" t="str">
        <f>'08_GDE_RISK_ENGINE'!B402</f>
        <v>Equipment</v>
      </c>
      <c r="C402" s="8" t="str">
        <f>'08_GDE_RISK_ENGINE'!C402</f>
        <v>BOP/Utility</v>
      </c>
      <c r="D402" s="8" t="str">
        <f>'08_GDE_RISK_ENGINE'!D402</f>
        <v>EQ-BOPUT-LCA-STATICEQUIPMENT</v>
      </c>
      <c r="E402" s="8">
        <f>'08_GDE_RISK_ENGINE'!E402</f>
        <v>3</v>
      </c>
      <c r="F402" s="8">
        <f>'08_GDE_RISK_ENGINE'!F402</f>
        <v>2</v>
      </c>
      <c r="G402" s="8" t="str">
        <f>'08_GDE_RISK_ENGINE'!G402</f>
        <v>High</v>
      </c>
      <c r="H402" s="8">
        <f>IF(A402="","",MIN(5,E402+'14_GDE_RISK_MATRIX_DASHBOARD'!$C$6))</f>
        <v>4</v>
      </c>
      <c r="I402" s="8">
        <f>IF(A402="","",MAX(1,E402-'14_GDE_RISK_MATRIX_DASHBOARD'!$C$7))</f>
        <v>2</v>
      </c>
      <c r="J402" s="8" t="str">
        <f t="shared" si="12"/>
        <v>Medium</v>
      </c>
      <c r="K402" s="8" t="str">
        <f t="shared" si="13"/>
        <v>Medium</v>
      </c>
    </row>
    <row r="403" ht="29" spans="1:11">
      <c r="A403" s="8" t="str">
        <f>'08_GDE_RISK_ENGINE'!A403</f>
        <v>PTH2LCA01 AP001</v>
      </c>
      <c r="B403" s="8" t="str">
        <f>'08_GDE_RISK_ENGINE'!B403</f>
        <v>Equipment</v>
      </c>
      <c r="C403" s="8" t="str">
        <f>'08_GDE_RISK_ENGINE'!C403</f>
        <v>BOP/Utility</v>
      </c>
      <c r="D403" s="8" t="str">
        <f>'08_GDE_RISK_ENGINE'!D403</f>
        <v>EQ-BOPUT-LCA-EQUIPMENT</v>
      </c>
      <c r="E403" s="8">
        <f>'08_GDE_RISK_ENGINE'!E403</f>
        <v>2</v>
      </c>
      <c r="F403" s="8">
        <f>'08_GDE_RISK_ENGINE'!F403</f>
        <v>2</v>
      </c>
      <c r="G403" s="8" t="str">
        <f>'08_GDE_RISK_ENGINE'!G403</f>
        <v>Medium</v>
      </c>
      <c r="H403" s="8">
        <f>IF(A403="","",MIN(5,E403+'14_GDE_RISK_MATRIX_DASHBOARD'!$C$6))</f>
        <v>3</v>
      </c>
      <c r="I403" s="8">
        <f>IF(A403="","",MAX(1,E403-'14_GDE_RISK_MATRIX_DASHBOARD'!$C$7))</f>
        <v>1</v>
      </c>
      <c r="J403" s="8" t="str">
        <f t="shared" si="12"/>
        <v>Medium</v>
      </c>
      <c r="K403" s="8" t="str">
        <f t="shared" si="13"/>
        <v>Medium</v>
      </c>
    </row>
    <row r="404" ht="29" spans="1:11">
      <c r="A404" s="8" t="str">
        <f>'08_GDE_RISK_ENGINE'!A404</f>
        <v>PTH2LCA02 AP001</v>
      </c>
      <c r="B404" s="8" t="str">
        <f>'08_GDE_RISK_ENGINE'!B404</f>
        <v>Equipment</v>
      </c>
      <c r="C404" s="8" t="str">
        <f>'08_GDE_RISK_ENGINE'!C404</f>
        <v>BOP/Utility</v>
      </c>
      <c r="D404" s="8" t="str">
        <f>'08_GDE_RISK_ENGINE'!D404</f>
        <v>EQ-BOPUT-LCA-ROTATINGPACKAGE</v>
      </c>
      <c r="E404" s="8">
        <f>'08_GDE_RISK_ENGINE'!E404</f>
        <v>2</v>
      </c>
      <c r="F404" s="8">
        <f>'08_GDE_RISK_ENGINE'!F404</f>
        <v>2</v>
      </c>
      <c r="G404" s="8" t="str">
        <f>'08_GDE_RISK_ENGINE'!G404</f>
        <v>Medium</v>
      </c>
      <c r="H404" s="8">
        <f>IF(A404="","",MIN(5,E404+'14_GDE_RISK_MATRIX_DASHBOARD'!$C$6))</f>
        <v>3</v>
      </c>
      <c r="I404" s="8">
        <f>IF(A404="","",MAX(1,E404-'14_GDE_RISK_MATRIX_DASHBOARD'!$C$7))</f>
        <v>1</v>
      </c>
      <c r="J404" s="8" t="str">
        <f t="shared" si="12"/>
        <v>Medium</v>
      </c>
      <c r="K404" s="8" t="str">
        <f t="shared" si="13"/>
        <v>Medium</v>
      </c>
    </row>
    <row r="405" ht="29" spans="1:11">
      <c r="A405" s="8" t="str">
        <f>'08_GDE_RISK_ENGINE'!A405</f>
        <v>PTH2PCC01 AP001</v>
      </c>
      <c r="B405" s="8" t="str">
        <f>'08_GDE_RISK_ENGINE'!B405</f>
        <v>Equipment</v>
      </c>
      <c r="C405" s="8" t="str">
        <f>'08_GDE_RISK_ENGINE'!C405</f>
        <v>BOP/Utility</v>
      </c>
      <c r="D405" s="8" t="str">
        <f>'08_GDE_RISK_ENGINE'!D405</f>
        <v>EQ-BOPUT-PCC-EQUIPMENT</v>
      </c>
      <c r="E405" s="8">
        <f>'08_GDE_RISK_ENGINE'!E405</f>
        <v>2</v>
      </c>
      <c r="F405" s="8">
        <f>'08_GDE_RISK_ENGINE'!F405</f>
        <v>2</v>
      </c>
      <c r="G405" s="8" t="str">
        <f>'08_GDE_RISK_ENGINE'!G405</f>
        <v>Medium</v>
      </c>
      <c r="H405" s="8">
        <f>IF(A405="","",MIN(5,E405+'14_GDE_RISK_MATRIX_DASHBOARD'!$C$6))</f>
        <v>3</v>
      </c>
      <c r="I405" s="8">
        <f>IF(A405="","",MAX(1,E405-'14_GDE_RISK_MATRIX_DASHBOARD'!$C$7))</f>
        <v>1</v>
      </c>
      <c r="J405" s="8" t="str">
        <f t="shared" si="12"/>
        <v>Medium</v>
      </c>
      <c r="K405" s="8" t="str">
        <f t="shared" si="13"/>
        <v>Medium</v>
      </c>
    </row>
    <row r="406" ht="29" spans="1:11">
      <c r="A406" s="8" t="str">
        <f>'08_GDE_RISK_ENGINE'!A406</f>
        <v>PTH2PCC02 AP001</v>
      </c>
      <c r="B406" s="8" t="str">
        <f>'08_GDE_RISK_ENGINE'!B406</f>
        <v>Equipment</v>
      </c>
      <c r="C406" s="8" t="str">
        <f>'08_GDE_RISK_ENGINE'!C406</f>
        <v>BOP/Utility</v>
      </c>
      <c r="D406" s="8" t="str">
        <f>'08_GDE_RISK_ENGINE'!D406</f>
        <v>EQ-BOPUT-PCC-ROTATINGPACKAGE</v>
      </c>
      <c r="E406" s="8">
        <f>'08_GDE_RISK_ENGINE'!E406</f>
        <v>2</v>
      </c>
      <c r="F406" s="8">
        <f>'08_GDE_RISK_ENGINE'!F406</f>
        <v>2</v>
      </c>
      <c r="G406" s="8" t="str">
        <f>'08_GDE_RISK_ENGINE'!G406</f>
        <v>Medium</v>
      </c>
      <c r="H406" s="8">
        <f>IF(A406="","",MIN(5,E406+'14_GDE_RISK_MATRIX_DASHBOARD'!$C$6))</f>
        <v>3</v>
      </c>
      <c r="I406" s="8">
        <f>IF(A406="","",MAX(1,E406-'14_GDE_RISK_MATRIX_DASHBOARD'!$C$7))</f>
        <v>1</v>
      </c>
      <c r="J406" s="8" t="str">
        <f t="shared" si="12"/>
        <v>Medium</v>
      </c>
      <c r="K406" s="8" t="str">
        <f t="shared" si="13"/>
        <v>Medium</v>
      </c>
    </row>
    <row r="407" ht="29" spans="1:11">
      <c r="A407" s="8" t="str">
        <f>'08_GDE_RISK_ENGINE'!A407</f>
        <v>PTH2GRK01 BB001</v>
      </c>
      <c r="B407" s="8" t="str">
        <f>'08_GDE_RISK_ENGINE'!B407</f>
        <v>Equipment</v>
      </c>
      <c r="C407" s="8" t="str">
        <f>'08_GDE_RISK_ENGINE'!C407</f>
        <v>BOP/Utility</v>
      </c>
      <c r="D407" s="8" t="str">
        <f>'08_GDE_RISK_ENGINE'!D407</f>
        <v>EQ-BOPUT-GRK-CIVILSTATIC</v>
      </c>
      <c r="E407" s="8">
        <f>'08_GDE_RISK_ENGINE'!E407</f>
        <v>3</v>
      </c>
      <c r="F407" s="8">
        <f>'08_GDE_RISK_ENGINE'!F407</f>
        <v>2</v>
      </c>
      <c r="G407" s="8" t="str">
        <f>'08_GDE_RISK_ENGINE'!G407</f>
        <v>High</v>
      </c>
      <c r="H407" s="8">
        <f>IF(A407="","",MIN(5,E407+'14_GDE_RISK_MATRIX_DASHBOARD'!$C$6))</f>
        <v>4</v>
      </c>
      <c r="I407" s="8">
        <f>IF(A407="","",MAX(1,E407-'14_GDE_RISK_MATRIX_DASHBOARD'!$C$7))</f>
        <v>2</v>
      </c>
      <c r="J407" s="8" t="str">
        <f t="shared" si="12"/>
        <v>Medium</v>
      </c>
      <c r="K407" s="8" t="str">
        <f t="shared" si="13"/>
        <v>Medium</v>
      </c>
    </row>
    <row r="408" ht="29" spans="1:11">
      <c r="A408" s="8" t="str">
        <f>'08_GDE_RISK_ENGINE'!A408</f>
        <v>PTH2GRK01 AP001</v>
      </c>
      <c r="B408" s="8" t="str">
        <f>'08_GDE_RISK_ENGINE'!B408</f>
        <v>Equipment</v>
      </c>
      <c r="C408" s="8" t="str">
        <f>'08_GDE_RISK_ENGINE'!C408</f>
        <v>BOP/Utility</v>
      </c>
      <c r="D408" s="8" t="str">
        <f>'08_GDE_RISK_ENGINE'!D408</f>
        <v>EQ-BOPUT-GRK-ROTATINGPACKAGE</v>
      </c>
      <c r="E408" s="8">
        <f>'08_GDE_RISK_ENGINE'!E408</f>
        <v>2</v>
      </c>
      <c r="F408" s="8">
        <f>'08_GDE_RISK_ENGINE'!F408</f>
        <v>2</v>
      </c>
      <c r="G408" s="8" t="str">
        <f>'08_GDE_RISK_ENGINE'!G408</f>
        <v>Medium</v>
      </c>
      <c r="H408" s="8">
        <f>IF(A408="","",MIN(5,E408+'14_GDE_RISK_MATRIX_DASHBOARD'!$C$6))</f>
        <v>3</v>
      </c>
      <c r="I408" s="8">
        <f>IF(A408="","",MAX(1,E408-'14_GDE_RISK_MATRIX_DASHBOARD'!$C$7))</f>
        <v>1</v>
      </c>
      <c r="J408" s="8" t="str">
        <f t="shared" si="12"/>
        <v>Medium</v>
      </c>
      <c r="K408" s="8" t="str">
        <f t="shared" si="13"/>
        <v>Medium</v>
      </c>
    </row>
    <row r="409" ht="29" spans="1:11">
      <c r="A409" s="8" t="str">
        <f>'08_GDE_RISK_ENGINE'!A409</f>
        <v>PTH2GRK02 BB001</v>
      </c>
      <c r="B409" s="8" t="str">
        <f>'08_GDE_RISK_ENGINE'!B409</f>
        <v>Equipment</v>
      </c>
      <c r="C409" s="8" t="str">
        <f>'08_GDE_RISK_ENGINE'!C409</f>
        <v>BOP/Utility</v>
      </c>
      <c r="D409" s="8" t="str">
        <f>'08_GDE_RISK_ENGINE'!D409</f>
        <v>EQ-BOPUT-GRK-EQUIPMENT</v>
      </c>
      <c r="E409" s="8">
        <f>'08_GDE_RISK_ENGINE'!E409</f>
        <v>2</v>
      </c>
      <c r="F409" s="8">
        <f>'08_GDE_RISK_ENGINE'!F409</f>
        <v>2</v>
      </c>
      <c r="G409" s="8" t="str">
        <f>'08_GDE_RISK_ENGINE'!G409</f>
        <v>Medium</v>
      </c>
      <c r="H409" s="8">
        <f>IF(A409="","",MIN(5,E409+'14_GDE_RISK_MATRIX_DASHBOARD'!$C$6))</f>
        <v>3</v>
      </c>
      <c r="I409" s="8">
        <f>IF(A409="","",MAX(1,E409-'14_GDE_RISK_MATRIX_DASHBOARD'!$C$7))</f>
        <v>1</v>
      </c>
      <c r="J409" s="8" t="str">
        <f t="shared" si="12"/>
        <v>Medium</v>
      </c>
      <c r="K409" s="8" t="str">
        <f t="shared" si="13"/>
        <v>Medium</v>
      </c>
    </row>
    <row r="410" ht="29" spans="1:11">
      <c r="A410" s="8" t="str">
        <f>'08_GDE_RISK_ENGINE'!A410</f>
        <v>PTH2GRK02 AP001</v>
      </c>
      <c r="B410" s="8" t="str">
        <f>'08_GDE_RISK_ENGINE'!B410</f>
        <v>Equipment</v>
      </c>
      <c r="C410" s="8" t="str">
        <f>'08_GDE_RISK_ENGINE'!C410</f>
        <v>BOP/Utility</v>
      </c>
      <c r="D410" s="8" t="str">
        <f>'08_GDE_RISK_ENGINE'!D410</f>
        <v>EQ-BOPUT-GRK-ROTATINGPACKAGE</v>
      </c>
      <c r="E410" s="8">
        <f>'08_GDE_RISK_ENGINE'!E410</f>
        <v>2</v>
      </c>
      <c r="F410" s="8">
        <f>'08_GDE_RISK_ENGINE'!F410</f>
        <v>2</v>
      </c>
      <c r="G410" s="8" t="str">
        <f>'08_GDE_RISK_ENGINE'!G410</f>
        <v>Medium</v>
      </c>
      <c r="H410" s="8">
        <f>IF(A410="","",MIN(5,E410+'14_GDE_RISK_MATRIX_DASHBOARD'!$C$6))</f>
        <v>3</v>
      </c>
      <c r="I410" s="8">
        <f>IF(A410="","",MAX(1,E410-'14_GDE_RISK_MATRIX_DASHBOARD'!$C$7))</f>
        <v>1</v>
      </c>
      <c r="J410" s="8" t="str">
        <f t="shared" si="12"/>
        <v>Medium</v>
      </c>
      <c r="K410" s="8" t="str">
        <f t="shared" si="13"/>
        <v>Medium</v>
      </c>
    </row>
    <row r="411" ht="29" spans="1:11">
      <c r="A411" s="8" t="str">
        <f>'08_GDE_RISK_ENGINE'!A411</f>
        <v>PTH2GRK01 BB002</v>
      </c>
      <c r="B411" s="8" t="str">
        <f>'08_GDE_RISK_ENGINE'!B411</f>
        <v>Equipment</v>
      </c>
      <c r="C411" s="8" t="str">
        <f>'08_GDE_RISK_ENGINE'!C411</f>
        <v>BOP/Utility</v>
      </c>
      <c r="D411" s="8" t="str">
        <f>'08_GDE_RISK_ENGINE'!D411</f>
        <v>EQ-BOPUT-GRK-EQUIPMENT</v>
      </c>
      <c r="E411" s="8">
        <f>'08_GDE_RISK_ENGINE'!E411</f>
        <v>2</v>
      </c>
      <c r="F411" s="8">
        <f>'08_GDE_RISK_ENGINE'!F411</f>
        <v>2</v>
      </c>
      <c r="G411" s="8" t="str">
        <f>'08_GDE_RISK_ENGINE'!G411</f>
        <v>Medium</v>
      </c>
      <c r="H411" s="8">
        <f>IF(A411="","",MIN(5,E411+'14_GDE_RISK_MATRIX_DASHBOARD'!$C$6))</f>
        <v>3</v>
      </c>
      <c r="I411" s="8">
        <f>IF(A411="","",MAX(1,E411-'14_GDE_RISK_MATRIX_DASHBOARD'!$C$7))</f>
        <v>1</v>
      </c>
      <c r="J411" s="8" t="str">
        <f t="shared" si="12"/>
        <v>Medium</v>
      </c>
      <c r="K411" s="8" t="str">
        <f t="shared" si="13"/>
        <v>Medium</v>
      </c>
    </row>
    <row r="412" ht="29" spans="1:11">
      <c r="A412" s="8" t="str">
        <f>'08_GDE_RISK_ENGINE'!A412</f>
        <v>PTH2GRK02 AT001</v>
      </c>
      <c r="B412" s="8" t="str">
        <f>'08_GDE_RISK_ENGINE'!B412</f>
        <v>Equipment</v>
      </c>
      <c r="C412" s="8" t="str">
        <f>'08_GDE_RISK_ENGINE'!C412</f>
        <v>BOP/Utility</v>
      </c>
      <c r="D412" s="8" t="str">
        <f>'08_GDE_RISK_ENGINE'!D412</f>
        <v>EQ-BOPUT-GRK-STATICEQUIPMENT</v>
      </c>
      <c r="E412" s="8">
        <f>'08_GDE_RISK_ENGINE'!E412</f>
        <v>3</v>
      </c>
      <c r="F412" s="8">
        <f>'08_GDE_RISK_ENGINE'!F412</f>
        <v>2</v>
      </c>
      <c r="G412" s="8" t="str">
        <f>'08_GDE_RISK_ENGINE'!G412</f>
        <v>High</v>
      </c>
      <c r="H412" s="8">
        <f>IF(A412="","",MIN(5,E412+'14_GDE_RISK_MATRIX_DASHBOARD'!$C$6))</f>
        <v>4</v>
      </c>
      <c r="I412" s="8">
        <f>IF(A412="","",MAX(1,E412-'14_GDE_RISK_MATRIX_DASHBOARD'!$C$7))</f>
        <v>2</v>
      </c>
      <c r="J412" s="8" t="str">
        <f t="shared" si="12"/>
        <v>Medium</v>
      </c>
      <c r="K412" s="8" t="str">
        <f t="shared" si="13"/>
        <v>Medium</v>
      </c>
    </row>
    <row r="413" ht="29" spans="1:11">
      <c r="A413" s="8" t="str">
        <f>'08_GDE_RISK_ENGINE'!A413</f>
        <v>PTH2SGA14 AP002</v>
      </c>
      <c r="B413" s="8" t="str">
        <f>'08_GDE_RISK_ENGINE'!B413</f>
        <v>Equipment</v>
      </c>
      <c r="C413" s="8" t="str">
        <f>'08_GDE_RISK_ENGINE'!C413</f>
        <v>Equipment</v>
      </c>
      <c r="D413" s="8" t="str">
        <f>'08_GDE_RISK_ENGINE'!D413</f>
        <v>EQ-EQUIP-SGA-ROTATINGPACKAGE</v>
      </c>
      <c r="E413" s="8">
        <f>'08_GDE_RISK_ENGINE'!E413</f>
        <v>2</v>
      </c>
      <c r="F413" s="8">
        <f>'08_GDE_RISK_ENGINE'!F413</f>
        <v>2</v>
      </c>
      <c r="G413" s="8" t="str">
        <f>'08_GDE_RISK_ENGINE'!G413</f>
        <v>Medium</v>
      </c>
      <c r="H413" s="8">
        <f>IF(A413="","",MIN(5,E413+'14_GDE_RISK_MATRIX_DASHBOARD'!$C$6))</f>
        <v>3</v>
      </c>
      <c r="I413" s="8">
        <f>IF(A413="","",MAX(1,E413-'14_GDE_RISK_MATRIX_DASHBOARD'!$C$7))</f>
        <v>1</v>
      </c>
      <c r="J413" s="8" t="str">
        <f t="shared" si="12"/>
        <v>Medium</v>
      </c>
      <c r="K413" s="8" t="str">
        <f t="shared" si="13"/>
        <v>Medium</v>
      </c>
    </row>
    <row r="414" ht="29" spans="1:11">
      <c r="A414" s="8" t="str">
        <f>'08_GDE_RISK_ENGINE'!A414</f>
        <v>PTH2SGA13 AP001</v>
      </c>
      <c r="B414" s="8" t="str">
        <f>'08_GDE_RISK_ENGINE'!B414</f>
        <v>Equipment</v>
      </c>
      <c r="C414" s="8" t="str">
        <f>'08_GDE_RISK_ENGINE'!C414</f>
        <v>Equipment</v>
      </c>
      <c r="D414" s="8" t="str">
        <f>'08_GDE_RISK_ENGINE'!D414</f>
        <v>EQ-EQUIP-SGA-ROTATINGPACKAGE</v>
      </c>
      <c r="E414" s="8">
        <f>'08_GDE_RISK_ENGINE'!E414</f>
        <v>2</v>
      </c>
      <c r="F414" s="8">
        <f>'08_GDE_RISK_ENGINE'!F414</f>
        <v>2</v>
      </c>
      <c r="G414" s="8" t="str">
        <f>'08_GDE_RISK_ENGINE'!G414</f>
        <v>Medium</v>
      </c>
      <c r="H414" s="8">
        <f>IF(A414="","",MIN(5,E414+'14_GDE_RISK_MATRIX_DASHBOARD'!$C$6))</f>
        <v>3</v>
      </c>
      <c r="I414" s="8">
        <f>IF(A414="","",MAX(1,E414-'14_GDE_RISK_MATRIX_DASHBOARD'!$C$7))</f>
        <v>1</v>
      </c>
      <c r="J414" s="8" t="str">
        <f t="shared" si="12"/>
        <v>Medium</v>
      </c>
      <c r="K414" s="8" t="str">
        <f t="shared" si="13"/>
        <v>Medium</v>
      </c>
    </row>
    <row r="415" ht="29" spans="1:11">
      <c r="A415" s="8" t="str">
        <f>'08_GDE_RISK_ENGINE'!A415</f>
        <v>PTH2SGA15 AP001</v>
      </c>
      <c r="B415" s="8" t="str">
        <f>'08_GDE_RISK_ENGINE'!B415</f>
        <v>Equipment</v>
      </c>
      <c r="C415" s="8" t="str">
        <f>'08_GDE_RISK_ENGINE'!C415</f>
        <v>Equipment</v>
      </c>
      <c r="D415" s="8" t="str">
        <f>'08_GDE_RISK_ENGINE'!D415</f>
        <v>EQ-EQUIP-SGA-ROTATINGPACKAGE</v>
      </c>
      <c r="E415" s="8">
        <f>'08_GDE_RISK_ENGINE'!E415</f>
        <v>2</v>
      </c>
      <c r="F415" s="8">
        <f>'08_GDE_RISK_ENGINE'!F415</f>
        <v>2</v>
      </c>
      <c r="G415" s="8" t="str">
        <f>'08_GDE_RISK_ENGINE'!G415</f>
        <v>Medium</v>
      </c>
      <c r="H415" s="8">
        <f>IF(A415="","",MIN(5,E415+'14_GDE_RISK_MATRIX_DASHBOARD'!$C$6))</f>
        <v>3</v>
      </c>
      <c r="I415" s="8">
        <f>IF(A415="","",MAX(1,E415-'14_GDE_RISK_MATRIX_DASHBOARD'!$C$7))</f>
        <v>1</v>
      </c>
      <c r="J415" s="8" t="str">
        <f t="shared" si="12"/>
        <v>Medium</v>
      </c>
      <c r="K415" s="8" t="str">
        <f t="shared" si="13"/>
        <v>Medium</v>
      </c>
    </row>
    <row r="416" ht="29" spans="1:11">
      <c r="A416" s="8" t="str">
        <f>'08_GDE_RISK_ENGINE'!A416</f>
        <v>PTH2SGA15 BB001</v>
      </c>
      <c r="B416" s="8" t="str">
        <f>'08_GDE_RISK_ENGINE'!B416</f>
        <v>Equipment</v>
      </c>
      <c r="C416" s="8" t="str">
        <f>'08_GDE_RISK_ENGINE'!C416</f>
        <v>Equipment</v>
      </c>
      <c r="D416" s="8" t="str">
        <f>'08_GDE_RISK_ENGINE'!D416</f>
        <v>EQ-EQUIP-SGA-STATICEQUIPMENT</v>
      </c>
      <c r="E416" s="8">
        <f>'08_GDE_RISK_ENGINE'!E416</f>
        <v>3</v>
      </c>
      <c r="F416" s="8">
        <f>'08_GDE_RISK_ENGINE'!F416</f>
        <v>2</v>
      </c>
      <c r="G416" s="8" t="str">
        <f>'08_GDE_RISK_ENGINE'!G416</f>
        <v>High</v>
      </c>
      <c r="H416" s="8">
        <f>IF(A416="","",MIN(5,E416+'14_GDE_RISK_MATRIX_DASHBOARD'!$C$6))</f>
        <v>4</v>
      </c>
      <c r="I416" s="8">
        <f>IF(A416="","",MAX(1,E416-'14_GDE_RISK_MATRIX_DASHBOARD'!$C$7))</f>
        <v>2</v>
      </c>
      <c r="J416" s="8" t="str">
        <f t="shared" si="12"/>
        <v>Medium</v>
      </c>
      <c r="K416" s="8" t="str">
        <f t="shared" si="13"/>
        <v>Medium</v>
      </c>
    </row>
    <row r="417" spans="1:11">
      <c r="A417" s="8" t="s">
        <v>138</v>
      </c>
      <c r="B417" s="8" t="s">
        <v>138</v>
      </c>
      <c r="C417" s="8" t="s">
        <v>138</v>
      </c>
      <c r="D417" s="8" t="s">
        <v>138</v>
      </c>
      <c r="E417" s="8" t="s">
        <v>138</v>
      </c>
      <c r="F417" s="8" t="s">
        <v>138</v>
      </c>
      <c r="G417" s="8" t="s">
        <v>138</v>
      </c>
      <c r="H417" s="8" t="s">
        <v>138</v>
      </c>
      <c r="I417" s="8" t="s">
        <v>138</v>
      </c>
      <c r="J417" s="8" t="s">
        <v>138</v>
      </c>
      <c r="K417" s="8" t="s">
        <v>138</v>
      </c>
    </row>
    <row r="418" spans="1:11">
      <c r="A418" s="8" t="s">
        <v>138</v>
      </c>
      <c r="B418" s="8" t="s">
        <v>138</v>
      </c>
      <c r="C418" s="8" t="s">
        <v>138</v>
      </c>
      <c r="D418" s="8" t="s">
        <v>138</v>
      </c>
      <c r="E418" s="8" t="s">
        <v>138</v>
      </c>
      <c r="F418" s="8" t="s">
        <v>138</v>
      </c>
      <c r="G418" s="8" t="s">
        <v>138</v>
      </c>
      <c r="H418" s="8" t="s">
        <v>138</v>
      </c>
      <c r="I418" s="8" t="s">
        <v>138</v>
      </c>
      <c r="J418" s="8" t="s">
        <v>138</v>
      </c>
      <c r="K418" s="8" t="s">
        <v>138</v>
      </c>
    </row>
    <row r="419" spans="1:11">
      <c r="A419" s="8" t="s">
        <v>138</v>
      </c>
      <c r="B419" s="8" t="s">
        <v>138</v>
      </c>
      <c r="C419" s="8" t="s">
        <v>138</v>
      </c>
      <c r="D419" s="8" t="s">
        <v>138</v>
      </c>
      <c r="E419" s="8" t="s">
        <v>138</v>
      </c>
      <c r="F419" s="8" t="s">
        <v>138</v>
      </c>
      <c r="G419" s="8" t="s">
        <v>138</v>
      </c>
      <c r="H419" s="8" t="s">
        <v>138</v>
      </c>
      <c r="I419" s="8" t="s">
        <v>138</v>
      </c>
      <c r="J419" s="8" t="s">
        <v>138</v>
      </c>
      <c r="K419" s="8" t="s">
        <v>138</v>
      </c>
    </row>
    <row r="420" spans="1:11">
      <c r="A420" s="8" t="s">
        <v>138</v>
      </c>
      <c r="B420" s="8" t="s">
        <v>138</v>
      </c>
      <c r="C420" s="8" t="s">
        <v>138</v>
      </c>
      <c r="D420" s="8" t="s">
        <v>138</v>
      </c>
      <c r="E420" s="8" t="s">
        <v>138</v>
      </c>
      <c r="F420" s="8" t="s">
        <v>138</v>
      </c>
      <c r="G420" s="8" t="s">
        <v>138</v>
      </c>
      <c r="H420" s="8" t="s">
        <v>138</v>
      </c>
      <c r="I420" s="8" t="s">
        <v>138</v>
      </c>
      <c r="J420" s="8" t="s">
        <v>138</v>
      </c>
      <c r="K420" s="8" t="s">
        <v>138</v>
      </c>
    </row>
    <row r="421" spans="1:11">
      <c r="A421" s="8" t="s">
        <v>138</v>
      </c>
      <c r="B421" s="8" t="s">
        <v>138</v>
      </c>
      <c r="C421" s="8" t="s">
        <v>138</v>
      </c>
      <c r="D421" s="8" t="s">
        <v>138</v>
      </c>
      <c r="E421" s="8" t="s">
        <v>138</v>
      </c>
      <c r="F421" s="8" t="s">
        <v>138</v>
      </c>
      <c r="G421" s="8" t="s">
        <v>138</v>
      </c>
      <c r="H421" s="8" t="s">
        <v>138</v>
      </c>
      <c r="I421" s="8" t="s">
        <v>138</v>
      </c>
      <c r="J421" s="8" t="s">
        <v>138</v>
      </c>
      <c r="K421" s="8" t="s">
        <v>138</v>
      </c>
    </row>
    <row r="422" spans="1:11">
      <c r="A422" s="8" t="s">
        <v>138</v>
      </c>
      <c r="B422" s="8" t="s">
        <v>138</v>
      </c>
      <c r="C422" s="8" t="s">
        <v>138</v>
      </c>
      <c r="D422" s="8" t="s">
        <v>138</v>
      </c>
      <c r="E422" s="8" t="s">
        <v>138</v>
      </c>
      <c r="F422" s="8" t="s">
        <v>138</v>
      </c>
      <c r="G422" s="8" t="s">
        <v>138</v>
      </c>
      <c r="H422" s="8" t="s">
        <v>138</v>
      </c>
      <c r="I422" s="8" t="s">
        <v>138</v>
      </c>
      <c r="J422" s="8" t="s">
        <v>138</v>
      </c>
      <c r="K422" s="8" t="s">
        <v>138</v>
      </c>
    </row>
    <row r="423" spans="1:11">
      <c r="A423" s="8" t="s">
        <v>138</v>
      </c>
      <c r="B423" s="8" t="s">
        <v>138</v>
      </c>
      <c r="C423" s="8" t="s">
        <v>138</v>
      </c>
      <c r="D423" s="8" t="s">
        <v>138</v>
      </c>
      <c r="E423" s="8" t="s">
        <v>138</v>
      </c>
      <c r="F423" s="8" t="s">
        <v>138</v>
      </c>
      <c r="G423" s="8" t="s">
        <v>138</v>
      </c>
      <c r="H423" s="8" t="s">
        <v>138</v>
      </c>
      <c r="I423" s="8" t="s">
        <v>138</v>
      </c>
      <c r="J423" s="8" t="s">
        <v>138</v>
      </c>
      <c r="K423" s="8" t="s">
        <v>138</v>
      </c>
    </row>
    <row r="424" spans="1:11">
      <c r="A424" s="8" t="s">
        <v>138</v>
      </c>
      <c r="B424" s="8" t="s">
        <v>138</v>
      </c>
      <c r="C424" s="8" t="s">
        <v>138</v>
      </c>
      <c r="D424" s="8" t="s">
        <v>138</v>
      </c>
      <c r="E424" s="8" t="s">
        <v>138</v>
      </c>
      <c r="F424" s="8" t="s">
        <v>138</v>
      </c>
      <c r="G424" s="8" t="s">
        <v>138</v>
      </c>
      <c r="H424" s="8" t="s">
        <v>138</v>
      </c>
      <c r="I424" s="8" t="s">
        <v>138</v>
      </c>
      <c r="J424" s="8" t="s">
        <v>138</v>
      </c>
      <c r="K424" s="8" t="s">
        <v>138</v>
      </c>
    </row>
    <row r="425" spans="1:11">
      <c r="A425" s="8" t="s">
        <v>138</v>
      </c>
      <c r="B425" s="8" t="s">
        <v>138</v>
      </c>
      <c r="C425" s="8" t="s">
        <v>138</v>
      </c>
      <c r="D425" s="8" t="s">
        <v>138</v>
      </c>
      <c r="E425" s="8" t="s">
        <v>138</v>
      </c>
      <c r="F425" s="8" t="s">
        <v>138</v>
      </c>
      <c r="G425" s="8" t="s">
        <v>138</v>
      </c>
      <c r="H425" s="8" t="s">
        <v>138</v>
      </c>
      <c r="I425" s="8" t="s">
        <v>138</v>
      </c>
      <c r="J425" s="8" t="s">
        <v>138</v>
      </c>
      <c r="K425" s="8" t="s">
        <v>138</v>
      </c>
    </row>
    <row r="426" spans="1:11">
      <c r="A426" s="8" t="s">
        <v>138</v>
      </c>
      <c r="B426" s="8" t="s">
        <v>138</v>
      </c>
      <c r="C426" s="8" t="s">
        <v>138</v>
      </c>
      <c r="D426" s="8" t="s">
        <v>138</v>
      </c>
      <c r="E426" s="8" t="s">
        <v>138</v>
      </c>
      <c r="F426" s="8" t="s">
        <v>138</v>
      </c>
      <c r="G426" s="8" t="s">
        <v>138</v>
      </c>
      <c r="H426" s="8" t="s">
        <v>138</v>
      </c>
      <c r="I426" s="8" t="s">
        <v>138</v>
      </c>
      <c r="J426" s="8" t="s">
        <v>138</v>
      </c>
      <c r="K426" s="8" t="s">
        <v>138</v>
      </c>
    </row>
    <row r="427" spans="1:11">
      <c r="A427" s="8" t="s">
        <v>138</v>
      </c>
      <c r="B427" s="8" t="s">
        <v>138</v>
      </c>
      <c r="C427" s="8" t="s">
        <v>138</v>
      </c>
      <c r="D427" s="8" t="s">
        <v>138</v>
      </c>
      <c r="E427" s="8" t="s">
        <v>138</v>
      </c>
      <c r="F427" s="8" t="s">
        <v>138</v>
      </c>
      <c r="G427" s="8" t="s">
        <v>138</v>
      </c>
      <c r="H427" s="8" t="s">
        <v>138</v>
      </c>
      <c r="I427" s="8" t="s">
        <v>138</v>
      </c>
      <c r="J427" s="8" t="s">
        <v>138</v>
      </c>
      <c r="K427" s="8" t="s">
        <v>138</v>
      </c>
    </row>
    <row r="428" spans="1:11">
      <c r="A428" s="8" t="s">
        <v>138</v>
      </c>
      <c r="B428" s="8" t="s">
        <v>138</v>
      </c>
      <c r="C428" s="8" t="s">
        <v>138</v>
      </c>
      <c r="D428" s="8" t="s">
        <v>138</v>
      </c>
      <c r="E428" s="8" t="s">
        <v>138</v>
      </c>
      <c r="F428" s="8" t="s">
        <v>138</v>
      </c>
      <c r="G428" s="8" t="s">
        <v>138</v>
      </c>
      <c r="H428" s="8" t="s">
        <v>138</v>
      </c>
      <c r="I428" s="8" t="s">
        <v>138</v>
      </c>
      <c r="J428" s="8" t="s">
        <v>138</v>
      </c>
      <c r="K428" s="8" t="s">
        <v>138</v>
      </c>
    </row>
    <row r="429" spans="1:11">
      <c r="A429" s="8" t="s">
        <v>138</v>
      </c>
      <c r="B429" s="8" t="s">
        <v>138</v>
      </c>
      <c r="C429" s="8" t="s">
        <v>138</v>
      </c>
      <c r="D429" s="8" t="s">
        <v>138</v>
      </c>
      <c r="E429" s="8" t="s">
        <v>138</v>
      </c>
      <c r="F429" s="8" t="s">
        <v>138</v>
      </c>
      <c r="G429" s="8" t="s">
        <v>138</v>
      </c>
      <c r="H429" s="8" t="s">
        <v>138</v>
      </c>
      <c r="I429" s="8" t="s">
        <v>138</v>
      </c>
      <c r="J429" s="8" t="s">
        <v>138</v>
      </c>
      <c r="K429" s="8" t="s">
        <v>138</v>
      </c>
    </row>
    <row r="430" spans="1:11">
      <c r="A430" s="8" t="s">
        <v>138</v>
      </c>
      <c r="B430" s="8" t="s">
        <v>138</v>
      </c>
      <c r="C430" s="8" t="s">
        <v>138</v>
      </c>
      <c r="D430" s="8" t="s">
        <v>138</v>
      </c>
      <c r="E430" s="8" t="s">
        <v>138</v>
      </c>
      <c r="F430" s="8" t="s">
        <v>138</v>
      </c>
      <c r="G430" s="8" t="s">
        <v>138</v>
      </c>
      <c r="H430" s="8" t="s">
        <v>138</v>
      </c>
      <c r="I430" s="8" t="s">
        <v>138</v>
      </c>
      <c r="J430" s="8" t="s">
        <v>138</v>
      </c>
      <c r="K430" s="8" t="s">
        <v>138</v>
      </c>
    </row>
    <row r="431" spans="1:11">
      <c r="A431" s="8" t="s">
        <v>138</v>
      </c>
      <c r="B431" s="8" t="s">
        <v>138</v>
      </c>
      <c r="C431" s="8" t="s">
        <v>138</v>
      </c>
      <c r="D431" s="8" t="s">
        <v>138</v>
      </c>
      <c r="E431" s="8" t="s">
        <v>138</v>
      </c>
      <c r="F431" s="8" t="s">
        <v>138</v>
      </c>
      <c r="G431" s="8" t="s">
        <v>138</v>
      </c>
      <c r="H431" s="8" t="s">
        <v>138</v>
      </c>
      <c r="I431" s="8" t="s">
        <v>138</v>
      </c>
      <c r="J431" s="8" t="s">
        <v>138</v>
      </c>
      <c r="K431" s="8" t="s">
        <v>138</v>
      </c>
    </row>
    <row r="432" spans="1:11">
      <c r="A432" s="8" t="s">
        <v>138</v>
      </c>
      <c r="B432" s="8" t="s">
        <v>138</v>
      </c>
      <c r="C432" s="8" t="s">
        <v>138</v>
      </c>
      <c r="D432" s="8" t="s">
        <v>138</v>
      </c>
      <c r="E432" s="8" t="s">
        <v>138</v>
      </c>
      <c r="F432" s="8" t="s">
        <v>138</v>
      </c>
      <c r="G432" s="8" t="s">
        <v>138</v>
      </c>
      <c r="H432" s="8" t="s">
        <v>138</v>
      </c>
      <c r="I432" s="8" t="s">
        <v>138</v>
      </c>
      <c r="J432" s="8" t="s">
        <v>138</v>
      </c>
      <c r="K432" s="8" t="s">
        <v>138</v>
      </c>
    </row>
    <row r="433" spans="1:11">
      <c r="A433" s="8" t="s">
        <v>138</v>
      </c>
      <c r="B433" s="8" t="s">
        <v>138</v>
      </c>
      <c r="C433" s="8" t="s">
        <v>138</v>
      </c>
      <c r="D433" s="8" t="s">
        <v>138</v>
      </c>
      <c r="E433" s="8" t="s">
        <v>138</v>
      </c>
      <c r="F433" s="8" t="s">
        <v>138</v>
      </c>
      <c r="G433" s="8" t="s">
        <v>138</v>
      </c>
      <c r="H433" s="8" t="s">
        <v>138</v>
      </c>
      <c r="I433" s="8" t="s">
        <v>138</v>
      </c>
      <c r="J433" s="8" t="s">
        <v>138</v>
      </c>
      <c r="K433" s="8" t="s">
        <v>138</v>
      </c>
    </row>
    <row r="434" spans="1:11">
      <c r="A434" s="8" t="s">
        <v>138</v>
      </c>
      <c r="B434" s="8" t="s">
        <v>138</v>
      </c>
      <c r="C434" s="8" t="s">
        <v>138</v>
      </c>
      <c r="D434" s="8" t="s">
        <v>138</v>
      </c>
      <c r="E434" s="8" t="s">
        <v>138</v>
      </c>
      <c r="F434" s="8" t="s">
        <v>138</v>
      </c>
      <c r="G434" s="8" t="s">
        <v>138</v>
      </c>
      <c r="H434" s="8" t="s">
        <v>138</v>
      </c>
      <c r="I434" s="8" t="s">
        <v>138</v>
      </c>
      <c r="J434" s="8" t="s">
        <v>138</v>
      </c>
      <c r="K434" s="8" t="s">
        <v>138</v>
      </c>
    </row>
    <row r="435" spans="1:11">
      <c r="A435" s="8" t="s">
        <v>138</v>
      </c>
      <c r="B435" s="8" t="s">
        <v>138</v>
      </c>
      <c r="C435" s="8" t="s">
        <v>138</v>
      </c>
      <c r="D435" s="8" t="s">
        <v>138</v>
      </c>
      <c r="E435" s="8" t="s">
        <v>138</v>
      </c>
      <c r="F435" s="8" t="s">
        <v>138</v>
      </c>
      <c r="G435" s="8" t="s">
        <v>138</v>
      </c>
      <c r="H435" s="8" t="s">
        <v>138</v>
      </c>
      <c r="I435" s="8" t="s">
        <v>138</v>
      </c>
      <c r="J435" s="8" t="s">
        <v>138</v>
      </c>
      <c r="K435" s="8" t="s">
        <v>138</v>
      </c>
    </row>
    <row r="436" spans="1:11">
      <c r="A436" s="8" t="s">
        <v>138</v>
      </c>
      <c r="B436" s="8" t="s">
        <v>138</v>
      </c>
      <c r="C436" s="8" t="s">
        <v>138</v>
      </c>
      <c r="D436" s="8" t="s">
        <v>138</v>
      </c>
      <c r="E436" s="8" t="s">
        <v>138</v>
      </c>
      <c r="F436" s="8" t="s">
        <v>138</v>
      </c>
      <c r="G436" s="8" t="s">
        <v>138</v>
      </c>
      <c r="H436" s="8" t="s">
        <v>138</v>
      </c>
      <c r="I436" s="8" t="s">
        <v>138</v>
      </c>
      <c r="J436" s="8" t="s">
        <v>138</v>
      </c>
      <c r="K436" s="8" t="s">
        <v>138</v>
      </c>
    </row>
    <row r="437" spans="1:11">
      <c r="A437" s="8" t="s">
        <v>138</v>
      </c>
      <c r="B437" s="8" t="s">
        <v>138</v>
      </c>
      <c r="C437" s="8" t="s">
        <v>138</v>
      </c>
      <c r="D437" s="8" t="s">
        <v>138</v>
      </c>
      <c r="E437" s="8" t="s">
        <v>138</v>
      </c>
      <c r="F437" s="8" t="s">
        <v>138</v>
      </c>
      <c r="G437" s="8" t="s">
        <v>138</v>
      </c>
      <c r="H437" s="8" t="s">
        <v>138</v>
      </c>
      <c r="I437" s="8" t="s">
        <v>138</v>
      </c>
      <c r="J437" s="8" t="s">
        <v>138</v>
      </c>
      <c r="K437" s="8" t="s">
        <v>138</v>
      </c>
    </row>
    <row r="438" spans="1:11">
      <c r="A438" s="8" t="s">
        <v>138</v>
      </c>
      <c r="B438" s="8" t="s">
        <v>138</v>
      </c>
      <c r="C438" s="8" t="s">
        <v>138</v>
      </c>
      <c r="D438" s="8" t="s">
        <v>138</v>
      </c>
      <c r="E438" s="8" t="s">
        <v>138</v>
      </c>
      <c r="F438" s="8" t="s">
        <v>138</v>
      </c>
      <c r="G438" s="8" t="s">
        <v>138</v>
      </c>
      <c r="H438" s="8" t="s">
        <v>138</v>
      </c>
      <c r="I438" s="8" t="s">
        <v>138</v>
      </c>
      <c r="J438" s="8" t="s">
        <v>138</v>
      </c>
      <c r="K438" s="8" t="s">
        <v>138</v>
      </c>
    </row>
    <row r="439" spans="1:11">
      <c r="A439" s="8" t="s">
        <v>138</v>
      </c>
      <c r="B439" s="8" t="s">
        <v>138</v>
      </c>
      <c r="C439" s="8" t="s">
        <v>138</v>
      </c>
      <c r="D439" s="8" t="s">
        <v>138</v>
      </c>
      <c r="E439" s="8" t="s">
        <v>138</v>
      </c>
      <c r="F439" s="8" t="s">
        <v>138</v>
      </c>
      <c r="G439" s="8" t="s">
        <v>138</v>
      </c>
      <c r="H439" s="8" t="s">
        <v>138</v>
      </c>
      <c r="I439" s="8" t="s">
        <v>138</v>
      </c>
      <c r="J439" s="8" t="s">
        <v>138</v>
      </c>
      <c r="K439" s="8" t="s">
        <v>138</v>
      </c>
    </row>
    <row r="440" spans="1:11">
      <c r="A440" s="8" t="s">
        <v>138</v>
      </c>
      <c r="B440" s="8" t="s">
        <v>138</v>
      </c>
      <c r="C440" s="8" t="s">
        <v>138</v>
      </c>
      <c r="D440" s="8" t="s">
        <v>138</v>
      </c>
      <c r="E440" s="8" t="s">
        <v>138</v>
      </c>
      <c r="F440" s="8" t="s">
        <v>138</v>
      </c>
      <c r="G440" s="8" t="s">
        <v>138</v>
      </c>
      <c r="H440" s="8" t="s">
        <v>138</v>
      </c>
      <c r="I440" s="8" t="s">
        <v>138</v>
      </c>
      <c r="J440" s="8" t="s">
        <v>138</v>
      </c>
      <c r="K440" s="8" t="s">
        <v>138</v>
      </c>
    </row>
    <row r="441" spans="1:11">
      <c r="A441" s="8" t="s">
        <v>138</v>
      </c>
      <c r="B441" s="8" t="s">
        <v>138</v>
      </c>
      <c r="C441" s="8" t="s">
        <v>138</v>
      </c>
      <c r="D441" s="8" t="s">
        <v>138</v>
      </c>
      <c r="E441" s="8" t="s">
        <v>138</v>
      </c>
      <c r="F441" s="8" t="s">
        <v>138</v>
      </c>
      <c r="G441" s="8" t="s">
        <v>138</v>
      </c>
      <c r="H441" s="8" t="s">
        <v>138</v>
      </c>
      <c r="I441" s="8" t="s">
        <v>138</v>
      </c>
      <c r="J441" s="8" t="s">
        <v>138</v>
      </c>
      <c r="K441" s="8" t="s">
        <v>138</v>
      </c>
    </row>
    <row r="442" spans="1:11">
      <c r="A442" s="8" t="s">
        <v>138</v>
      </c>
      <c r="B442" s="8" t="s">
        <v>138</v>
      </c>
      <c r="C442" s="8" t="s">
        <v>138</v>
      </c>
      <c r="D442" s="8" t="s">
        <v>138</v>
      </c>
      <c r="E442" s="8" t="s">
        <v>138</v>
      </c>
      <c r="F442" s="8" t="s">
        <v>138</v>
      </c>
      <c r="G442" s="8" t="s">
        <v>138</v>
      </c>
      <c r="H442" s="8" t="s">
        <v>138</v>
      </c>
      <c r="I442" s="8" t="s">
        <v>138</v>
      </c>
      <c r="J442" s="8" t="s">
        <v>138</v>
      </c>
      <c r="K442" s="8" t="s">
        <v>138</v>
      </c>
    </row>
    <row r="443" spans="1:11">
      <c r="A443" s="8" t="s">
        <v>138</v>
      </c>
      <c r="B443" s="8" t="s">
        <v>138</v>
      </c>
      <c r="C443" s="8" t="s">
        <v>138</v>
      </c>
      <c r="D443" s="8" t="s">
        <v>138</v>
      </c>
      <c r="E443" s="8" t="s">
        <v>138</v>
      </c>
      <c r="F443" s="8" t="s">
        <v>138</v>
      </c>
      <c r="G443" s="8" t="s">
        <v>138</v>
      </c>
      <c r="H443" s="8" t="s">
        <v>138</v>
      </c>
      <c r="I443" s="8" t="s">
        <v>138</v>
      </c>
      <c r="J443" s="8" t="s">
        <v>138</v>
      </c>
      <c r="K443" s="8" t="s">
        <v>138</v>
      </c>
    </row>
    <row r="444" spans="1:11">
      <c r="A444" s="8" t="s">
        <v>138</v>
      </c>
      <c r="B444" s="8" t="s">
        <v>138</v>
      </c>
      <c r="C444" s="8" t="s">
        <v>138</v>
      </c>
      <c r="D444" s="8" t="s">
        <v>138</v>
      </c>
      <c r="E444" s="8" t="s">
        <v>138</v>
      </c>
      <c r="F444" s="8" t="s">
        <v>138</v>
      </c>
      <c r="G444" s="8" t="s">
        <v>138</v>
      </c>
      <c r="H444" s="8" t="s">
        <v>138</v>
      </c>
      <c r="I444" s="8" t="s">
        <v>138</v>
      </c>
      <c r="J444" s="8" t="s">
        <v>138</v>
      </c>
      <c r="K444" s="8" t="s">
        <v>138</v>
      </c>
    </row>
    <row r="445" spans="1:11">
      <c r="A445" s="8" t="s">
        <v>138</v>
      </c>
      <c r="B445" s="8" t="s">
        <v>138</v>
      </c>
      <c r="C445" s="8" t="s">
        <v>138</v>
      </c>
      <c r="D445" s="8" t="s">
        <v>138</v>
      </c>
      <c r="E445" s="8" t="s">
        <v>138</v>
      </c>
      <c r="F445" s="8" t="s">
        <v>138</v>
      </c>
      <c r="G445" s="8" t="s">
        <v>138</v>
      </c>
      <c r="H445" s="8" t="s">
        <v>138</v>
      </c>
      <c r="I445" s="8" t="s">
        <v>138</v>
      </c>
      <c r="J445" s="8" t="s">
        <v>138</v>
      </c>
      <c r="K445" s="8" t="s">
        <v>138</v>
      </c>
    </row>
    <row r="446" spans="1:11">
      <c r="A446" s="8" t="s">
        <v>138</v>
      </c>
      <c r="B446" s="8" t="s">
        <v>138</v>
      </c>
      <c r="C446" s="8" t="s">
        <v>138</v>
      </c>
      <c r="D446" s="8" t="s">
        <v>138</v>
      </c>
      <c r="E446" s="8" t="s">
        <v>138</v>
      </c>
      <c r="F446" s="8" t="s">
        <v>138</v>
      </c>
      <c r="G446" s="8" t="s">
        <v>138</v>
      </c>
      <c r="H446" s="8" t="s">
        <v>138</v>
      </c>
      <c r="I446" s="8" t="s">
        <v>138</v>
      </c>
      <c r="J446" s="8" t="s">
        <v>138</v>
      </c>
      <c r="K446" s="8" t="s">
        <v>138</v>
      </c>
    </row>
    <row r="447" spans="1:11">
      <c r="A447" s="8" t="s">
        <v>138</v>
      </c>
      <c r="B447" s="8" t="s">
        <v>138</v>
      </c>
      <c r="C447" s="8" t="s">
        <v>138</v>
      </c>
      <c r="D447" s="8" t="s">
        <v>138</v>
      </c>
      <c r="E447" s="8" t="s">
        <v>138</v>
      </c>
      <c r="F447" s="8" t="s">
        <v>138</v>
      </c>
      <c r="G447" s="8" t="s">
        <v>138</v>
      </c>
      <c r="H447" s="8" t="s">
        <v>138</v>
      </c>
      <c r="I447" s="8" t="s">
        <v>138</v>
      </c>
      <c r="J447" s="8" t="s">
        <v>138</v>
      </c>
      <c r="K447" s="8" t="s">
        <v>138</v>
      </c>
    </row>
    <row r="448" spans="1:11">
      <c r="A448" s="8" t="s">
        <v>138</v>
      </c>
      <c r="B448" s="8" t="s">
        <v>138</v>
      </c>
      <c r="C448" s="8" t="s">
        <v>138</v>
      </c>
      <c r="D448" s="8" t="s">
        <v>138</v>
      </c>
      <c r="E448" s="8" t="s">
        <v>138</v>
      </c>
      <c r="F448" s="8" t="s">
        <v>138</v>
      </c>
      <c r="G448" s="8" t="s">
        <v>138</v>
      </c>
      <c r="H448" s="8" t="s">
        <v>138</v>
      </c>
      <c r="I448" s="8" t="s">
        <v>138</v>
      </c>
      <c r="J448" s="8" t="s">
        <v>138</v>
      </c>
      <c r="K448" s="8" t="s">
        <v>138</v>
      </c>
    </row>
    <row r="449" spans="1:11">
      <c r="A449" s="8" t="s">
        <v>138</v>
      </c>
      <c r="B449" s="8" t="s">
        <v>138</v>
      </c>
      <c r="C449" s="8" t="s">
        <v>138</v>
      </c>
      <c r="D449" s="8" t="s">
        <v>138</v>
      </c>
      <c r="E449" s="8" t="s">
        <v>138</v>
      </c>
      <c r="F449" s="8" t="s">
        <v>138</v>
      </c>
      <c r="G449" s="8" t="s">
        <v>138</v>
      </c>
      <c r="H449" s="8" t="s">
        <v>138</v>
      </c>
      <c r="I449" s="8" t="s">
        <v>138</v>
      </c>
      <c r="J449" s="8" t="s">
        <v>138</v>
      </c>
      <c r="K449" s="8" t="s">
        <v>138</v>
      </c>
    </row>
    <row r="450" spans="1:11">
      <c r="A450" s="8" t="s">
        <v>138</v>
      </c>
      <c r="B450" s="8" t="s">
        <v>138</v>
      </c>
      <c r="C450" s="8" t="s">
        <v>138</v>
      </c>
      <c r="D450" s="8" t="s">
        <v>138</v>
      </c>
      <c r="E450" s="8" t="s">
        <v>138</v>
      </c>
      <c r="F450" s="8" t="s">
        <v>138</v>
      </c>
      <c r="G450" s="8" t="s">
        <v>138</v>
      </c>
      <c r="H450" s="8" t="s">
        <v>138</v>
      </c>
      <c r="I450" s="8" t="s">
        <v>138</v>
      </c>
      <c r="J450" s="8" t="s">
        <v>138</v>
      </c>
      <c r="K450" s="8" t="s">
        <v>138</v>
      </c>
    </row>
    <row r="451" spans="1:11">
      <c r="A451" s="8" t="s">
        <v>138</v>
      </c>
      <c r="B451" s="8" t="s">
        <v>138</v>
      </c>
      <c r="C451" s="8" t="s">
        <v>138</v>
      </c>
      <c r="D451" s="8" t="s">
        <v>138</v>
      </c>
      <c r="E451" s="8" t="s">
        <v>138</v>
      </c>
      <c r="F451" s="8" t="s">
        <v>138</v>
      </c>
      <c r="G451" s="8" t="s">
        <v>138</v>
      </c>
      <c r="H451" s="8" t="s">
        <v>138</v>
      </c>
      <c r="I451" s="8" t="s">
        <v>138</v>
      </c>
      <c r="J451" s="8" t="s">
        <v>138</v>
      </c>
      <c r="K451" s="8" t="s">
        <v>138</v>
      </c>
    </row>
    <row r="452" spans="1:11">
      <c r="A452" s="8" t="s">
        <v>138</v>
      </c>
      <c r="B452" s="8" t="s">
        <v>138</v>
      </c>
      <c r="C452" s="8" t="s">
        <v>138</v>
      </c>
      <c r="D452" s="8" t="s">
        <v>138</v>
      </c>
      <c r="E452" s="8" t="s">
        <v>138</v>
      </c>
      <c r="F452" s="8" t="s">
        <v>138</v>
      </c>
      <c r="G452" s="8" t="s">
        <v>138</v>
      </c>
      <c r="H452" s="8" t="s">
        <v>138</v>
      </c>
      <c r="I452" s="8" t="s">
        <v>138</v>
      </c>
      <c r="J452" s="8" t="s">
        <v>138</v>
      </c>
      <c r="K452" s="8" t="s">
        <v>138</v>
      </c>
    </row>
    <row r="453" spans="1:11">
      <c r="A453" s="8" t="s">
        <v>138</v>
      </c>
      <c r="B453" s="8" t="s">
        <v>138</v>
      </c>
      <c r="C453" s="8" t="s">
        <v>138</v>
      </c>
      <c r="D453" s="8" t="s">
        <v>138</v>
      </c>
      <c r="E453" s="8" t="s">
        <v>138</v>
      </c>
      <c r="F453" s="8" t="s">
        <v>138</v>
      </c>
      <c r="G453" s="8" t="s">
        <v>138</v>
      </c>
      <c r="H453" s="8" t="s">
        <v>138</v>
      </c>
      <c r="I453" s="8" t="s">
        <v>138</v>
      </c>
      <c r="J453" s="8" t="s">
        <v>138</v>
      </c>
      <c r="K453" s="8" t="s">
        <v>138</v>
      </c>
    </row>
    <row r="454" spans="1:11">
      <c r="A454" s="8" t="s">
        <v>138</v>
      </c>
      <c r="B454" s="8" t="s">
        <v>138</v>
      </c>
      <c r="C454" s="8" t="s">
        <v>138</v>
      </c>
      <c r="D454" s="8" t="s">
        <v>138</v>
      </c>
      <c r="E454" s="8" t="s">
        <v>138</v>
      </c>
      <c r="F454" s="8" t="s">
        <v>138</v>
      </c>
      <c r="G454" s="8" t="s">
        <v>138</v>
      </c>
      <c r="H454" s="8" t="s">
        <v>138</v>
      </c>
      <c r="I454" s="8" t="s">
        <v>138</v>
      </c>
      <c r="J454" s="8" t="s">
        <v>138</v>
      </c>
      <c r="K454" s="8" t="s">
        <v>138</v>
      </c>
    </row>
    <row r="455" spans="1:11">
      <c r="A455" s="8" t="s">
        <v>138</v>
      </c>
      <c r="B455" s="8" t="s">
        <v>138</v>
      </c>
      <c r="C455" s="8" t="s">
        <v>138</v>
      </c>
      <c r="D455" s="8" t="s">
        <v>138</v>
      </c>
      <c r="E455" s="8" t="s">
        <v>138</v>
      </c>
      <c r="F455" s="8" t="s">
        <v>138</v>
      </c>
      <c r="G455" s="8" t="s">
        <v>138</v>
      </c>
      <c r="H455" s="8" t="s">
        <v>138</v>
      </c>
      <c r="I455" s="8" t="s">
        <v>138</v>
      </c>
      <c r="J455" s="8" t="s">
        <v>138</v>
      </c>
      <c r="K455" s="8" t="s">
        <v>138</v>
      </c>
    </row>
    <row r="456" spans="1:11">
      <c r="A456" s="8" t="s">
        <v>138</v>
      </c>
      <c r="B456" s="8" t="s">
        <v>138</v>
      </c>
      <c r="C456" s="8" t="s">
        <v>138</v>
      </c>
      <c r="D456" s="8" t="s">
        <v>138</v>
      </c>
      <c r="E456" s="8" t="s">
        <v>138</v>
      </c>
      <c r="F456" s="8" t="s">
        <v>138</v>
      </c>
      <c r="G456" s="8" t="s">
        <v>138</v>
      </c>
      <c r="H456" s="8" t="s">
        <v>138</v>
      </c>
      <c r="I456" s="8" t="s">
        <v>138</v>
      </c>
      <c r="J456" s="8" t="s">
        <v>138</v>
      </c>
      <c r="K456" s="8" t="s">
        <v>138</v>
      </c>
    </row>
    <row r="457" spans="1:11">
      <c r="A457" s="8" t="s">
        <v>138</v>
      </c>
      <c r="B457" s="8" t="s">
        <v>138</v>
      </c>
      <c r="C457" s="8" t="s">
        <v>138</v>
      </c>
      <c r="D457" s="8" t="s">
        <v>138</v>
      </c>
      <c r="E457" s="8" t="s">
        <v>138</v>
      </c>
      <c r="F457" s="8" t="s">
        <v>138</v>
      </c>
      <c r="G457" s="8" t="s">
        <v>138</v>
      </c>
      <c r="H457" s="8" t="s">
        <v>138</v>
      </c>
      <c r="I457" s="8" t="s">
        <v>138</v>
      </c>
      <c r="J457" s="8" t="s">
        <v>138</v>
      </c>
      <c r="K457" s="8" t="s">
        <v>138</v>
      </c>
    </row>
    <row r="458" spans="1:11">
      <c r="A458" s="8" t="s">
        <v>138</v>
      </c>
      <c r="B458" s="8" t="s">
        <v>138</v>
      </c>
      <c r="C458" s="8" t="s">
        <v>138</v>
      </c>
      <c r="D458" s="8" t="s">
        <v>138</v>
      </c>
      <c r="E458" s="8" t="s">
        <v>138</v>
      </c>
      <c r="F458" s="8" t="s">
        <v>138</v>
      </c>
      <c r="G458" s="8" t="s">
        <v>138</v>
      </c>
      <c r="H458" s="8" t="s">
        <v>138</v>
      </c>
      <c r="I458" s="8" t="s">
        <v>138</v>
      </c>
      <c r="J458" s="8" t="s">
        <v>138</v>
      </c>
      <c r="K458" s="8" t="s">
        <v>138</v>
      </c>
    </row>
    <row r="459" spans="1:11">
      <c r="A459" s="8" t="s">
        <v>138</v>
      </c>
      <c r="B459" s="8" t="s">
        <v>138</v>
      </c>
      <c r="C459" s="8" t="s">
        <v>138</v>
      </c>
      <c r="D459" s="8" t="s">
        <v>138</v>
      </c>
      <c r="E459" s="8" t="s">
        <v>138</v>
      </c>
      <c r="F459" s="8" t="s">
        <v>138</v>
      </c>
      <c r="G459" s="8" t="s">
        <v>138</v>
      </c>
      <c r="H459" s="8" t="s">
        <v>138</v>
      </c>
      <c r="I459" s="8" t="s">
        <v>138</v>
      </c>
      <c r="J459" s="8" t="s">
        <v>138</v>
      </c>
      <c r="K459" s="8" t="s">
        <v>138</v>
      </c>
    </row>
    <row r="460" spans="1:11">
      <c r="A460" s="8" t="s">
        <v>138</v>
      </c>
      <c r="B460" s="8" t="s">
        <v>138</v>
      </c>
      <c r="C460" s="8" t="s">
        <v>138</v>
      </c>
      <c r="D460" s="8" t="s">
        <v>138</v>
      </c>
      <c r="E460" s="8" t="s">
        <v>138</v>
      </c>
      <c r="F460" s="8" t="s">
        <v>138</v>
      </c>
      <c r="G460" s="8" t="s">
        <v>138</v>
      </c>
      <c r="H460" s="8" t="s">
        <v>138</v>
      </c>
      <c r="I460" s="8" t="s">
        <v>138</v>
      </c>
      <c r="J460" s="8" t="s">
        <v>138</v>
      </c>
      <c r="K460" s="8" t="s">
        <v>138</v>
      </c>
    </row>
    <row r="461" spans="1:11">
      <c r="A461" s="8" t="s">
        <v>138</v>
      </c>
      <c r="B461" s="8" t="s">
        <v>138</v>
      </c>
      <c r="C461" s="8" t="s">
        <v>138</v>
      </c>
      <c r="D461" s="8" t="s">
        <v>138</v>
      </c>
      <c r="E461" s="8" t="s">
        <v>138</v>
      </c>
      <c r="F461" s="8" t="s">
        <v>138</v>
      </c>
      <c r="G461" s="8" t="s">
        <v>138</v>
      </c>
      <c r="H461" s="8" t="s">
        <v>138</v>
      </c>
      <c r="I461" s="8" t="s">
        <v>138</v>
      </c>
      <c r="J461" s="8" t="s">
        <v>138</v>
      </c>
      <c r="K461" s="8" t="s">
        <v>138</v>
      </c>
    </row>
    <row r="462" spans="1:11">
      <c r="A462" s="8" t="s">
        <v>138</v>
      </c>
      <c r="B462" s="8" t="s">
        <v>138</v>
      </c>
      <c r="C462" s="8" t="s">
        <v>138</v>
      </c>
      <c r="D462" s="8" t="s">
        <v>138</v>
      </c>
      <c r="E462" s="8" t="s">
        <v>138</v>
      </c>
      <c r="F462" s="8" t="s">
        <v>138</v>
      </c>
      <c r="G462" s="8" t="s">
        <v>138</v>
      </c>
      <c r="H462" s="8" t="s">
        <v>138</v>
      </c>
      <c r="I462" s="8" t="s">
        <v>138</v>
      </c>
      <c r="J462" s="8" t="s">
        <v>138</v>
      </c>
      <c r="K462" s="8" t="s">
        <v>138</v>
      </c>
    </row>
    <row r="463" spans="1:11">
      <c r="A463" s="8" t="s">
        <v>138</v>
      </c>
      <c r="B463" s="8" t="s">
        <v>138</v>
      </c>
      <c r="C463" s="8" t="s">
        <v>138</v>
      </c>
      <c r="D463" s="8" t="s">
        <v>138</v>
      </c>
      <c r="E463" s="8" t="s">
        <v>138</v>
      </c>
      <c r="F463" s="8" t="s">
        <v>138</v>
      </c>
      <c r="G463" s="8" t="s">
        <v>138</v>
      </c>
      <c r="H463" s="8" t="s">
        <v>138</v>
      </c>
      <c r="I463" s="8" t="s">
        <v>138</v>
      </c>
      <c r="J463" s="8" t="s">
        <v>138</v>
      </c>
      <c r="K463" s="8" t="s">
        <v>138</v>
      </c>
    </row>
    <row r="464" spans="1:11">
      <c r="A464" s="8" t="s">
        <v>138</v>
      </c>
      <c r="B464" s="8" t="s">
        <v>138</v>
      </c>
      <c r="C464" s="8" t="s">
        <v>138</v>
      </c>
      <c r="D464" s="8" t="s">
        <v>138</v>
      </c>
      <c r="E464" s="8" t="s">
        <v>138</v>
      </c>
      <c r="F464" s="8" t="s">
        <v>138</v>
      </c>
      <c r="G464" s="8" t="s">
        <v>138</v>
      </c>
      <c r="H464" s="8" t="s">
        <v>138</v>
      </c>
      <c r="I464" s="8" t="s">
        <v>138</v>
      </c>
      <c r="J464" s="8" t="s">
        <v>138</v>
      </c>
      <c r="K464" s="8" t="s">
        <v>138</v>
      </c>
    </row>
    <row r="465" spans="1:11">
      <c r="A465" s="8" t="s">
        <v>138</v>
      </c>
      <c r="B465" s="8" t="s">
        <v>138</v>
      </c>
      <c r="C465" s="8" t="s">
        <v>138</v>
      </c>
      <c r="D465" s="8" t="s">
        <v>138</v>
      </c>
      <c r="E465" s="8" t="s">
        <v>138</v>
      </c>
      <c r="F465" s="8" t="s">
        <v>138</v>
      </c>
      <c r="G465" s="8" t="s">
        <v>138</v>
      </c>
      <c r="H465" s="8" t="s">
        <v>138</v>
      </c>
      <c r="I465" s="8" t="s">
        <v>138</v>
      </c>
      <c r="J465" s="8" t="s">
        <v>138</v>
      </c>
      <c r="K465" s="8" t="s">
        <v>138</v>
      </c>
    </row>
    <row r="466" spans="1:11">
      <c r="A466" s="8" t="s">
        <v>138</v>
      </c>
      <c r="B466" s="8" t="s">
        <v>138</v>
      </c>
      <c r="C466" s="8" t="s">
        <v>138</v>
      </c>
      <c r="D466" s="8" t="s">
        <v>138</v>
      </c>
      <c r="E466" s="8" t="s">
        <v>138</v>
      </c>
      <c r="F466" s="8" t="s">
        <v>138</v>
      </c>
      <c r="G466" s="8" t="s">
        <v>138</v>
      </c>
      <c r="H466" s="8" t="s">
        <v>138</v>
      </c>
      <c r="I466" s="8" t="s">
        <v>138</v>
      </c>
      <c r="J466" s="8" t="s">
        <v>138</v>
      </c>
      <c r="K466" s="8" t="s">
        <v>138</v>
      </c>
    </row>
    <row r="467" spans="1:11">
      <c r="A467" s="8" t="s">
        <v>138</v>
      </c>
      <c r="B467" s="8" t="s">
        <v>138</v>
      </c>
      <c r="C467" s="8" t="s">
        <v>138</v>
      </c>
      <c r="D467" s="8" t="s">
        <v>138</v>
      </c>
      <c r="E467" s="8" t="s">
        <v>138</v>
      </c>
      <c r="F467" s="8" t="s">
        <v>138</v>
      </c>
      <c r="G467" s="8" t="s">
        <v>138</v>
      </c>
      <c r="H467" s="8" t="s">
        <v>138</v>
      </c>
      <c r="I467" s="8" t="s">
        <v>138</v>
      </c>
      <c r="J467" s="8" t="s">
        <v>138</v>
      </c>
      <c r="K467" s="8" t="s">
        <v>138</v>
      </c>
    </row>
    <row r="468" spans="1:11">
      <c r="A468" s="8" t="s">
        <v>138</v>
      </c>
      <c r="B468" s="8" t="s">
        <v>138</v>
      </c>
      <c r="C468" s="8" t="s">
        <v>138</v>
      </c>
      <c r="D468" s="8" t="s">
        <v>138</v>
      </c>
      <c r="E468" s="8" t="s">
        <v>138</v>
      </c>
      <c r="F468" s="8" t="s">
        <v>138</v>
      </c>
      <c r="G468" s="8" t="s">
        <v>138</v>
      </c>
      <c r="H468" s="8" t="s">
        <v>138</v>
      </c>
      <c r="I468" s="8" t="s">
        <v>138</v>
      </c>
      <c r="J468" s="8" t="s">
        <v>138</v>
      </c>
      <c r="K468" s="8" t="s">
        <v>138</v>
      </c>
    </row>
    <row r="469" spans="1:11">
      <c r="A469" s="8" t="s">
        <v>138</v>
      </c>
      <c r="B469" s="8" t="s">
        <v>138</v>
      </c>
      <c r="C469" s="8" t="s">
        <v>138</v>
      </c>
      <c r="D469" s="8" t="s">
        <v>138</v>
      </c>
      <c r="E469" s="8" t="s">
        <v>138</v>
      </c>
      <c r="F469" s="8" t="s">
        <v>138</v>
      </c>
      <c r="G469" s="8" t="s">
        <v>138</v>
      </c>
      <c r="H469" s="8" t="s">
        <v>138</v>
      </c>
      <c r="I469" s="8" t="s">
        <v>138</v>
      </c>
      <c r="J469" s="8" t="s">
        <v>138</v>
      </c>
      <c r="K469" s="8" t="s">
        <v>138</v>
      </c>
    </row>
    <row r="470" spans="1:11">
      <c r="A470" s="8" t="s">
        <v>138</v>
      </c>
      <c r="B470" s="8" t="s">
        <v>138</v>
      </c>
      <c r="C470" s="8" t="s">
        <v>138</v>
      </c>
      <c r="D470" s="8" t="s">
        <v>138</v>
      </c>
      <c r="E470" s="8" t="s">
        <v>138</v>
      </c>
      <c r="F470" s="8" t="s">
        <v>138</v>
      </c>
      <c r="G470" s="8" t="s">
        <v>138</v>
      </c>
      <c r="H470" s="8" t="s">
        <v>138</v>
      </c>
      <c r="I470" s="8" t="s">
        <v>138</v>
      </c>
      <c r="J470" s="8" t="s">
        <v>138</v>
      </c>
      <c r="K470" s="8" t="s">
        <v>138</v>
      </c>
    </row>
    <row r="471" spans="1:11">
      <c r="A471" s="8" t="s">
        <v>138</v>
      </c>
      <c r="B471" s="8" t="s">
        <v>138</v>
      </c>
      <c r="C471" s="8" t="s">
        <v>138</v>
      </c>
      <c r="D471" s="8" t="s">
        <v>138</v>
      </c>
      <c r="E471" s="8" t="s">
        <v>138</v>
      </c>
      <c r="F471" s="8" t="s">
        <v>138</v>
      </c>
      <c r="G471" s="8" t="s">
        <v>138</v>
      </c>
      <c r="H471" s="8" t="s">
        <v>138</v>
      </c>
      <c r="I471" s="8" t="s">
        <v>138</v>
      </c>
      <c r="J471" s="8" t="s">
        <v>138</v>
      </c>
      <c r="K471" s="8" t="s">
        <v>138</v>
      </c>
    </row>
    <row r="472" spans="1:11">
      <c r="A472" s="8" t="s">
        <v>138</v>
      </c>
      <c r="B472" s="8" t="s">
        <v>138</v>
      </c>
      <c r="C472" s="8" t="s">
        <v>138</v>
      </c>
      <c r="D472" s="8" t="s">
        <v>138</v>
      </c>
      <c r="E472" s="8" t="s">
        <v>138</v>
      </c>
      <c r="F472" s="8" t="s">
        <v>138</v>
      </c>
      <c r="G472" s="8" t="s">
        <v>138</v>
      </c>
      <c r="H472" s="8" t="s">
        <v>138</v>
      </c>
      <c r="I472" s="8" t="s">
        <v>138</v>
      </c>
      <c r="J472" s="8" t="s">
        <v>138</v>
      </c>
      <c r="K472" s="8" t="s">
        <v>138</v>
      </c>
    </row>
    <row r="473" spans="1:11">
      <c r="A473" s="8" t="s">
        <v>138</v>
      </c>
      <c r="B473" s="8" t="s">
        <v>138</v>
      </c>
      <c r="C473" s="8" t="s">
        <v>138</v>
      </c>
      <c r="D473" s="8" t="s">
        <v>138</v>
      </c>
      <c r="E473" s="8" t="s">
        <v>138</v>
      </c>
      <c r="F473" s="8" t="s">
        <v>138</v>
      </c>
      <c r="G473" s="8" t="s">
        <v>138</v>
      </c>
      <c r="H473" s="8" t="s">
        <v>138</v>
      </c>
      <c r="I473" s="8" t="s">
        <v>138</v>
      </c>
      <c r="J473" s="8" t="s">
        <v>138</v>
      </c>
      <c r="K473" s="8" t="s">
        <v>138</v>
      </c>
    </row>
    <row r="474" spans="1:11">
      <c r="A474" s="8" t="s">
        <v>138</v>
      </c>
      <c r="B474" s="8" t="s">
        <v>138</v>
      </c>
      <c r="C474" s="8" t="s">
        <v>138</v>
      </c>
      <c r="D474" s="8" t="s">
        <v>138</v>
      </c>
      <c r="E474" s="8" t="s">
        <v>138</v>
      </c>
      <c r="F474" s="8" t="s">
        <v>138</v>
      </c>
      <c r="G474" s="8" t="s">
        <v>138</v>
      </c>
      <c r="H474" s="8" t="s">
        <v>138</v>
      </c>
      <c r="I474" s="8" t="s">
        <v>138</v>
      </c>
      <c r="J474" s="8" t="s">
        <v>138</v>
      </c>
      <c r="K474" s="8" t="s">
        <v>138</v>
      </c>
    </row>
    <row r="475" spans="1:11">
      <c r="A475" s="8" t="s">
        <v>138</v>
      </c>
      <c r="B475" s="8" t="s">
        <v>138</v>
      </c>
      <c r="C475" s="8" t="s">
        <v>138</v>
      </c>
      <c r="D475" s="8" t="s">
        <v>138</v>
      </c>
      <c r="E475" s="8" t="s">
        <v>138</v>
      </c>
      <c r="F475" s="8" t="s">
        <v>138</v>
      </c>
      <c r="G475" s="8" t="s">
        <v>138</v>
      </c>
      <c r="H475" s="8" t="s">
        <v>138</v>
      </c>
      <c r="I475" s="8" t="s">
        <v>138</v>
      </c>
      <c r="J475" s="8" t="s">
        <v>138</v>
      </c>
      <c r="K475" s="8" t="s">
        <v>138</v>
      </c>
    </row>
    <row r="476" spans="1:11">
      <c r="A476" s="8" t="s">
        <v>138</v>
      </c>
      <c r="B476" s="8" t="s">
        <v>138</v>
      </c>
      <c r="C476" s="8" t="s">
        <v>138</v>
      </c>
      <c r="D476" s="8" t="s">
        <v>138</v>
      </c>
      <c r="E476" s="8" t="s">
        <v>138</v>
      </c>
      <c r="F476" s="8" t="s">
        <v>138</v>
      </c>
      <c r="G476" s="8" t="s">
        <v>138</v>
      </c>
      <c r="H476" s="8" t="s">
        <v>138</v>
      </c>
      <c r="I476" s="8" t="s">
        <v>138</v>
      </c>
      <c r="J476" s="8" t="s">
        <v>138</v>
      </c>
      <c r="K476" s="8" t="s">
        <v>138</v>
      </c>
    </row>
    <row r="477" spans="1:11">
      <c r="A477" s="8" t="s">
        <v>138</v>
      </c>
      <c r="B477" s="8" t="s">
        <v>138</v>
      </c>
      <c r="C477" s="8" t="s">
        <v>138</v>
      </c>
      <c r="D477" s="8" t="s">
        <v>138</v>
      </c>
      <c r="E477" s="8" t="s">
        <v>138</v>
      </c>
      <c r="F477" s="8" t="s">
        <v>138</v>
      </c>
      <c r="G477" s="8" t="s">
        <v>138</v>
      </c>
      <c r="H477" s="8" t="s">
        <v>138</v>
      </c>
      <c r="I477" s="8" t="s">
        <v>138</v>
      </c>
      <c r="J477" s="8" t="s">
        <v>138</v>
      </c>
      <c r="K477" s="8" t="s">
        <v>138</v>
      </c>
    </row>
    <row r="478" spans="1:11">
      <c r="A478" s="8" t="s">
        <v>138</v>
      </c>
      <c r="B478" s="8" t="s">
        <v>138</v>
      </c>
      <c r="C478" s="8" t="s">
        <v>138</v>
      </c>
      <c r="D478" s="8" t="s">
        <v>138</v>
      </c>
      <c r="E478" s="8" t="s">
        <v>138</v>
      </c>
      <c r="F478" s="8" t="s">
        <v>138</v>
      </c>
      <c r="G478" s="8" t="s">
        <v>138</v>
      </c>
      <c r="H478" s="8" t="s">
        <v>138</v>
      </c>
      <c r="I478" s="8" t="s">
        <v>138</v>
      </c>
      <c r="J478" s="8" t="s">
        <v>138</v>
      </c>
      <c r="K478" s="8" t="s">
        <v>138</v>
      </c>
    </row>
    <row r="479" spans="1:11">
      <c r="A479" s="8" t="s">
        <v>138</v>
      </c>
      <c r="B479" s="8" t="s">
        <v>138</v>
      </c>
      <c r="C479" s="8" t="s">
        <v>138</v>
      </c>
      <c r="D479" s="8" t="s">
        <v>138</v>
      </c>
      <c r="E479" s="8" t="s">
        <v>138</v>
      </c>
      <c r="F479" s="8" t="s">
        <v>138</v>
      </c>
      <c r="G479" s="8" t="s">
        <v>138</v>
      </c>
      <c r="H479" s="8" t="s">
        <v>138</v>
      </c>
      <c r="I479" s="8" t="s">
        <v>138</v>
      </c>
      <c r="J479" s="8" t="s">
        <v>138</v>
      </c>
      <c r="K479" s="8" t="s">
        <v>138</v>
      </c>
    </row>
    <row r="480" spans="1:11">
      <c r="A480" s="8" t="s">
        <v>138</v>
      </c>
      <c r="B480" s="8" t="s">
        <v>138</v>
      </c>
      <c r="C480" s="8" t="s">
        <v>138</v>
      </c>
      <c r="D480" s="8" t="s">
        <v>138</v>
      </c>
      <c r="E480" s="8" t="s">
        <v>138</v>
      </c>
      <c r="F480" s="8" t="s">
        <v>138</v>
      </c>
      <c r="G480" s="8" t="s">
        <v>138</v>
      </c>
      <c r="H480" s="8" t="s">
        <v>138</v>
      </c>
      <c r="I480" s="8" t="s">
        <v>138</v>
      </c>
      <c r="J480" s="8" t="s">
        <v>138</v>
      </c>
      <c r="K480" s="8" t="s">
        <v>138</v>
      </c>
    </row>
    <row r="481" spans="1:11">
      <c r="A481" s="8" t="s">
        <v>138</v>
      </c>
      <c r="B481" s="8" t="s">
        <v>138</v>
      </c>
      <c r="C481" s="8" t="s">
        <v>138</v>
      </c>
      <c r="D481" s="8" t="s">
        <v>138</v>
      </c>
      <c r="E481" s="8" t="s">
        <v>138</v>
      </c>
      <c r="F481" s="8" t="s">
        <v>138</v>
      </c>
      <c r="G481" s="8" t="s">
        <v>138</v>
      </c>
      <c r="H481" s="8" t="s">
        <v>138</v>
      </c>
      <c r="I481" s="8" t="s">
        <v>138</v>
      </c>
      <c r="J481" s="8" t="s">
        <v>138</v>
      </c>
      <c r="K481" s="8" t="s">
        <v>138</v>
      </c>
    </row>
    <row r="482" spans="1:11">
      <c r="A482" s="8" t="s">
        <v>138</v>
      </c>
      <c r="B482" s="8" t="s">
        <v>138</v>
      </c>
      <c r="C482" s="8" t="s">
        <v>138</v>
      </c>
      <c r="D482" s="8" t="s">
        <v>138</v>
      </c>
      <c r="E482" s="8" t="s">
        <v>138</v>
      </c>
      <c r="F482" s="8" t="s">
        <v>138</v>
      </c>
      <c r="G482" s="8" t="s">
        <v>138</v>
      </c>
      <c r="H482" s="8" t="s">
        <v>138</v>
      </c>
      <c r="I482" s="8" t="s">
        <v>138</v>
      </c>
      <c r="J482" s="8" t="s">
        <v>138</v>
      </c>
      <c r="K482" s="8" t="s">
        <v>138</v>
      </c>
    </row>
    <row r="483" spans="1:11">
      <c r="A483" s="8" t="s">
        <v>138</v>
      </c>
      <c r="B483" s="8" t="s">
        <v>138</v>
      </c>
      <c r="C483" s="8" t="s">
        <v>138</v>
      </c>
      <c r="D483" s="8" t="s">
        <v>138</v>
      </c>
      <c r="E483" s="8" t="s">
        <v>138</v>
      </c>
      <c r="F483" s="8" t="s">
        <v>138</v>
      </c>
      <c r="G483" s="8" t="s">
        <v>138</v>
      </c>
      <c r="H483" s="8" t="s">
        <v>138</v>
      </c>
      <c r="I483" s="8" t="s">
        <v>138</v>
      </c>
      <c r="J483" s="8" t="s">
        <v>138</v>
      </c>
      <c r="K483" s="8" t="s">
        <v>138</v>
      </c>
    </row>
    <row r="484" spans="1:11">
      <c r="A484" s="8" t="s">
        <v>138</v>
      </c>
      <c r="B484" s="8" t="s">
        <v>138</v>
      </c>
      <c r="C484" s="8" t="s">
        <v>138</v>
      </c>
      <c r="D484" s="8" t="s">
        <v>138</v>
      </c>
      <c r="E484" s="8" t="s">
        <v>138</v>
      </c>
      <c r="F484" s="8" t="s">
        <v>138</v>
      </c>
      <c r="G484" s="8" t="s">
        <v>138</v>
      </c>
      <c r="H484" s="8" t="s">
        <v>138</v>
      </c>
      <c r="I484" s="8" t="s">
        <v>138</v>
      </c>
      <c r="J484" s="8" t="s">
        <v>138</v>
      </c>
      <c r="K484" s="8" t="s">
        <v>138</v>
      </c>
    </row>
    <row r="485" spans="1:11">
      <c r="A485" s="8" t="s">
        <v>138</v>
      </c>
      <c r="B485" s="8" t="s">
        <v>138</v>
      </c>
      <c r="C485" s="8" t="s">
        <v>138</v>
      </c>
      <c r="D485" s="8" t="s">
        <v>138</v>
      </c>
      <c r="E485" s="8" t="s">
        <v>138</v>
      </c>
      <c r="F485" s="8" t="s">
        <v>138</v>
      </c>
      <c r="G485" s="8" t="s">
        <v>138</v>
      </c>
      <c r="H485" s="8" t="s">
        <v>138</v>
      </c>
      <c r="I485" s="8" t="s">
        <v>138</v>
      </c>
      <c r="J485" s="8" t="s">
        <v>138</v>
      </c>
      <c r="K485" s="8" t="s">
        <v>138</v>
      </c>
    </row>
    <row r="486" spans="1:11">
      <c r="A486" s="8" t="s">
        <v>138</v>
      </c>
      <c r="B486" s="8" t="s">
        <v>138</v>
      </c>
      <c r="C486" s="8" t="s">
        <v>138</v>
      </c>
      <c r="D486" s="8" t="s">
        <v>138</v>
      </c>
      <c r="E486" s="8" t="s">
        <v>138</v>
      </c>
      <c r="F486" s="8" t="s">
        <v>138</v>
      </c>
      <c r="G486" s="8" t="s">
        <v>138</v>
      </c>
      <c r="H486" s="8" t="s">
        <v>138</v>
      </c>
      <c r="I486" s="8" t="s">
        <v>138</v>
      </c>
      <c r="J486" s="8" t="s">
        <v>138</v>
      </c>
      <c r="K486" s="8" t="s">
        <v>138</v>
      </c>
    </row>
    <row r="487" spans="1:11">
      <c r="A487" s="8" t="s">
        <v>138</v>
      </c>
      <c r="B487" s="8" t="s">
        <v>138</v>
      </c>
      <c r="C487" s="8" t="s">
        <v>138</v>
      </c>
      <c r="D487" s="8" t="s">
        <v>138</v>
      </c>
      <c r="E487" s="8" t="s">
        <v>138</v>
      </c>
      <c r="F487" s="8" t="s">
        <v>138</v>
      </c>
      <c r="G487" s="8" t="s">
        <v>138</v>
      </c>
      <c r="H487" s="8" t="s">
        <v>138</v>
      </c>
      <c r="I487" s="8" t="s">
        <v>138</v>
      </c>
      <c r="J487" s="8" t="s">
        <v>138</v>
      </c>
      <c r="K487" s="8" t="s">
        <v>138</v>
      </c>
    </row>
    <row r="488" spans="1:11">
      <c r="A488" s="8" t="s">
        <v>138</v>
      </c>
      <c r="B488" s="8" t="s">
        <v>138</v>
      </c>
      <c r="C488" s="8" t="s">
        <v>138</v>
      </c>
      <c r="D488" s="8" t="s">
        <v>138</v>
      </c>
      <c r="E488" s="8" t="s">
        <v>138</v>
      </c>
      <c r="F488" s="8" t="s">
        <v>138</v>
      </c>
      <c r="G488" s="8" t="s">
        <v>138</v>
      </c>
      <c r="H488" s="8" t="s">
        <v>138</v>
      </c>
      <c r="I488" s="8" t="s">
        <v>138</v>
      </c>
      <c r="J488" s="8" t="s">
        <v>138</v>
      </c>
      <c r="K488" s="8" t="s">
        <v>138</v>
      </c>
    </row>
    <row r="489" spans="1:11">
      <c r="A489" s="8" t="s">
        <v>138</v>
      </c>
      <c r="B489" s="8" t="s">
        <v>138</v>
      </c>
      <c r="C489" s="8" t="s">
        <v>138</v>
      </c>
      <c r="D489" s="8" t="s">
        <v>138</v>
      </c>
      <c r="E489" s="8" t="s">
        <v>138</v>
      </c>
      <c r="F489" s="8" t="s">
        <v>138</v>
      </c>
      <c r="G489" s="8" t="s">
        <v>138</v>
      </c>
      <c r="H489" s="8" t="s">
        <v>138</v>
      </c>
      <c r="I489" s="8" t="s">
        <v>138</v>
      </c>
      <c r="J489" s="8" t="s">
        <v>138</v>
      </c>
      <c r="K489" s="8" t="s">
        <v>138</v>
      </c>
    </row>
    <row r="490" spans="1:11">
      <c r="A490" s="8" t="s">
        <v>138</v>
      </c>
      <c r="B490" s="8" t="s">
        <v>138</v>
      </c>
      <c r="C490" s="8" t="s">
        <v>138</v>
      </c>
      <c r="D490" s="8" t="s">
        <v>138</v>
      </c>
      <c r="E490" s="8" t="s">
        <v>138</v>
      </c>
      <c r="F490" s="8" t="s">
        <v>138</v>
      </c>
      <c r="G490" s="8" t="s">
        <v>138</v>
      </c>
      <c r="H490" s="8" t="s">
        <v>138</v>
      </c>
      <c r="I490" s="8" t="s">
        <v>138</v>
      </c>
      <c r="J490" s="8" t="s">
        <v>138</v>
      </c>
      <c r="K490" s="8" t="s">
        <v>138</v>
      </c>
    </row>
    <row r="491" spans="1:11">
      <c r="A491" s="8" t="s">
        <v>138</v>
      </c>
      <c r="B491" s="8" t="s">
        <v>138</v>
      </c>
      <c r="C491" s="8" t="s">
        <v>138</v>
      </c>
      <c r="D491" s="8" t="s">
        <v>138</v>
      </c>
      <c r="E491" s="8" t="s">
        <v>138</v>
      </c>
      <c r="F491" s="8" t="s">
        <v>138</v>
      </c>
      <c r="G491" s="8" t="s">
        <v>138</v>
      </c>
      <c r="H491" s="8" t="s">
        <v>138</v>
      </c>
      <c r="I491" s="8" t="s">
        <v>138</v>
      </c>
      <c r="J491" s="8" t="s">
        <v>138</v>
      </c>
      <c r="K491" s="8" t="s">
        <v>138</v>
      </c>
    </row>
    <row r="492" spans="1:11">
      <c r="A492" s="8" t="s">
        <v>138</v>
      </c>
      <c r="B492" s="8" t="s">
        <v>138</v>
      </c>
      <c r="C492" s="8" t="s">
        <v>138</v>
      </c>
      <c r="D492" s="8" t="s">
        <v>138</v>
      </c>
      <c r="E492" s="8" t="s">
        <v>138</v>
      </c>
      <c r="F492" s="8" t="s">
        <v>138</v>
      </c>
      <c r="G492" s="8" t="s">
        <v>138</v>
      </c>
      <c r="H492" s="8" t="s">
        <v>138</v>
      </c>
      <c r="I492" s="8" t="s">
        <v>138</v>
      </c>
      <c r="J492" s="8" t="s">
        <v>138</v>
      </c>
      <c r="K492" s="8" t="s">
        <v>138</v>
      </c>
    </row>
    <row r="493" spans="1:11">
      <c r="A493" s="8" t="s">
        <v>138</v>
      </c>
      <c r="B493" s="8" t="s">
        <v>138</v>
      </c>
      <c r="C493" s="8" t="s">
        <v>138</v>
      </c>
      <c r="D493" s="8" t="s">
        <v>138</v>
      </c>
      <c r="E493" s="8" t="s">
        <v>138</v>
      </c>
      <c r="F493" s="8" t="s">
        <v>138</v>
      </c>
      <c r="G493" s="8" t="s">
        <v>138</v>
      </c>
      <c r="H493" s="8" t="s">
        <v>138</v>
      </c>
      <c r="I493" s="8" t="s">
        <v>138</v>
      </c>
      <c r="J493" s="8" t="s">
        <v>138</v>
      </c>
      <c r="K493" s="8" t="s">
        <v>138</v>
      </c>
    </row>
    <row r="494" spans="1:11">
      <c r="A494" s="8" t="s">
        <v>138</v>
      </c>
      <c r="B494" s="8" t="s">
        <v>138</v>
      </c>
      <c r="C494" s="8" t="s">
        <v>138</v>
      </c>
      <c r="D494" s="8" t="s">
        <v>138</v>
      </c>
      <c r="E494" s="8" t="s">
        <v>138</v>
      </c>
      <c r="F494" s="8" t="s">
        <v>138</v>
      </c>
      <c r="G494" s="8" t="s">
        <v>138</v>
      </c>
      <c r="H494" s="8" t="s">
        <v>138</v>
      </c>
      <c r="I494" s="8" t="s">
        <v>138</v>
      </c>
      <c r="J494" s="8" t="s">
        <v>138</v>
      </c>
      <c r="K494" s="8" t="s">
        <v>138</v>
      </c>
    </row>
    <row r="495" spans="1:11">
      <c r="A495" s="8" t="s">
        <v>138</v>
      </c>
      <c r="B495" s="8" t="s">
        <v>138</v>
      </c>
      <c r="C495" s="8" t="s">
        <v>138</v>
      </c>
      <c r="D495" s="8" t="s">
        <v>138</v>
      </c>
      <c r="E495" s="8" t="s">
        <v>138</v>
      </c>
      <c r="F495" s="8" t="s">
        <v>138</v>
      </c>
      <c r="G495" s="8" t="s">
        <v>138</v>
      </c>
      <c r="H495" s="8" t="s">
        <v>138</v>
      </c>
      <c r="I495" s="8" t="s">
        <v>138</v>
      </c>
      <c r="J495" s="8" t="s">
        <v>138</v>
      </c>
      <c r="K495" s="8" t="s">
        <v>138</v>
      </c>
    </row>
    <row r="496" spans="1:11">
      <c r="A496" s="8" t="s">
        <v>138</v>
      </c>
      <c r="B496" s="8" t="s">
        <v>138</v>
      </c>
      <c r="C496" s="8" t="s">
        <v>138</v>
      </c>
      <c r="D496" s="8" t="s">
        <v>138</v>
      </c>
      <c r="E496" s="8" t="s">
        <v>138</v>
      </c>
      <c r="F496" s="8" t="s">
        <v>138</v>
      </c>
      <c r="G496" s="8" t="s">
        <v>138</v>
      </c>
      <c r="H496" s="8" t="s">
        <v>138</v>
      </c>
      <c r="I496" s="8" t="s">
        <v>138</v>
      </c>
      <c r="J496" s="8" t="s">
        <v>138</v>
      </c>
      <c r="K496" s="8" t="s">
        <v>138</v>
      </c>
    </row>
    <row r="497" spans="1:11">
      <c r="A497" s="8" t="s">
        <v>138</v>
      </c>
      <c r="B497" s="8" t="s">
        <v>138</v>
      </c>
      <c r="C497" s="8" t="s">
        <v>138</v>
      </c>
      <c r="D497" s="8" t="s">
        <v>138</v>
      </c>
      <c r="E497" s="8" t="s">
        <v>138</v>
      </c>
      <c r="F497" s="8" t="s">
        <v>138</v>
      </c>
      <c r="G497" s="8" t="s">
        <v>138</v>
      </c>
      <c r="H497" s="8" t="s">
        <v>138</v>
      </c>
      <c r="I497" s="8" t="s">
        <v>138</v>
      </c>
      <c r="J497" s="8" t="s">
        <v>138</v>
      </c>
      <c r="K497" s="8" t="s">
        <v>138</v>
      </c>
    </row>
    <row r="498" spans="1:11">
      <c r="A498" s="8" t="s">
        <v>138</v>
      </c>
      <c r="B498" s="8" t="s">
        <v>138</v>
      </c>
      <c r="C498" s="8" t="s">
        <v>138</v>
      </c>
      <c r="D498" s="8" t="s">
        <v>138</v>
      </c>
      <c r="E498" s="8" t="s">
        <v>138</v>
      </c>
      <c r="F498" s="8" t="s">
        <v>138</v>
      </c>
      <c r="G498" s="8" t="s">
        <v>138</v>
      </c>
      <c r="H498" s="8" t="s">
        <v>138</v>
      </c>
      <c r="I498" s="8" t="s">
        <v>138</v>
      </c>
      <c r="J498" s="8" t="s">
        <v>138</v>
      </c>
      <c r="K498" s="8" t="s">
        <v>138</v>
      </c>
    </row>
    <row r="499" spans="1:11">
      <c r="A499" s="8" t="s">
        <v>138</v>
      </c>
      <c r="B499" s="8" t="s">
        <v>138</v>
      </c>
      <c r="C499" s="8" t="s">
        <v>138</v>
      </c>
      <c r="D499" s="8" t="s">
        <v>138</v>
      </c>
      <c r="E499" s="8" t="s">
        <v>138</v>
      </c>
      <c r="F499" s="8" t="s">
        <v>138</v>
      </c>
      <c r="G499" s="8" t="s">
        <v>138</v>
      </c>
      <c r="H499" s="8" t="s">
        <v>138</v>
      </c>
      <c r="I499" s="8" t="s">
        <v>138</v>
      </c>
      <c r="J499" s="8" t="s">
        <v>138</v>
      </c>
      <c r="K499" s="8" t="s">
        <v>138</v>
      </c>
    </row>
    <row r="500" spans="1:11">
      <c r="A500" s="8" t="s">
        <v>138</v>
      </c>
      <c r="B500" s="8" t="s">
        <v>138</v>
      </c>
      <c r="C500" s="8" t="s">
        <v>138</v>
      </c>
      <c r="D500" s="8" t="s">
        <v>138</v>
      </c>
      <c r="E500" s="8" t="s">
        <v>138</v>
      </c>
      <c r="F500" s="8" t="s">
        <v>138</v>
      </c>
      <c r="G500" s="8" t="s">
        <v>138</v>
      </c>
      <c r="H500" s="8" t="s">
        <v>138</v>
      </c>
      <c r="I500" s="8" t="s">
        <v>138</v>
      </c>
      <c r="J500" s="8" t="s">
        <v>138</v>
      </c>
      <c r="K500" s="8" t="s">
        <v>138</v>
      </c>
    </row>
    <row r="501" spans="1:11">
      <c r="A501" s="8" t="s">
        <v>138</v>
      </c>
      <c r="B501" s="8" t="s">
        <v>138</v>
      </c>
      <c r="C501" s="8" t="s">
        <v>138</v>
      </c>
      <c r="D501" s="8" t="s">
        <v>138</v>
      </c>
      <c r="E501" s="8" t="s">
        <v>138</v>
      </c>
      <c r="F501" s="8" t="s">
        <v>138</v>
      </c>
      <c r="G501" s="8" t="s">
        <v>138</v>
      </c>
      <c r="H501" s="8" t="s">
        <v>138</v>
      </c>
      <c r="I501" s="8" t="s">
        <v>138</v>
      </c>
      <c r="J501" s="8" t="s">
        <v>138</v>
      </c>
      <c r="K501" s="8" t="s">
        <v>138</v>
      </c>
    </row>
    <row r="502" spans="1:11">
      <c r="A502" s="8" t="s">
        <v>138</v>
      </c>
      <c r="B502" s="8" t="s">
        <v>138</v>
      </c>
      <c r="C502" s="8" t="s">
        <v>138</v>
      </c>
      <c r="D502" s="8" t="s">
        <v>138</v>
      </c>
      <c r="E502" s="8" t="s">
        <v>138</v>
      </c>
      <c r="F502" s="8" t="s">
        <v>138</v>
      </c>
      <c r="G502" s="8" t="s">
        <v>138</v>
      </c>
      <c r="H502" s="8" t="s">
        <v>138</v>
      </c>
      <c r="I502" s="8" t="s">
        <v>138</v>
      </c>
      <c r="J502" s="8" t="s">
        <v>138</v>
      </c>
      <c r="K502" s="8" t="s">
        <v>138</v>
      </c>
    </row>
    <row r="503" spans="1:11">
      <c r="A503" s="8" t="s">
        <v>138</v>
      </c>
      <c r="B503" s="8" t="s">
        <v>138</v>
      </c>
      <c r="C503" s="8" t="s">
        <v>138</v>
      </c>
      <c r="D503" s="8" t="s">
        <v>138</v>
      </c>
      <c r="E503" s="8" t="s">
        <v>138</v>
      </c>
      <c r="F503" s="8" t="s">
        <v>138</v>
      </c>
      <c r="G503" s="8" t="s">
        <v>138</v>
      </c>
      <c r="H503" s="8" t="s">
        <v>138</v>
      </c>
      <c r="I503" s="8" t="s">
        <v>138</v>
      </c>
      <c r="J503" s="8" t="s">
        <v>138</v>
      </c>
      <c r="K503" s="8" t="s">
        <v>138</v>
      </c>
    </row>
    <row r="504" spans="1:11">
      <c r="A504" s="8" t="s">
        <v>138</v>
      </c>
      <c r="B504" s="8" t="s">
        <v>138</v>
      </c>
      <c r="C504" s="8" t="s">
        <v>138</v>
      </c>
      <c r="D504" s="8" t="s">
        <v>138</v>
      </c>
      <c r="E504" s="8" t="s">
        <v>138</v>
      </c>
      <c r="F504" s="8" t="s">
        <v>138</v>
      </c>
      <c r="G504" s="8" t="s">
        <v>138</v>
      </c>
      <c r="H504" s="8" t="s">
        <v>138</v>
      </c>
      <c r="I504" s="8" t="s">
        <v>138</v>
      </c>
      <c r="J504" s="8" t="s">
        <v>138</v>
      </c>
      <c r="K504" s="8" t="s">
        <v>138</v>
      </c>
    </row>
    <row r="505" spans="1:11">
      <c r="A505" s="8" t="s">
        <v>138</v>
      </c>
      <c r="B505" s="8" t="s">
        <v>138</v>
      </c>
      <c r="C505" s="8" t="s">
        <v>138</v>
      </c>
      <c r="D505" s="8" t="s">
        <v>138</v>
      </c>
      <c r="E505" s="8" t="s">
        <v>138</v>
      </c>
      <c r="F505" s="8" t="s">
        <v>138</v>
      </c>
      <c r="G505" s="8" t="s">
        <v>138</v>
      </c>
      <c r="H505" s="8" t="s">
        <v>138</v>
      </c>
      <c r="I505" s="8" t="s">
        <v>138</v>
      </c>
      <c r="J505" s="8" t="s">
        <v>138</v>
      </c>
      <c r="K505" s="8" t="s">
        <v>138</v>
      </c>
    </row>
    <row r="506" spans="1:11">
      <c r="A506" s="8" t="s">
        <v>138</v>
      </c>
      <c r="B506" s="8" t="s">
        <v>138</v>
      </c>
      <c r="C506" s="8" t="s">
        <v>138</v>
      </c>
      <c r="D506" s="8" t="s">
        <v>138</v>
      </c>
      <c r="E506" s="8" t="s">
        <v>138</v>
      </c>
      <c r="F506" s="8" t="s">
        <v>138</v>
      </c>
      <c r="G506" s="8" t="s">
        <v>138</v>
      </c>
      <c r="H506" s="8" t="s">
        <v>138</v>
      </c>
      <c r="I506" s="8" t="s">
        <v>138</v>
      </c>
      <c r="J506" s="8" t="s">
        <v>138</v>
      </c>
      <c r="K506" s="8" t="s">
        <v>138</v>
      </c>
    </row>
    <row r="507" spans="1:11">
      <c r="A507" s="8" t="s">
        <v>138</v>
      </c>
      <c r="B507" s="8" t="s">
        <v>138</v>
      </c>
      <c r="C507" s="8" t="s">
        <v>138</v>
      </c>
      <c r="D507" s="8" t="s">
        <v>138</v>
      </c>
      <c r="E507" s="8" t="s">
        <v>138</v>
      </c>
      <c r="F507" s="8" t="s">
        <v>138</v>
      </c>
      <c r="G507" s="8" t="s">
        <v>138</v>
      </c>
      <c r="H507" s="8" t="s">
        <v>138</v>
      </c>
      <c r="I507" s="8" t="s">
        <v>138</v>
      </c>
      <c r="J507" s="8" t="s">
        <v>138</v>
      </c>
      <c r="K507" s="8" t="s">
        <v>138</v>
      </c>
    </row>
    <row r="508" spans="1:11">
      <c r="A508" s="8" t="s">
        <v>138</v>
      </c>
      <c r="B508" s="8" t="s">
        <v>138</v>
      </c>
      <c r="C508" s="8" t="s">
        <v>138</v>
      </c>
      <c r="D508" s="8" t="s">
        <v>138</v>
      </c>
      <c r="E508" s="8" t="s">
        <v>138</v>
      </c>
      <c r="F508" s="8" t="s">
        <v>138</v>
      </c>
      <c r="G508" s="8" t="s">
        <v>138</v>
      </c>
      <c r="H508" s="8" t="s">
        <v>138</v>
      </c>
      <c r="I508" s="8" t="s">
        <v>138</v>
      </c>
      <c r="J508" s="8" t="s">
        <v>138</v>
      </c>
      <c r="K508" s="8" t="s">
        <v>138</v>
      </c>
    </row>
    <row r="509" spans="1:11">
      <c r="A509" s="8" t="s">
        <v>138</v>
      </c>
      <c r="B509" s="8" t="s">
        <v>138</v>
      </c>
      <c r="C509" s="8" t="s">
        <v>138</v>
      </c>
      <c r="D509" s="8" t="s">
        <v>138</v>
      </c>
      <c r="E509" s="8" t="s">
        <v>138</v>
      </c>
      <c r="F509" s="8" t="s">
        <v>138</v>
      </c>
      <c r="G509" s="8" t="s">
        <v>138</v>
      </c>
      <c r="H509" s="8" t="s">
        <v>138</v>
      </c>
      <c r="I509" s="8" t="s">
        <v>138</v>
      </c>
      <c r="J509" s="8" t="s">
        <v>138</v>
      </c>
      <c r="K509" s="8" t="s">
        <v>138</v>
      </c>
    </row>
    <row r="510" spans="1:11">
      <c r="A510" s="8" t="s">
        <v>138</v>
      </c>
      <c r="B510" s="8" t="s">
        <v>138</v>
      </c>
      <c r="C510" s="8" t="s">
        <v>138</v>
      </c>
      <c r="D510" s="8" t="s">
        <v>138</v>
      </c>
      <c r="E510" s="8" t="s">
        <v>138</v>
      </c>
      <c r="F510" s="8" t="s">
        <v>138</v>
      </c>
      <c r="G510" s="8" t="s">
        <v>138</v>
      </c>
      <c r="H510" s="8" t="s">
        <v>138</v>
      </c>
      <c r="I510" s="8" t="s">
        <v>138</v>
      </c>
      <c r="J510" s="8" t="s">
        <v>138</v>
      </c>
      <c r="K510" s="8" t="s">
        <v>138</v>
      </c>
    </row>
    <row r="511" spans="1:11">
      <c r="A511" s="8" t="s">
        <v>138</v>
      </c>
      <c r="B511" s="8" t="s">
        <v>138</v>
      </c>
      <c r="C511" s="8" t="s">
        <v>138</v>
      </c>
      <c r="D511" s="8" t="s">
        <v>138</v>
      </c>
      <c r="E511" s="8" t="s">
        <v>138</v>
      </c>
      <c r="F511" s="8" t="s">
        <v>138</v>
      </c>
      <c r="G511" s="8" t="s">
        <v>138</v>
      </c>
      <c r="H511" s="8" t="s">
        <v>138</v>
      </c>
      <c r="I511" s="8" t="s">
        <v>138</v>
      </c>
      <c r="J511" s="8" t="s">
        <v>138</v>
      </c>
      <c r="K511" s="8" t="s">
        <v>138</v>
      </c>
    </row>
    <row r="512" spans="1:11">
      <c r="A512" s="8" t="s">
        <v>138</v>
      </c>
      <c r="B512" s="8" t="s">
        <v>138</v>
      </c>
      <c r="C512" s="8" t="s">
        <v>138</v>
      </c>
      <c r="D512" s="8" t="s">
        <v>138</v>
      </c>
      <c r="E512" s="8" t="s">
        <v>138</v>
      </c>
      <c r="F512" s="8" t="s">
        <v>138</v>
      </c>
      <c r="G512" s="8" t="s">
        <v>138</v>
      </c>
      <c r="H512" s="8" t="s">
        <v>138</v>
      </c>
      <c r="I512" s="8" t="s">
        <v>138</v>
      </c>
      <c r="J512" s="8" t="s">
        <v>138</v>
      </c>
      <c r="K512" s="8" t="s">
        <v>138</v>
      </c>
    </row>
    <row r="513" spans="1:11">
      <c r="A513" s="8" t="s">
        <v>138</v>
      </c>
      <c r="B513" s="8" t="s">
        <v>138</v>
      </c>
      <c r="C513" s="8" t="s">
        <v>138</v>
      </c>
      <c r="D513" s="8" t="s">
        <v>138</v>
      </c>
      <c r="E513" s="8" t="s">
        <v>138</v>
      </c>
      <c r="F513" s="8" t="s">
        <v>138</v>
      </c>
      <c r="G513" s="8" t="s">
        <v>138</v>
      </c>
      <c r="H513" s="8" t="s">
        <v>138</v>
      </c>
      <c r="I513" s="8" t="s">
        <v>138</v>
      </c>
      <c r="J513" s="8" t="s">
        <v>138</v>
      </c>
      <c r="K513" s="8" t="s">
        <v>138</v>
      </c>
    </row>
    <row r="514" spans="1:11">
      <c r="A514" s="8" t="s">
        <v>138</v>
      </c>
      <c r="B514" s="8" t="s">
        <v>138</v>
      </c>
      <c r="C514" s="8" t="s">
        <v>138</v>
      </c>
      <c r="D514" s="8" t="s">
        <v>138</v>
      </c>
      <c r="E514" s="8" t="s">
        <v>138</v>
      </c>
      <c r="F514" s="8" t="s">
        <v>138</v>
      </c>
      <c r="G514" s="8" t="s">
        <v>138</v>
      </c>
      <c r="H514" s="8" t="s">
        <v>138</v>
      </c>
      <c r="I514" s="8" t="s">
        <v>138</v>
      </c>
      <c r="J514" s="8" t="s">
        <v>138</v>
      </c>
      <c r="K514" s="8" t="s">
        <v>138</v>
      </c>
    </row>
    <row r="515" spans="1:11">
      <c r="A515" s="8" t="s">
        <v>138</v>
      </c>
      <c r="B515" s="8" t="s">
        <v>138</v>
      </c>
      <c r="C515" s="8" t="s">
        <v>138</v>
      </c>
      <c r="D515" s="8" t="s">
        <v>138</v>
      </c>
      <c r="E515" s="8" t="s">
        <v>138</v>
      </c>
      <c r="F515" s="8" t="s">
        <v>138</v>
      </c>
      <c r="G515" s="8" t="s">
        <v>138</v>
      </c>
      <c r="H515" s="8" t="s">
        <v>138</v>
      </c>
      <c r="I515" s="8" t="s">
        <v>138</v>
      </c>
      <c r="J515" s="8" t="s">
        <v>138</v>
      </c>
      <c r="K515" s="8" t="s">
        <v>138</v>
      </c>
    </row>
    <row r="516" spans="1:11">
      <c r="A516" s="8" t="s">
        <v>138</v>
      </c>
      <c r="B516" s="8" t="s">
        <v>138</v>
      </c>
      <c r="C516" s="8" t="s">
        <v>138</v>
      </c>
      <c r="D516" s="8" t="s">
        <v>138</v>
      </c>
      <c r="E516" s="8" t="s">
        <v>138</v>
      </c>
      <c r="F516" s="8" t="s">
        <v>138</v>
      </c>
      <c r="G516" s="8" t="s">
        <v>138</v>
      </c>
      <c r="H516" s="8" t="s">
        <v>138</v>
      </c>
      <c r="I516" s="8" t="s">
        <v>138</v>
      </c>
      <c r="J516" s="8" t="s">
        <v>138</v>
      </c>
      <c r="K516" s="8" t="s">
        <v>138</v>
      </c>
    </row>
    <row r="517" spans="1:11">
      <c r="A517" s="8" t="s">
        <v>138</v>
      </c>
      <c r="B517" s="8" t="s">
        <v>138</v>
      </c>
      <c r="C517" s="8" t="s">
        <v>138</v>
      </c>
      <c r="D517" s="8" t="s">
        <v>138</v>
      </c>
      <c r="E517" s="8" t="s">
        <v>138</v>
      </c>
      <c r="F517" s="8" t="s">
        <v>138</v>
      </c>
      <c r="G517" s="8" t="s">
        <v>138</v>
      </c>
      <c r="H517" s="8" t="s">
        <v>138</v>
      </c>
      <c r="I517" s="8" t="s">
        <v>138</v>
      </c>
      <c r="J517" s="8" t="s">
        <v>138</v>
      </c>
      <c r="K517" s="8" t="s">
        <v>138</v>
      </c>
    </row>
    <row r="518" spans="1:11">
      <c r="A518" s="8" t="s">
        <v>138</v>
      </c>
      <c r="B518" s="8" t="s">
        <v>138</v>
      </c>
      <c r="C518" s="8" t="s">
        <v>138</v>
      </c>
      <c r="D518" s="8" t="s">
        <v>138</v>
      </c>
      <c r="E518" s="8" t="s">
        <v>138</v>
      </c>
      <c r="F518" s="8" t="s">
        <v>138</v>
      </c>
      <c r="G518" s="8" t="s">
        <v>138</v>
      </c>
      <c r="H518" s="8" t="s">
        <v>138</v>
      </c>
      <c r="I518" s="8" t="s">
        <v>138</v>
      </c>
      <c r="J518" s="8" t="s">
        <v>138</v>
      </c>
      <c r="K518" s="8" t="s">
        <v>138</v>
      </c>
    </row>
    <row r="519" spans="1:11">
      <c r="A519" s="8" t="s">
        <v>138</v>
      </c>
      <c r="B519" s="8" t="s">
        <v>138</v>
      </c>
      <c r="C519" s="8" t="s">
        <v>138</v>
      </c>
      <c r="D519" s="8" t="s">
        <v>138</v>
      </c>
      <c r="E519" s="8" t="s">
        <v>138</v>
      </c>
      <c r="F519" s="8" t="s">
        <v>138</v>
      </c>
      <c r="G519" s="8" t="s">
        <v>138</v>
      </c>
      <c r="H519" s="8" t="s">
        <v>138</v>
      </c>
      <c r="I519" s="8" t="s">
        <v>138</v>
      </c>
      <c r="J519" s="8" t="s">
        <v>138</v>
      </c>
      <c r="K519" s="8" t="s">
        <v>138</v>
      </c>
    </row>
    <row r="520" spans="1:11">
      <c r="A520" s="8" t="s">
        <v>138</v>
      </c>
      <c r="B520" s="8" t="s">
        <v>138</v>
      </c>
      <c r="C520" s="8" t="s">
        <v>138</v>
      </c>
      <c r="D520" s="8" t="s">
        <v>138</v>
      </c>
      <c r="E520" s="8" t="s">
        <v>138</v>
      </c>
      <c r="F520" s="8" t="s">
        <v>138</v>
      </c>
      <c r="G520" s="8" t="s">
        <v>138</v>
      </c>
      <c r="H520" s="8" t="s">
        <v>138</v>
      </c>
      <c r="I520" s="8" t="s">
        <v>138</v>
      </c>
      <c r="J520" s="8" t="s">
        <v>138</v>
      </c>
      <c r="K520" s="8" t="s">
        <v>138</v>
      </c>
    </row>
    <row r="521" spans="1:11">
      <c r="A521" s="8" t="s">
        <v>138</v>
      </c>
      <c r="B521" s="8" t="s">
        <v>138</v>
      </c>
      <c r="C521" s="8" t="s">
        <v>138</v>
      </c>
      <c r="D521" s="8" t="s">
        <v>138</v>
      </c>
      <c r="E521" s="8" t="s">
        <v>138</v>
      </c>
      <c r="F521" s="8" t="s">
        <v>138</v>
      </c>
      <c r="G521" s="8" t="s">
        <v>138</v>
      </c>
      <c r="H521" s="8" t="s">
        <v>138</v>
      </c>
      <c r="I521" s="8" t="s">
        <v>138</v>
      </c>
      <c r="J521" s="8" t="s">
        <v>138</v>
      </c>
      <c r="K521" s="8" t="s">
        <v>138</v>
      </c>
    </row>
    <row r="522" spans="1:11">
      <c r="A522" s="8" t="s">
        <v>138</v>
      </c>
      <c r="B522" s="8" t="s">
        <v>138</v>
      </c>
      <c r="C522" s="8" t="s">
        <v>138</v>
      </c>
      <c r="D522" s="8" t="s">
        <v>138</v>
      </c>
      <c r="E522" s="8" t="s">
        <v>138</v>
      </c>
      <c r="F522" s="8" t="s">
        <v>138</v>
      </c>
      <c r="G522" s="8" t="s">
        <v>138</v>
      </c>
      <c r="H522" s="8" t="s">
        <v>138</v>
      </c>
      <c r="I522" s="8" t="s">
        <v>138</v>
      </c>
      <c r="J522" s="8" t="s">
        <v>138</v>
      </c>
      <c r="K522" s="8" t="s">
        <v>138</v>
      </c>
    </row>
    <row r="523" spans="1:11">
      <c r="A523" s="8" t="s">
        <v>138</v>
      </c>
      <c r="B523" s="8" t="s">
        <v>138</v>
      </c>
      <c r="C523" s="8" t="s">
        <v>138</v>
      </c>
      <c r="D523" s="8" t="s">
        <v>138</v>
      </c>
      <c r="E523" s="8" t="s">
        <v>138</v>
      </c>
      <c r="F523" s="8" t="s">
        <v>138</v>
      </c>
      <c r="G523" s="8" t="s">
        <v>138</v>
      </c>
      <c r="H523" s="8" t="s">
        <v>138</v>
      </c>
      <c r="I523" s="8" t="s">
        <v>138</v>
      </c>
      <c r="J523" s="8" t="s">
        <v>138</v>
      </c>
      <c r="K523" s="8" t="s">
        <v>138</v>
      </c>
    </row>
    <row r="524" spans="1:11">
      <c r="A524" s="8" t="s">
        <v>138</v>
      </c>
      <c r="B524" s="8" t="s">
        <v>138</v>
      </c>
      <c r="C524" s="8" t="s">
        <v>138</v>
      </c>
      <c r="D524" s="8" t="s">
        <v>138</v>
      </c>
      <c r="E524" s="8" t="s">
        <v>138</v>
      </c>
      <c r="F524" s="8" t="s">
        <v>138</v>
      </c>
      <c r="G524" s="8" t="s">
        <v>138</v>
      </c>
      <c r="H524" s="8" t="s">
        <v>138</v>
      </c>
      <c r="I524" s="8" t="s">
        <v>138</v>
      </c>
      <c r="J524" s="8" t="s">
        <v>138</v>
      </c>
      <c r="K524" s="8" t="s">
        <v>138</v>
      </c>
    </row>
    <row r="525" spans="1:11">
      <c r="A525" s="8" t="s">
        <v>138</v>
      </c>
      <c r="B525" s="8" t="s">
        <v>138</v>
      </c>
      <c r="C525" s="8" t="s">
        <v>138</v>
      </c>
      <c r="D525" s="8" t="s">
        <v>138</v>
      </c>
      <c r="E525" s="8" t="s">
        <v>138</v>
      </c>
      <c r="F525" s="8" t="s">
        <v>138</v>
      </c>
      <c r="G525" s="8" t="s">
        <v>138</v>
      </c>
      <c r="H525" s="8" t="s">
        <v>138</v>
      </c>
      <c r="I525" s="8" t="s">
        <v>138</v>
      </c>
      <c r="J525" s="8" t="s">
        <v>138</v>
      </c>
      <c r="K525" s="8" t="s">
        <v>138</v>
      </c>
    </row>
    <row r="526" spans="1:11">
      <c r="A526" s="8" t="s">
        <v>138</v>
      </c>
      <c r="B526" s="8" t="s">
        <v>138</v>
      </c>
      <c r="C526" s="8" t="s">
        <v>138</v>
      </c>
      <c r="D526" s="8" t="s">
        <v>138</v>
      </c>
      <c r="E526" s="8" t="s">
        <v>138</v>
      </c>
      <c r="F526" s="8" t="s">
        <v>138</v>
      </c>
      <c r="G526" s="8" t="s">
        <v>138</v>
      </c>
      <c r="H526" s="8" t="s">
        <v>138</v>
      </c>
      <c r="I526" s="8" t="s">
        <v>138</v>
      </c>
      <c r="J526" s="8" t="s">
        <v>138</v>
      </c>
      <c r="K526" s="8" t="s">
        <v>138</v>
      </c>
    </row>
    <row r="527" spans="1:11">
      <c r="A527" s="8" t="s">
        <v>138</v>
      </c>
      <c r="B527" s="8" t="s">
        <v>138</v>
      </c>
      <c r="C527" s="8" t="s">
        <v>138</v>
      </c>
      <c r="D527" s="8" t="s">
        <v>138</v>
      </c>
      <c r="E527" s="8" t="s">
        <v>138</v>
      </c>
      <c r="F527" s="8" t="s">
        <v>138</v>
      </c>
      <c r="G527" s="8" t="s">
        <v>138</v>
      </c>
      <c r="H527" s="8" t="s">
        <v>138</v>
      </c>
      <c r="I527" s="8" t="s">
        <v>138</v>
      </c>
      <c r="J527" s="8" t="s">
        <v>138</v>
      </c>
      <c r="K527" s="8" t="s">
        <v>138</v>
      </c>
    </row>
    <row r="528" spans="1:11">
      <c r="A528" s="8" t="s">
        <v>138</v>
      </c>
      <c r="B528" s="8" t="s">
        <v>138</v>
      </c>
      <c r="C528" s="8" t="s">
        <v>138</v>
      </c>
      <c r="D528" s="8" t="s">
        <v>138</v>
      </c>
      <c r="E528" s="8" t="s">
        <v>138</v>
      </c>
      <c r="F528" s="8" t="s">
        <v>138</v>
      </c>
      <c r="G528" s="8" t="s">
        <v>138</v>
      </c>
      <c r="H528" s="8" t="s">
        <v>138</v>
      </c>
      <c r="I528" s="8" t="s">
        <v>138</v>
      </c>
      <c r="J528" s="8" t="s">
        <v>138</v>
      </c>
      <c r="K528" s="8" t="s">
        <v>138</v>
      </c>
    </row>
    <row r="529" spans="1:11">
      <c r="A529" s="8" t="s">
        <v>138</v>
      </c>
      <c r="B529" s="8" t="s">
        <v>138</v>
      </c>
      <c r="C529" s="8" t="s">
        <v>138</v>
      </c>
      <c r="D529" s="8" t="s">
        <v>138</v>
      </c>
      <c r="E529" s="8" t="s">
        <v>138</v>
      </c>
      <c r="F529" s="8" t="s">
        <v>138</v>
      </c>
      <c r="G529" s="8" t="s">
        <v>138</v>
      </c>
      <c r="H529" s="8" t="s">
        <v>138</v>
      </c>
      <c r="I529" s="8" t="s">
        <v>138</v>
      </c>
      <c r="J529" s="8" t="s">
        <v>138</v>
      </c>
      <c r="K529" s="8" t="s">
        <v>138</v>
      </c>
    </row>
    <row r="530" spans="1:11">
      <c r="A530" s="8" t="s">
        <v>138</v>
      </c>
      <c r="B530" s="8" t="s">
        <v>138</v>
      </c>
      <c r="C530" s="8" t="s">
        <v>138</v>
      </c>
      <c r="D530" s="8" t="s">
        <v>138</v>
      </c>
      <c r="E530" s="8" t="s">
        <v>138</v>
      </c>
      <c r="F530" s="8" t="s">
        <v>138</v>
      </c>
      <c r="G530" s="8" t="s">
        <v>138</v>
      </c>
      <c r="H530" s="8" t="s">
        <v>138</v>
      </c>
      <c r="I530" s="8" t="s">
        <v>138</v>
      </c>
      <c r="J530" s="8" t="s">
        <v>138</v>
      </c>
      <c r="K530" s="8" t="s">
        <v>138</v>
      </c>
    </row>
    <row r="531" spans="1:11">
      <c r="A531" s="8" t="s">
        <v>138</v>
      </c>
      <c r="B531" s="8" t="s">
        <v>138</v>
      </c>
      <c r="C531" s="8" t="s">
        <v>138</v>
      </c>
      <c r="D531" s="8" t="s">
        <v>138</v>
      </c>
      <c r="E531" s="8" t="s">
        <v>138</v>
      </c>
      <c r="F531" s="8" t="s">
        <v>138</v>
      </c>
      <c r="G531" s="8" t="s">
        <v>138</v>
      </c>
      <c r="H531" s="8" t="s">
        <v>138</v>
      </c>
      <c r="I531" s="8" t="s">
        <v>138</v>
      </c>
      <c r="J531" s="8" t="s">
        <v>138</v>
      </c>
      <c r="K531" s="8" t="s">
        <v>138</v>
      </c>
    </row>
    <row r="532" spans="1:11">
      <c r="A532" s="8" t="s">
        <v>138</v>
      </c>
      <c r="B532" s="8" t="s">
        <v>138</v>
      </c>
      <c r="C532" s="8" t="s">
        <v>138</v>
      </c>
      <c r="D532" s="8" t="s">
        <v>138</v>
      </c>
      <c r="E532" s="8" t="s">
        <v>138</v>
      </c>
      <c r="F532" s="8" t="s">
        <v>138</v>
      </c>
      <c r="G532" s="8" t="s">
        <v>138</v>
      </c>
      <c r="H532" s="8" t="s">
        <v>138</v>
      </c>
      <c r="I532" s="8" t="s">
        <v>138</v>
      </c>
      <c r="J532" s="8" t="s">
        <v>138</v>
      </c>
      <c r="K532" s="8" t="s">
        <v>138</v>
      </c>
    </row>
    <row r="533" spans="1:11">
      <c r="A533" s="8" t="s">
        <v>138</v>
      </c>
      <c r="B533" s="8" t="s">
        <v>138</v>
      </c>
      <c r="C533" s="8" t="s">
        <v>138</v>
      </c>
      <c r="D533" s="8" t="s">
        <v>138</v>
      </c>
      <c r="E533" s="8" t="s">
        <v>138</v>
      </c>
      <c r="F533" s="8" t="s">
        <v>138</v>
      </c>
      <c r="G533" s="8" t="s">
        <v>138</v>
      </c>
      <c r="H533" s="8" t="s">
        <v>138</v>
      </c>
      <c r="I533" s="8" t="s">
        <v>138</v>
      </c>
      <c r="J533" s="8" t="s">
        <v>138</v>
      </c>
      <c r="K533" s="8" t="s">
        <v>138</v>
      </c>
    </row>
    <row r="534" spans="1:11">
      <c r="A534" s="8" t="s">
        <v>138</v>
      </c>
      <c r="B534" s="8" t="s">
        <v>138</v>
      </c>
      <c r="C534" s="8" t="s">
        <v>138</v>
      </c>
      <c r="D534" s="8" t="s">
        <v>138</v>
      </c>
      <c r="E534" s="8" t="s">
        <v>138</v>
      </c>
      <c r="F534" s="8" t="s">
        <v>138</v>
      </c>
      <c r="G534" s="8" t="s">
        <v>138</v>
      </c>
      <c r="H534" s="8" t="s">
        <v>138</v>
      </c>
      <c r="I534" s="8" t="s">
        <v>138</v>
      </c>
      <c r="J534" s="8" t="s">
        <v>138</v>
      </c>
      <c r="K534" s="8" t="s">
        <v>138</v>
      </c>
    </row>
    <row r="535" spans="1:11">
      <c r="A535" s="8" t="s">
        <v>138</v>
      </c>
      <c r="B535" s="8" t="s">
        <v>138</v>
      </c>
      <c r="C535" s="8" t="s">
        <v>138</v>
      </c>
      <c r="D535" s="8" t="s">
        <v>138</v>
      </c>
      <c r="E535" s="8" t="s">
        <v>138</v>
      </c>
      <c r="F535" s="8" t="s">
        <v>138</v>
      </c>
      <c r="G535" s="8" t="s">
        <v>138</v>
      </c>
      <c r="H535" s="8" t="s">
        <v>138</v>
      </c>
      <c r="I535" s="8" t="s">
        <v>138</v>
      </c>
      <c r="J535" s="8" t="s">
        <v>138</v>
      </c>
      <c r="K535" s="8" t="s">
        <v>138</v>
      </c>
    </row>
    <row r="536" spans="1:11">
      <c r="A536" s="8" t="s">
        <v>138</v>
      </c>
      <c r="B536" s="8" t="s">
        <v>138</v>
      </c>
      <c r="C536" s="8" t="s">
        <v>138</v>
      </c>
      <c r="D536" s="8" t="s">
        <v>138</v>
      </c>
      <c r="E536" s="8" t="s">
        <v>138</v>
      </c>
      <c r="F536" s="8" t="s">
        <v>138</v>
      </c>
      <c r="G536" s="8" t="s">
        <v>138</v>
      </c>
      <c r="H536" s="8" t="s">
        <v>138</v>
      </c>
      <c r="I536" s="8" t="s">
        <v>138</v>
      </c>
      <c r="J536" s="8" t="s">
        <v>138</v>
      </c>
      <c r="K536" s="8" t="s">
        <v>138</v>
      </c>
    </row>
    <row r="537" spans="1:11">
      <c r="A537" s="8" t="s">
        <v>138</v>
      </c>
      <c r="B537" s="8" t="s">
        <v>138</v>
      </c>
      <c r="C537" s="8" t="s">
        <v>138</v>
      </c>
      <c r="D537" s="8" t="s">
        <v>138</v>
      </c>
      <c r="E537" s="8" t="s">
        <v>138</v>
      </c>
      <c r="F537" s="8" t="s">
        <v>138</v>
      </c>
      <c r="G537" s="8" t="s">
        <v>138</v>
      </c>
      <c r="H537" s="8" t="s">
        <v>138</v>
      </c>
      <c r="I537" s="8" t="s">
        <v>138</v>
      </c>
      <c r="J537" s="8" t="s">
        <v>138</v>
      </c>
      <c r="K537" s="8" t="s">
        <v>138</v>
      </c>
    </row>
    <row r="538" spans="1:11">
      <c r="A538" s="8" t="s">
        <v>138</v>
      </c>
      <c r="B538" s="8" t="s">
        <v>138</v>
      </c>
      <c r="C538" s="8" t="s">
        <v>138</v>
      </c>
      <c r="D538" s="8" t="s">
        <v>138</v>
      </c>
      <c r="E538" s="8" t="s">
        <v>138</v>
      </c>
      <c r="F538" s="8" t="s">
        <v>138</v>
      </c>
      <c r="G538" s="8" t="s">
        <v>138</v>
      </c>
      <c r="H538" s="8" t="s">
        <v>138</v>
      </c>
      <c r="I538" s="8" t="s">
        <v>138</v>
      </c>
      <c r="J538" s="8" t="s">
        <v>138</v>
      </c>
      <c r="K538" s="8" t="s">
        <v>138</v>
      </c>
    </row>
    <row r="539" spans="1:11">
      <c r="A539" s="8" t="s">
        <v>138</v>
      </c>
      <c r="B539" s="8" t="s">
        <v>138</v>
      </c>
      <c r="C539" s="8" t="s">
        <v>138</v>
      </c>
      <c r="D539" s="8" t="s">
        <v>138</v>
      </c>
      <c r="E539" s="8" t="s">
        <v>138</v>
      </c>
      <c r="F539" s="8" t="s">
        <v>138</v>
      </c>
      <c r="G539" s="8" t="s">
        <v>138</v>
      </c>
      <c r="H539" s="8" t="s">
        <v>138</v>
      </c>
      <c r="I539" s="8" t="s">
        <v>138</v>
      </c>
      <c r="J539" s="8" t="s">
        <v>138</v>
      </c>
      <c r="K539" s="8" t="s">
        <v>138</v>
      </c>
    </row>
    <row r="540" spans="1:11">
      <c r="A540" s="8" t="s">
        <v>138</v>
      </c>
      <c r="B540" s="8" t="s">
        <v>138</v>
      </c>
      <c r="C540" s="8" t="s">
        <v>138</v>
      </c>
      <c r="D540" s="8" t="s">
        <v>138</v>
      </c>
      <c r="E540" s="8" t="s">
        <v>138</v>
      </c>
      <c r="F540" s="8" t="s">
        <v>138</v>
      </c>
      <c r="G540" s="8" t="s">
        <v>138</v>
      </c>
      <c r="H540" s="8" t="s">
        <v>138</v>
      </c>
      <c r="I540" s="8" t="s">
        <v>138</v>
      </c>
      <c r="J540" s="8" t="s">
        <v>138</v>
      </c>
      <c r="K540" s="8" t="s">
        <v>138</v>
      </c>
    </row>
    <row r="541" spans="1:11">
      <c r="A541" s="8" t="s">
        <v>138</v>
      </c>
      <c r="B541" s="8" t="s">
        <v>138</v>
      </c>
      <c r="C541" s="8" t="s">
        <v>138</v>
      </c>
      <c r="D541" s="8" t="s">
        <v>138</v>
      </c>
      <c r="E541" s="8" t="s">
        <v>138</v>
      </c>
      <c r="F541" s="8" t="s">
        <v>138</v>
      </c>
      <c r="G541" s="8" t="s">
        <v>138</v>
      </c>
      <c r="H541" s="8" t="s">
        <v>138</v>
      </c>
      <c r="I541" s="8" t="s">
        <v>138</v>
      </c>
      <c r="J541" s="8" t="s">
        <v>138</v>
      </c>
      <c r="K541" s="8" t="s">
        <v>138</v>
      </c>
    </row>
    <row r="542" spans="1:11">
      <c r="A542" s="8" t="s">
        <v>138</v>
      </c>
      <c r="B542" s="8" t="s">
        <v>138</v>
      </c>
      <c r="C542" s="8" t="s">
        <v>138</v>
      </c>
      <c r="D542" s="8" t="s">
        <v>138</v>
      </c>
      <c r="E542" s="8" t="s">
        <v>138</v>
      </c>
      <c r="F542" s="8" t="s">
        <v>138</v>
      </c>
      <c r="G542" s="8" t="s">
        <v>138</v>
      </c>
      <c r="H542" s="8" t="s">
        <v>138</v>
      </c>
      <c r="I542" s="8" t="s">
        <v>138</v>
      </c>
      <c r="J542" s="8" t="s">
        <v>138</v>
      </c>
      <c r="K542" s="8" t="s">
        <v>138</v>
      </c>
    </row>
    <row r="543" spans="1:11">
      <c r="A543" s="8" t="s">
        <v>138</v>
      </c>
      <c r="B543" s="8" t="s">
        <v>138</v>
      </c>
      <c r="C543" s="8" t="s">
        <v>138</v>
      </c>
      <c r="D543" s="8" t="s">
        <v>138</v>
      </c>
      <c r="E543" s="8" t="s">
        <v>138</v>
      </c>
      <c r="F543" s="8" t="s">
        <v>138</v>
      </c>
      <c r="G543" s="8" t="s">
        <v>138</v>
      </c>
      <c r="H543" s="8" t="s">
        <v>138</v>
      </c>
      <c r="I543" s="8" t="s">
        <v>138</v>
      </c>
      <c r="J543" s="8" t="s">
        <v>138</v>
      </c>
      <c r="K543" s="8" t="s">
        <v>138</v>
      </c>
    </row>
    <row r="544" spans="1:11">
      <c r="A544" s="8" t="s">
        <v>138</v>
      </c>
      <c r="B544" s="8" t="s">
        <v>138</v>
      </c>
      <c r="C544" s="8" t="s">
        <v>138</v>
      </c>
      <c r="D544" s="8" t="s">
        <v>138</v>
      </c>
      <c r="E544" s="8" t="s">
        <v>138</v>
      </c>
      <c r="F544" s="8" t="s">
        <v>138</v>
      </c>
      <c r="G544" s="8" t="s">
        <v>138</v>
      </c>
      <c r="H544" s="8" t="s">
        <v>138</v>
      </c>
      <c r="I544" s="8" t="s">
        <v>138</v>
      </c>
      <c r="J544" s="8" t="s">
        <v>138</v>
      </c>
      <c r="K544" s="8" t="s">
        <v>138</v>
      </c>
    </row>
    <row r="545" spans="1:11">
      <c r="A545" s="8" t="s">
        <v>138</v>
      </c>
      <c r="B545" s="8" t="s">
        <v>138</v>
      </c>
      <c r="C545" s="8" t="s">
        <v>138</v>
      </c>
      <c r="D545" s="8" t="s">
        <v>138</v>
      </c>
      <c r="E545" s="8" t="s">
        <v>138</v>
      </c>
      <c r="F545" s="8" t="s">
        <v>138</v>
      </c>
      <c r="G545" s="8" t="s">
        <v>138</v>
      </c>
      <c r="H545" s="8" t="s">
        <v>138</v>
      </c>
      <c r="I545" s="8" t="s">
        <v>138</v>
      </c>
      <c r="J545" s="8" t="s">
        <v>138</v>
      </c>
      <c r="K545" s="8" t="s">
        <v>138</v>
      </c>
    </row>
    <row r="546" spans="1:11">
      <c r="A546" s="8" t="s">
        <v>138</v>
      </c>
      <c r="B546" s="8" t="s">
        <v>138</v>
      </c>
      <c r="C546" s="8" t="s">
        <v>138</v>
      </c>
      <c r="D546" s="8" t="s">
        <v>138</v>
      </c>
      <c r="E546" s="8" t="s">
        <v>138</v>
      </c>
      <c r="F546" s="8" t="s">
        <v>138</v>
      </c>
      <c r="G546" s="8" t="s">
        <v>138</v>
      </c>
      <c r="H546" s="8" t="s">
        <v>138</v>
      </c>
      <c r="I546" s="8" t="s">
        <v>138</v>
      </c>
      <c r="J546" s="8" t="s">
        <v>138</v>
      </c>
      <c r="K546" s="8" t="s">
        <v>138</v>
      </c>
    </row>
    <row r="547" spans="1:11">
      <c r="A547" s="8" t="s">
        <v>138</v>
      </c>
      <c r="B547" s="8" t="s">
        <v>138</v>
      </c>
      <c r="C547" s="8" t="s">
        <v>138</v>
      </c>
      <c r="D547" s="8" t="s">
        <v>138</v>
      </c>
      <c r="E547" s="8" t="s">
        <v>138</v>
      </c>
      <c r="F547" s="8" t="s">
        <v>138</v>
      </c>
      <c r="G547" s="8" t="s">
        <v>138</v>
      </c>
      <c r="H547" s="8" t="s">
        <v>138</v>
      </c>
      <c r="I547" s="8" t="s">
        <v>138</v>
      </c>
      <c r="J547" s="8" t="s">
        <v>138</v>
      </c>
      <c r="K547" s="8" t="s">
        <v>138</v>
      </c>
    </row>
    <row r="548" spans="1:11">
      <c r="A548" s="8" t="s">
        <v>138</v>
      </c>
      <c r="B548" s="8" t="s">
        <v>138</v>
      </c>
      <c r="C548" s="8" t="s">
        <v>138</v>
      </c>
      <c r="D548" s="8" t="s">
        <v>138</v>
      </c>
      <c r="E548" s="8" t="s">
        <v>138</v>
      </c>
      <c r="F548" s="8" t="s">
        <v>138</v>
      </c>
      <c r="G548" s="8" t="s">
        <v>138</v>
      </c>
      <c r="H548" s="8" t="s">
        <v>138</v>
      </c>
      <c r="I548" s="8" t="s">
        <v>138</v>
      </c>
      <c r="J548" s="8" t="s">
        <v>138</v>
      </c>
      <c r="K548" s="8" t="s">
        <v>138</v>
      </c>
    </row>
    <row r="549" spans="1:11">
      <c r="A549" s="8" t="s">
        <v>138</v>
      </c>
      <c r="B549" s="8" t="s">
        <v>138</v>
      </c>
      <c r="C549" s="8" t="s">
        <v>138</v>
      </c>
      <c r="D549" s="8" t="s">
        <v>138</v>
      </c>
      <c r="E549" s="8" t="s">
        <v>138</v>
      </c>
      <c r="F549" s="8" t="s">
        <v>138</v>
      </c>
      <c r="G549" s="8" t="s">
        <v>138</v>
      </c>
      <c r="H549" s="8" t="s">
        <v>138</v>
      </c>
      <c r="I549" s="8" t="s">
        <v>138</v>
      </c>
      <c r="J549" s="8" t="s">
        <v>138</v>
      </c>
      <c r="K549" s="8" t="s">
        <v>138</v>
      </c>
    </row>
    <row r="550" spans="1:11">
      <c r="A550" s="8" t="s">
        <v>138</v>
      </c>
      <c r="B550" s="8" t="s">
        <v>138</v>
      </c>
      <c r="C550" s="8" t="s">
        <v>138</v>
      </c>
      <c r="D550" s="8" t="s">
        <v>138</v>
      </c>
      <c r="E550" s="8" t="s">
        <v>138</v>
      </c>
      <c r="F550" s="8" t="s">
        <v>138</v>
      </c>
      <c r="G550" s="8" t="s">
        <v>138</v>
      </c>
      <c r="H550" s="8" t="s">
        <v>138</v>
      </c>
      <c r="I550" s="8" t="s">
        <v>138</v>
      </c>
      <c r="J550" s="8" t="s">
        <v>138</v>
      </c>
      <c r="K550" s="8" t="s">
        <v>138</v>
      </c>
    </row>
    <row r="551" spans="1:11">
      <c r="A551" s="8" t="s">
        <v>138</v>
      </c>
      <c r="B551" s="8" t="s">
        <v>138</v>
      </c>
      <c r="C551" s="8" t="s">
        <v>138</v>
      </c>
      <c r="D551" s="8" t="s">
        <v>138</v>
      </c>
      <c r="E551" s="8" t="s">
        <v>138</v>
      </c>
      <c r="F551" s="8" t="s">
        <v>138</v>
      </c>
      <c r="G551" s="8" t="s">
        <v>138</v>
      </c>
      <c r="H551" s="8" t="s">
        <v>138</v>
      </c>
      <c r="I551" s="8" t="s">
        <v>138</v>
      </c>
      <c r="J551" s="8" t="s">
        <v>138</v>
      </c>
      <c r="K551" s="8" t="s">
        <v>138</v>
      </c>
    </row>
    <row r="552" spans="1:11">
      <c r="A552" s="8" t="s">
        <v>138</v>
      </c>
      <c r="B552" s="8" t="s">
        <v>138</v>
      </c>
      <c r="C552" s="8" t="s">
        <v>138</v>
      </c>
      <c r="D552" s="8" t="s">
        <v>138</v>
      </c>
      <c r="E552" s="8" t="s">
        <v>138</v>
      </c>
      <c r="F552" s="8" t="s">
        <v>138</v>
      </c>
      <c r="G552" s="8" t="s">
        <v>138</v>
      </c>
      <c r="H552" s="8" t="s">
        <v>138</v>
      </c>
      <c r="I552" s="8" t="s">
        <v>138</v>
      </c>
      <c r="J552" s="8" t="s">
        <v>138</v>
      </c>
      <c r="K552" s="8" t="s">
        <v>138</v>
      </c>
    </row>
    <row r="553" spans="1:11">
      <c r="A553" s="8" t="s">
        <v>138</v>
      </c>
      <c r="B553" s="8" t="s">
        <v>138</v>
      </c>
      <c r="C553" s="8" t="s">
        <v>138</v>
      </c>
      <c r="D553" s="8" t="s">
        <v>138</v>
      </c>
      <c r="E553" s="8" t="s">
        <v>138</v>
      </c>
      <c r="F553" s="8" t="s">
        <v>138</v>
      </c>
      <c r="G553" s="8" t="s">
        <v>138</v>
      </c>
      <c r="H553" s="8" t="s">
        <v>138</v>
      </c>
      <c r="I553" s="8" t="s">
        <v>138</v>
      </c>
      <c r="J553" s="8" t="s">
        <v>138</v>
      </c>
      <c r="K553" s="8" t="s">
        <v>138</v>
      </c>
    </row>
    <row r="554" spans="1:11">
      <c r="A554" s="8" t="s">
        <v>138</v>
      </c>
      <c r="B554" s="8" t="s">
        <v>138</v>
      </c>
      <c r="C554" s="8" t="s">
        <v>138</v>
      </c>
      <c r="D554" s="8" t="s">
        <v>138</v>
      </c>
      <c r="E554" s="8" t="s">
        <v>138</v>
      </c>
      <c r="F554" s="8" t="s">
        <v>138</v>
      </c>
      <c r="G554" s="8" t="s">
        <v>138</v>
      </c>
      <c r="H554" s="8" t="s">
        <v>138</v>
      </c>
      <c r="I554" s="8" t="s">
        <v>138</v>
      </c>
      <c r="J554" s="8" t="s">
        <v>138</v>
      </c>
      <c r="K554" s="8" t="s">
        <v>138</v>
      </c>
    </row>
    <row r="555" spans="1:11">
      <c r="A555" s="8" t="s">
        <v>138</v>
      </c>
      <c r="B555" s="8" t="s">
        <v>138</v>
      </c>
      <c r="C555" s="8" t="s">
        <v>138</v>
      </c>
      <c r="D555" s="8" t="s">
        <v>138</v>
      </c>
      <c r="E555" s="8" t="s">
        <v>138</v>
      </c>
      <c r="F555" s="8" t="s">
        <v>138</v>
      </c>
      <c r="G555" s="8" t="s">
        <v>138</v>
      </c>
      <c r="H555" s="8" t="s">
        <v>138</v>
      </c>
      <c r="I555" s="8" t="s">
        <v>138</v>
      </c>
      <c r="J555" s="8" t="s">
        <v>138</v>
      </c>
      <c r="K555" s="8" t="s">
        <v>138</v>
      </c>
    </row>
    <row r="556" spans="1:11">
      <c r="A556" s="8" t="s">
        <v>138</v>
      </c>
      <c r="B556" s="8" t="s">
        <v>138</v>
      </c>
      <c r="C556" s="8" t="s">
        <v>138</v>
      </c>
      <c r="D556" s="8" t="s">
        <v>138</v>
      </c>
      <c r="E556" s="8" t="s">
        <v>138</v>
      </c>
      <c r="F556" s="8" t="s">
        <v>138</v>
      </c>
      <c r="G556" s="8" t="s">
        <v>138</v>
      </c>
      <c r="H556" s="8" t="s">
        <v>138</v>
      </c>
      <c r="I556" s="8" t="s">
        <v>138</v>
      </c>
      <c r="J556" s="8" t="s">
        <v>138</v>
      </c>
      <c r="K556" s="8" t="s">
        <v>138</v>
      </c>
    </row>
    <row r="557" spans="1:11">
      <c r="A557" s="8" t="s">
        <v>138</v>
      </c>
      <c r="B557" s="8" t="s">
        <v>138</v>
      </c>
      <c r="C557" s="8" t="s">
        <v>138</v>
      </c>
      <c r="D557" s="8" t="s">
        <v>138</v>
      </c>
      <c r="E557" s="8" t="s">
        <v>138</v>
      </c>
      <c r="F557" s="8" t="s">
        <v>138</v>
      </c>
      <c r="G557" s="8" t="s">
        <v>138</v>
      </c>
      <c r="H557" s="8" t="s">
        <v>138</v>
      </c>
      <c r="I557" s="8" t="s">
        <v>138</v>
      </c>
      <c r="J557" s="8" t="s">
        <v>138</v>
      </c>
      <c r="K557" s="8" t="s">
        <v>138</v>
      </c>
    </row>
    <row r="558" spans="1:11">
      <c r="A558" s="8" t="s">
        <v>138</v>
      </c>
      <c r="B558" s="8" t="s">
        <v>138</v>
      </c>
      <c r="C558" s="8" t="s">
        <v>138</v>
      </c>
      <c r="D558" s="8" t="s">
        <v>138</v>
      </c>
      <c r="E558" s="8" t="s">
        <v>138</v>
      </c>
      <c r="F558" s="8" t="s">
        <v>138</v>
      </c>
      <c r="G558" s="8" t="s">
        <v>138</v>
      </c>
      <c r="H558" s="8" t="s">
        <v>138</v>
      </c>
      <c r="I558" s="8" t="s">
        <v>138</v>
      </c>
      <c r="J558" s="8" t="s">
        <v>138</v>
      </c>
      <c r="K558" s="8" t="s">
        <v>138</v>
      </c>
    </row>
    <row r="559" spans="1:11">
      <c r="A559" s="8" t="s">
        <v>138</v>
      </c>
      <c r="B559" s="8" t="s">
        <v>138</v>
      </c>
      <c r="C559" s="8" t="s">
        <v>138</v>
      </c>
      <c r="D559" s="8" t="s">
        <v>138</v>
      </c>
      <c r="E559" s="8" t="s">
        <v>138</v>
      </c>
      <c r="F559" s="8" t="s">
        <v>138</v>
      </c>
      <c r="G559" s="8" t="s">
        <v>138</v>
      </c>
      <c r="H559" s="8" t="s">
        <v>138</v>
      </c>
      <c r="I559" s="8" t="s">
        <v>138</v>
      </c>
      <c r="J559" s="8" t="s">
        <v>138</v>
      </c>
      <c r="K559" s="8" t="s">
        <v>138</v>
      </c>
    </row>
    <row r="560" spans="1:11">
      <c r="A560" s="8" t="s">
        <v>138</v>
      </c>
      <c r="B560" s="8" t="s">
        <v>138</v>
      </c>
      <c r="C560" s="8" t="s">
        <v>138</v>
      </c>
      <c r="D560" s="8" t="s">
        <v>138</v>
      </c>
      <c r="E560" s="8" t="s">
        <v>138</v>
      </c>
      <c r="F560" s="8" t="s">
        <v>138</v>
      </c>
      <c r="G560" s="8" t="s">
        <v>138</v>
      </c>
      <c r="H560" s="8" t="s">
        <v>138</v>
      </c>
      <c r="I560" s="8" t="s">
        <v>138</v>
      </c>
      <c r="J560" s="8" t="s">
        <v>138</v>
      </c>
      <c r="K560" s="8" t="s">
        <v>138</v>
      </c>
    </row>
    <row r="561" spans="1:11">
      <c r="A561" s="8" t="s">
        <v>138</v>
      </c>
      <c r="B561" s="8" t="s">
        <v>138</v>
      </c>
      <c r="C561" s="8" t="s">
        <v>138</v>
      </c>
      <c r="D561" s="8" t="s">
        <v>138</v>
      </c>
      <c r="E561" s="8" t="s">
        <v>138</v>
      </c>
      <c r="F561" s="8" t="s">
        <v>138</v>
      </c>
      <c r="G561" s="8" t="s">
        <v>138</v>
      </c>
      <c r="H561" s="8" t="s">
        <v>138</v>
      </c>
      <c r="I561" s="8" t="s">
        <v>138</v>
      </c>
      <c r="J561" s="8" t="s">
        <v>138</v>
      </c>
      <c r="K561" s="8" t="s">
        <v>138</v>
      </c>
    </row>
    <row r="562" spans="1:11">
      <c r="A562" s="8" t="s">
        <v>138</v>
      </c>
      <c r="B562" s="8" t="s">
        <v>138</v>
      </c>
      <c r="C562" s="8" t="s">
        <v>138</v>
      </c>
      <c r="D562" s="8" t="s">
        <v>138</v>
      </c>
      <c r="E562" s="8" t="s">
        <v>138</v>
      </c>
      <c r="F562" s="8" t="s">
        <v>138</v>
      </c>
      <c r="G562" s="8" t="s">
        <v>138</v>
      </c>
      <c r="H562" s="8" t="s">
        <v>138</v>
      </c>
      <c r="I562" s="8" t="s">
        <v>138</v>
      </c>
      <c r="J562" s="8" t="s">
        <v>138</v>
      </c>
      <c r="K562" s="8" t="s">
        <v>138</v>
      </c>
    </row>
    <row r="563" spans="1:11">
      <c r="A563" s="8" t="s">
        <v>138</v>
      </c>
      <c r="B563" s="8" t="s">
        <v>138</v>
      </c>
      <c r="C563" s="8" t="s">
        <v>138</v>
      </c>
      <c r="D563" s="8" t="s">
        <v>138</v>
      </c>
      <c r="E563" s="8" t="s">
        <v>138</v>
      </c>
      <c r="F563" s="8" t="s">
        <v>138</v>
      </c>
      <c r="G563" s="8" t="s">
        <v>138</v>
      </c>
      <c r="H563" s="8" t="s">
        <v>138</v>
      </c>
      <c r="I563" s="8" t="s">
        <v>138</v>
      </c>
      <c r="J563" s="8" t="s">
        <v>138</v>
      </c>
      <c r="K563" s="8" t="s">
        <v>138</v>
      </c>
    </row>
    <row r="564" spans="1:11">
      <c r="A564" s="8" t="s">
        <v>138</v>
      </c>
      <c r="B564" s="8" t="s">
        <v>138</v>
      </c>
      <c r="C564" s="8" t="s">
        <v>138</v>
      </c>
      <c r="D564" s="8" t="s">
        <v>138</v>
      </c>
      <c r="E564" s="8" t="s">
        <v>138</v>
      </c>
      <c r="F564" s="8" t="s">
        <v>138</v>
      </c>
      <c r="G564" s="8" t="s">
        <v>138</v>
      </c>
      <c r="H564" s="8" t="s">
        <v>138</v>
      </c>
      <c r="I564" s="8" t="s">
        <v>138</v>
      </c>
      <c r="J564" s="8" t="s">
        <v>138</v>
      </c>
      <c r="K564" s="8" t="s">
        <v>138</v>
      </c>
    </row>
    <row r="565" spans="1:11">
      <c r="A565" s="8" t="s">
        <v>138</v>
      </c>
      <c r="B565" s="8" t="s">
        <v>138</v>
      </c>
      <c r="C565" s="8" t="s">
        <v>138</v>
      </c>
      <c r="D565" s="8" t="s">
        <v>138</v>
      </c>
      <c r="E565" s="8" t="s">
        <v>138</v>
      </c>
      <c r="F565" s="8" t="s">
        <v>138</v>
      </c>
      <c r="G565" s="8" t="s">
        <v>138</v>
      </c>
      <c r="H565" s="8" t="s">
        <v>138</v>
      </c>
      <c r="I565" s="8" t="s">
        <v>138</v>
      </c>
      <c r="J565" s="8" t="s">
        <v>138</v>
      </c>
      <c r="K565" s="8" t="s">
        <v>138</v>
      </c>
    </row>
    <row r="566" spans="1:11">
      <c r="A566" s="8" t="s">
        <v>138</v>
      </c>
      <c r="B566" s="8" t="s">
        <v>138</v>
      </c>
      <c r="C566" s="8" t="s">
        <v>138</v>
      </c>
      <c r="D566" s="8" t="s">
        <v>138</v>
      </c>
      <c r="E566" s="8" t="s">
        <v>138</v>
      </c>
      <c r="F566" s="8" t="s">
        <v>138</v>
      </c>
      <c r="G566" s="8" t="s">
        <v>138</v>
      </c>
      <c r="H566" s="8" t="s">
        <v>138</v>
      </c>
      <c r="I566" s="8" t="s">
        <v>138</v>
      </c>
      <c r="J566" s="8" t="s">
        <v>138</v>
      </c>
      <c r="K566" s="8" t="s">
        <v>138</v>
      </c>
    </row>
    <row r="567" spans="1:11">
      <c r="A567" s="8" t="s">
        <v>138</v>
      </c>
      <c r="B567" s="8" t="s">
        <v>138</v>
      </c>
      <c r="C567" s="8" t="s">
        <v>138</v>
      </c>
      <c r="D567" s="8" t="s">
        <v>138</v>
      </c>
      <c r="E567" s="8" t="s">
        <v>138</v>
      </c>
      <c r="F567" s="8" t="s">
        <v>138</v>
      </c>
      <c r="G567" s="8" t="s">
        <v>138</v>
      </c>
      <c r="H567" s="8" t="s">
        <v>138</v>
      </c>
      <c r="I567" s="8" t="s">
        <v>138</v>
      </c>
      <c r="J567" s="8" t="s">
        <v>138</v>
      </c>
      <c r="K567" s="8" t="s">
        <v>138</v>
      </c>
    </row>
    <row r="568" spans="1:11">
      <c r="A568" s="8" t="s">
        <v>138</v>
      </c>
      <c r="B568" s="8" t="s">
        <v>138</v>
      </c>
      <c r="C568" s="8" t="s">
        <v>138</v>
      </c>
      <c r="D568" s="8" t="s">
        <v>138</v>
      </c>
      <c r="E568" s="8" t="s">
        <v>138</v>
      </c>
      <c r="F568" s="8" t="s">
        <v>138</v>
      </c>
      <c r="G568" s="8" t="s">
        <v>138</v>
      </c>
      <c r="H568" s="8" t="s">
        <v>138</v>
      </c>
      <c r="I568" s="8" t="s">
        <v>138</v>
      </c>
      <c r="J568" s="8" t="s">
        <v>138</v>
      </c>
      <c r="K568" s="8" t="s">
        <v>138</v>
      </c>
    </row>
    <row r="569" spans="1:11">
      <c r="A569" s="8" t="s">
        <v>138</v>
      </c>
      <c r="B569" s="8" t="s">
        <v>138</v>
      </c>
      <c r="C569" s="8" t="s">
        <v>138</v>
      </c>
      <c r="D569" s="8" t="s">
        <v>138</v>
      </c>
      <c r="E569" s="8" t="s">
        <v>138</v>
      </c>
      <c r="F569" s="8" t="s">
        <v>138</v>
      </c>
      <c r="G569" s="8" t="s">
        <v>138</v>
      </c>
      <c r="H569" s="8" t="s">
        <v>138</v>
      </c>
      <c r="I569" s="8" t="s">
        <v>138</v>
      </c>
      <c r="J569" s="8" t="s">
        <v>138</v>
      </c>
      <c r="K569" s="8" t="s">
        <v>138</v>
      </c>
    </row>
    <row r="570" spans="1:11">
      <c r="A570" s="8" t="s">
        <v>138</v>
      </c>
      <c r="B570" s="8" t="s">
        <v>138</v>
      </c>
      <c r="C570" s="8" t="s">
        <v>138</v>
      </c>
      <c r="D570" s="8" t="s">
        <v>138</v>
      </c>
      <c r="E570" s="8" t="s">
        <v>138</v>
      </c>
      <c r="F570" s="8" t="s">
        <v>138</v>
      </c>
      <c r="G570" s="8" t="s">
        <v>138</v>
      </c>
      <c r="H570" s="8" t="s">
        <v>138</v>
      </c>
      <c r="I570" s="8" t="s">
        <v>138</v>
      </c>
      <c r="J570" s="8" t="s">
        <v>138</v>
      </c>
      <c r="K570" s="8" t="s">
        <v>138</v>
      </c>
    </row>
    <row r="571" spans="1:11">
      <c r="A571" s="8" t="s">
        <v>138</v>
      </c>
      <c r="B571" s="8" t="s">
        <v>138</v>
      </c>
      <c r="C571" s="8" t="s">
        <v>138</v>
      </c>
      <c r="D571" s="8" t="s">
        <v>138</v>
      </c>
      <c r="E571" s="8" t="s">
        <v>138</v>
      </c>
      <c r="F571" s="8" t="s">
        <v>138</v>
      </c>
      <c r="G571" s="8" t="s">
        <v>138</v>
      </c>
      <c r="H571" s="8" t="s">
        <v>138</v>
      </c>
      <c r="I571" s="8" t="s">
        <v>138</v>
      </c>
      <c r="J571" s="8" t="s">
        <v>138</v>
      </c>
      <c r="K571" s="8" t="s">
        <v>138</v>
      </c>
    </row>
    <row r="572" spans="1:11">
      <c r="A572" s="8" t="s">
        <v>138</v>
      </c>
      <c r="B572" s="8" t="s">
        <v>138</v>
      </c>
      <c r="C572" s="8" t="s">
        <v>138</v>
      </c>
      <c r="D572" s="8" t="s">
        <v>138</v>
      </c>
      <c r="E572" s="8" t="s">
        <v>138</v>
      </c>
      <c r="F572" s="8" t="s">
        <v>138</v>
      </c>
      <c r="G572" s="8" t="s">
        <v>138</v>
      </c>
      <c r="H572" s="8" t="s">
        <v>138</v>
      </c>
      <c r="I572" s="8" t="s">
        <v>138</v>
      </c>
      <c r="J572" s="8" t="s">
        <v>138</v>
      </c>
      <c r="K572" s="8" t="s">
        <v>138</v>
      </c>
    </row>
    <row r="573" spans="1:11">
      <c r="A573" s="8" t="s">
        <v>138</v>
      </c>
      <c r="B573" s="8" t="s">
        <v>138</v>
      </c>
      <c r="C573" s="8" t="s">
        <v>138</v>
      </c>
      <c r="D573" s="8" t="s">
        <v>138</v>
      </c>
      <c r="E573" s="8" t="s">
        <v>138</v>
      </c>
      <c r="F573" s="8" t="s">
        <v>138</v>
      </c>
      <c r="G573" s="8" t="s">
        <v>138</v>
      </c>
      <c r="H573" s="8" t="s">
        <v>138</v>
      </c>
      <c r="I573" s="8" t="s">
        <v>138</v>
      </c>
      <c r="J573" s="8" t="s">
        <v>138</v>
      </c>
      <c r="K573" s="8" t="s">
        <v>138</v>
      </c>
    </row>
    <row r="574" spans="1:11">
      <c r="A574" s="8" t="s">
        <v>138</v>
      </c>
      <c r="B574" s="8" t="s">
        <v>138</v>
      </c>
      <c r="C574" s="8" t="s">
        <v>138</v>
      </c>
      <c r="D574" s="8" t="s">
        <v>138</v>
      </c>
      <c r="E574" s="8" t="s">
        <v>138</v>
      </c>
      <c r="F574" s="8" t="s">
        <v>138</v>
      </c>
      <c r="G574" s="8" t="s">
        <v>138</v>
      </c>
      <c r="H574" s="8" t="s">
        <v>138</v>
      </c>
      <c r="I574" s="8" t="s">
        <v>138</v>
      </c>
      <c r="J574" s="8" t="s">
        <v>138</v>
      </c>
      <c r="K574" s="8" t="s">
        <v>138</v>
      </c>
    </row>
    <row r="575" spans="1:11">
      <c r="A575" s="8" t="s">
        <v>138</v>
      </c>
      <c r="B575" s="8" t="s">
        <v>138</v>
      </c>
      <c r="C575" s="8" t="s">
        <v>138</v>
      </c>
      <c r="D575" s="8" t="s">
        <v>138</v>
      </c>
      <c r="E575" s="8" t="s">
        <v>138</v>
      </c>
      <c r="F575" s="8" t="s">
        <v>138</v>
      </c>
      <c r="G575" s="8" t="s">
        <v>138</v>
      </c>
      <c r="H575" s="8" t="s">
        <v>138</v>
      </c>
      <c r="I575" s="8" t="s">
        <v>138</v>
      </c>
      <c r="J575" s="8" t="s">
        <v>138</v>
      </c>
      <c r="K575" s="8" t="s">
        <v>138</v>
      </c>
    </row>
    <row r="576" spans="1:11">
      <c r="A576" s="8" t="s">
        <v>138</v>
      </c>
      <c r="B576" s="8" t="s">
        <v>138</v>
      </c>
      <c r="C576" s="8" t="s">
        <v>138</v>
      </c>
      <c r="D576" s="8" t="s">
        <v>138</v>
      </c>
      <c r="E576" s="8" t="s">
        <v>138</v>
      </c>
      <c r="F576" s="8" t="s">
        <v>138</v>
      </c>
      <c r="G576" s="8" t="s">
        <v>138</v>
      </c>
      <c r="H576" s="8" t="s">
        <v>138</v>
      </c>
      <c r="I576" s="8" t="s">
        <v>138</v>
      </c>
      <c r="J576" s="8" t="s">
        <v>138</v>
      </c>
      <c r="K576" s="8" t="s">
        <v>138</v>
      </c>
    </row>
    <row r="577" spans="1:11">
      <c r="A577" s="8" t="s">
        <v>138</v>
      </c>
      <c r="B577" s="8" t="s">
        <v>138</v>
      </c>
      <c r="C577" s="8" t="s">
        <v>138</v>
      </c>
      <c r="D577" s="8" t="s">
        <v>138</v>
      </c>
      <c r="E577" s="8" t="s">
        <v>138</v>
      </c>
      <c r="F577" s="8" t="s">
        <v>138</v>
      </c>
      <c r="G577" s="8" t="s">
        <v>138</v>
      </c>
      <c r="H577" s="8" t="s">
        <v>138</v>
      </c>
      <c r="I577" s="8" t="s">
        <v>138</v>
      </c>
      <c r="J577" s="8" t="s">
        <v>138</v>
      </c>
      <c r="K577" s="8" t="s">
        <v>138</v>
      </c>
    </row>
    <row r="578" spans="1:11">
      <c r="A578" s="8" t="s">
        <v>138</v>
      </c>
      <c r="B578" s="8" t="s">
        <v>138</v>
      </c>
      <c r="C578" s="8" t="s">
        <v>138</v>
      </c>
      <c r="D578" s="8" t="s">
        <v>138</v>
      </c>
      <c r="E578" s="8" t="s">
        <v>138</v>
      </c>
      <c r="F578" s="8" t="s">
        <v>138</v>
      </c>
      <c r="G578" s="8" t="s">
        <v>138</v>
      </c>
      <c r="H578" s="8" t="s">
        <v>138</v>
      </c>
      <c r="I578" s="8" t="s">
        <v>138</v>
      </c>
      <c r="J578" s="8" t="s">
        <v>138</v>
      </c>
      <c r="K578" s="8" t="s">
        <v>138</v>
      </c>
    </row>
    <row r="579" spans="1:11">
      <c r="A579" s="8" t="s">
        <v>138</v>
      </c>
      <c r="B579" s="8" t="s">
        <v>138</v>
      </c>
      <c r="C579" s="8" t="s">
        <v>138</v>
      </c>
      <c r="D579" s="8" t="s">
        <v>138</v>
      </c>
      <c r="E579" s="8" t="s">
        <v>138</v>
      </c>
      <c r="F579" s="8" t="s">
        <v>138</v>
      </c>
      <c r="G579" s="8" t="s">
        <v>138</v>
      </c>
      <c r="H579" s="8" t="s">
        <v>138</v>
      </c>
      <c r="I579" s="8" t="s">
        <v>138</v>
      </c>
      <c r="J579" s="8" t="s">
        <v>138</v>
      </c>
      <c r="K579" s="8" t="s">
        <v>138</v>
      </c>
    </row>
    <row r="580" spans="1:11">
      <c r="A580" s="8" t="s">
        <v>138</v>
      </c>
      <c r="B580" s="8" t="s">
        <v>138</v>
      </c>
      <c r="C580" s="8" t="s">
        <v>138</v>
      </c>
      <c r="D580" s="8" t="s">
        <v>138</v>
      </c>
      <c r="E580" s="8" t="s">
        <v>138</v>
      </c>
      <c r="F580" s="8" t="s">
        <v>138</v>
      </c>
      <c r="G580" s="8" t="s">
        <v>138</v>
      </c>
      <c r="H580" s="8" t="s">
        <v>138</v>
      </c>
      <c r="I580" s="8" t="s">
        <v>138</v>
      </c>
      <c r="J580" s="8" t="s">
        <v>138</v>
      </c>
      <c r="K580" s="8" t="s">
        <v>138</v>
      </c>
    </row>
    <row r="581" spans="1:11">
      <c r="A581" s="8" t="s">
        <v>138</v>
      </c>
      <c r="B581" s="8" t="s">
        <v>138</v>
      </c>
      <c r="C581" s="8" t="s">
        <v>138</v>
      </c>
      <c r="D581" s="8" t="s">
        <v>138</v>
      </c>
      <c r="E581" s="8" t="s">
        <v>138</v>
      </c>
      <c r="F581" s="8" t="s">
        <v>138</v>
      </c>
      <c r="G581" s="8" t="s">
        <v>138</v>
      </c>
      <c r="H581" s="8" t="s">
        <v>138</v>
      </c>
      <c r="I581" s="8" t="s">
        <v>138</v>
      </c>
      <c r="J581" s="8" t="s">
        <v>138</v>
      </c>
      <c r="K581" s="8" t="s">
        <v>138</v>
      </c>
    </row>
    <row r="582" spans="1:11">
      <c r="A582" s="8" t="s">
        <v>138</v>
      </c>
      <c r="B582" s="8" t="s">
        <v>138</v>
      </c>
      <c r="C582" s="8" t="s">
        <v>138</v>
      </c>
      <c r="D582" s="8" t="s">
        <v>138</v>
      </c>
      <c r="E582" s="8" t="s">
        <v>138</v>
      </c>
      <c r="F582" s="8" t="s">
        <v>138</v>
      </c>
      <c r="G582" s="8" t="s">
        <v>138</v>
      </c>
      <c r="H582" s="8" t="s">
        <v>138</v>
      </c>
      <c r="I582" s="8" t="s">
        <v>138</v>
      </c>
      <c r="J582" s="8" t="s">
        <v>138</v>
      </c>
      <c r="K582" s="8" t="s">
        <v>138</v>
      </c>
    </row>
    <row r="583" spans="1:11">
      <c r="A583" s="8" t="s">
        <v>138</v>
      </c>
      <c r="B583" s="8" t="s">
        <v>138</v>
      </c>
      <c r="C583" s="8" t="s">
        <v>138</v>
      </c>
      <c r="D583" s="8" t="s">
        <v>138</v>
      </c>
      <c r="E583" s="8" t="s">
        <v>138</v>
      </c>
      <c r="F583" s="8" t="s">
        <v>138</v>
      </c>
      <c r="G583" s="8" t="s">
        <v>138</v>
      </c>
      <c r="H583" s="8" t="s">
        <v>138</v>
      </c>
      <c r="I583" s="8" t="s">
        <v>138</v>
      </c>
      <c r="J583" s="8" t="s">
        <v>138</v>
      </c>
      <c r="K583" s="8" t="s">
        <v>138</v>
      </c>
    </row>
    <row r="584" spans="1:11">
      <c r="A584" s="8" t="s">
        <v>138</v>
      </c>
      <c r="B584" s="8" t="s">
        <v>138</v>
      </c>
      <c r="C584" s="8" t="s">
        <v>138</v>
      </c>
      <c r="D584" s="8" t="s">
        <v>138</v>
      </c>
      <c r="E584" s="8" t="s">
        <v>138</v>
      </c>
      <c r="F584" s="8" t="s">
        <v>138</v>
      </c>
      <c r="G584" s="8" t="s">
        <v>138</v>
      </c>
      <c r="H584" s="8" t="s">
        <v>138</v>
      </c>
      <c r="I584" s="8" t="s">
        <v>138</v>
      </c>
      <c r="J584" s="8" t="s">
        <v>138</v>
      </c>
      <c r="K584" s="8" t="s">
        <v>138</v>
      </c>
    </row>
    <row r="585" spans="1:11">
      <c r="A585" s="8" t="s">
        <v>138</v>
      </c>
      <c r="B585" s="8" t="s">
        <v>138</v>
      </c>
      <c r="C585" s="8" t="s">
        <v>138</v>
      </c>
      <c r="D585" s="8" t="s">
        <v>138</v>
      </c>
      <c r="E585" s="8" t="s">
        <v>138</v>
      </c>
      <c r="F585" s="8" t="s">
        <v>138</v>
      </c>
      <c r="G585" s="8" t="s">
        <v>138</v>
      </c>
      <c r="H585" s="8" t="s">
        <v>138</v>
      </c>
      <c r="I585" s="8" t="s">
        <v>138</v>
      </c>
      <c r="J585" s="8" t="s">
        <v>138</v>
      </c>
      <c r="K585" s="8" t="s">
        <v>138</v>
      </c>
    </row>
    <row r="586" spans="1:11">
      <c r="A586" s="8" t="s">
        <v>138</v>
      </c>
      <c r="B586" s="8" t="s">
        <v>138</v>
      </c>
      <c r="C586" s="8" t="s">
        <v>138</v>
      </c>
      <c r="D586" s="8" t="s">
        <v>138</v>
      </c>
      <c r="E586" s="8" t="s">
        <v>138</v>
      </c>
      <c r="F586" s="8" t="s">
        <v>138</v>
      </c>
      <c r="G586" s="8" t="s">
        <v>138</v>
      </c>
      <c r="H586" s="8" t="s">
        <v>138</v>
      </c>
      <c r="I586" s="8" t="s">
        <v>138</v>
      </c>
      <c r="J586" s="8" t="s">
        <v>138</v>
      </c>
      <c r="K586" s="8" t="s">
        <v>138</v>
      </c>
    </row>
    <row r="587" spans="1:11">
      <c r="A587" s="8" t="s">
        <v>138</v>
      </c>
      <c r="B587" s="8" t="s">
        <v>138</v>
      </c>
      <c r="C587" s="8" t="s">
        <v>138</v>
      </c>
      <c r="D587" s="8" t="s">
        <v>138</v>
      </c>
      <c r="E587" s="8" t="s">
        <v>138</v>
      </c>
      <c r="F587" s="8" t="s">
        <v>138</v>
      </c>
      <c r="G587" s="8" t="s">
        <v>138</v>
      </c>
      <c r="H587" s="8" t="s">
        <v>138</v>
      </c>
      <c r="I587" s="8" t="s">
        <v>138</v>
      </c>
      <c r="J587" s="8" t="s">
        <v>138</v>
      </c>
      <c r="K587" s="8" t="s">
        <v>138</v>
      </c>
    </row>
    <row r="588" spans="1:11">
      <c r="A588" s="8" t="s">
        <v>138</v>
      </c>
      <c r="B588" s="8" t="s">
        <v>138</v>
      </c>
      <c r="C588" s="8" t="s">
        <v>138</v>
      </c>
      <c r="D588" s="8" t="s">
        <v>138</v>
      </c>
      <c r="E588" s="8" t="s">
        <v>138</v>
      </c>
      <c r="F588" s="8" t="s">
        <v>138</v>
      </c>
      <c r="G588" s="8" t="s">
        <v>138</v>
      </c>
      <c r="H588" s="8" t="s">
        <v>138</v>
      </c>
      <c r="I588" s="8" t="s">
        <v>138</v>
      </c>
      <c r="J588" s="8" t="s">
        <v>138</v>
      </c>
      <c r="K588" s="8" t="s">
        <v>138</v>
      </c>
    </row>
    <row r="589" spans="1:11">
      <c r="A589" s="8" t="s">
        <v>138</v>
      </c>
      <c r="B589" s="8" t="s">
        <v>138</v>
      </c>
      <c r="C589" s="8" t="s">
        <v>138</v>
      </c>
      <c r="D589" s="8" t="s">
        <v>138</v>
      </c>
      <c r="E589" s="8" t="s">
        <v>138</v>
      </c>
      <c r="F589" s="8" t="s">
        <v>138</v>
      </c>
      <c r="G589" s="8" t="s">
        <v>138</v>
      </c>
      <c r="H589" s="8" t="s">
        <v>138</v>
      </c>
      <c r="I589" s="8" t="s">
        <v>138</v>
      </c>
      <c r="J589" s="8" t="s">
        <v>138</v>
      </c>
      <c r="K589" s="8" t="s">
        <v>138</v>
      </c>
    </row>
    <row r="590" spans="1:11">
      <c r="A590" s="8" t="s">
        <v>138</v>
      </c>
      <c r="B590" s="8" t="s">
        <v>138</v>
      </c>
      <c r="C590" s="8" t="s">
        <v>138</v>
      </c>
      <c r="D590" s="8" t="s">
        <v>138</v>
      </c>
      <c r="E590" s="8" t="s">
        <v>138</v>
      </c>
      <c r="F590" s="8" t="s">
        <v>138</v>
      </c>
      <c r="G590" s="8" t="s">
        <v>138</v>
      </c>
      <c r="H590" s="8" t="s">
        <v>138</v>
      </c>
      <c r="I590" s="8" t="s">
        <v>138</v>
      </c>
      <c r="J590" s="8" t="s">
        <v>138</v>
      </c>
      <c r="K590" s="8" t="s">
        <v>138</v>
      </c>
    </row>
    <row r="591" spans="1:11">
      <c r="A591" s="8" t="s">
        <v>138</v>
      </c>
      <c r="B591" s="8" t="s">
        <v>138</v>
      </c>
      <c r="C591" s="8" t="s">
        <v>138</v>
      </c>
      <c r="D591" s="8" t="s">
        <v>138</v>
      </c>
      <c r="E591" s="8" t="s">
        <v>138</v>
      </c>
      <c r="F591" s="8" t="s">
        <v>138</v>
      </c>
      <c r="G591" s="8" t="s">
        <v>138</v>
      </c>
      <c r="H591" s="8" t="s">
        <v>138</v>
      </c>
      <c r="I591" s="8" t="s">
        <v>138</v>
      </c>
      <c r="J591" s="8" t="s">
        <v>138</v>
      </c>
      <c r="K591" s="8" t="s">
        <v>138</v>
      </c>
    </row>
    <row r="592" spans="1:11">
      <c r="A592" s="8" t="s">
        <v>138</v>
      </c>
      <c r="B592" s="8" t="s">
        <v>138</v>
      </c>
      <c r="C592" s="8" t="s">
        <v>138</v>
      </c>
      <c r="D592" s="8" t="s">
        <v>138</v>
      </c>
      <c r="E592" s="8" t="s">
        <v>138</v>
      </c>
      <c r="F592" s="8" t="s">
        <v>138</v>
      </c>
      <c r="G592" s="8" t="s">
        <v>138</v>
      </c>
      <c r="H592" s="8" t="s">
        <v>138</v>
      </c>
      <c r="I592" s="8" t="s">
        <v>138</v>
      </c>
      <c r="J592" s="8" t="s">
        <v>138</v>
      </c>
      <c r="K592" s="8" t="s">
        <v>138</v>
      </c>
    </row>
    <row r="593" spans="1:11">
      <c r="A593" s="8" t="s">
        <v>138</v>
      </c>
      <c r="B593" s="8" t="s">
        <v>138</v>
      </c>
      <c r="C593" s="8" t="s">
        <v>138</v>
      </c>
      <c r="D593" s="8" t="s">
        <v>138</v>
      </c>
      <c r="E593" s="8" t="s">
        <v>138</v>
      </c>
      <c r="F593" s="8" t="s">
        <v>138</v>
      </c>
      <c r="G593" s="8" t="s">
        <v>138</v>
      </c>
      <c r="H593" s="8" t="s">
        <v>138</v>
      </c>
      <c r="I593" s="8" t="s">
        <v>138</v>
      </c>
      <c r="J593" s="8" t="s">
        <v>138</v>
      </c>
      <c r="K593" s="8" t="s">
        <v>138</v>
      </c>
    </row>
    <row r="594" spans="1:11">
      <c r="A594" s="8" t="s">
        <v>138</v>
      </c>
      <c r="B594" s="8" t="s">
        <v>138</v>
      </c>
      <c r="C594" s="8" t="s">
        <v>138</v>
      </c>
      <c r="D594" s="8" t="s">
        <v>138</v>
      </c>
      <c r="E594" s="8" t="s">
        <v>138</v>
      </c>
      <c r="F594" s="8" t="s">
        <v>138</v>
      </c>
      <c r="G594" s="8" t="s">
        <v>138</v>
      </c>
      <c r="H594" s="8" t="s">
        <v>138</v>
      </c>
      <c r="I594" s="8" t="s">
        <v>138</v>
      </c>
      <c r="J594" s="8" t="s">
        <v>138</v>
      </c>
      <c r="K594" s="8" t="s">
        <v>138</v>
      </c>
    </row>
    <row r="595" spans="1:11">
      <c r="A595" s="8" t="s">
        <v>138</v>
      </c>
      <c r="B595" s="8" t="s">
        <v>138</v>
      </c>
      <c r="C595" s="8" t="s">
        <v>138</v>
      </c>
      <c r="D595" s="8" t="s">
        <v>138</v>
      </c>
      <c r="E595" s="8" t="s">
        <v>138</v>
      </c>
      <c r="F595" s="8" t="s">
        <v>138</v>
      </c>
      <c r="G595" s="8" t="s">
        <v>138</v>
      </c>
      <c r="H595" s="8" t="s">
        <v>138</v>
      </c>
      <c r="I595" s="8" t="s">
        <v>138</v>
      </c>
      <c r="J595" s="8" t="s">
        <v>138</v>
      </c>
      <c r="K595" s="8" t="s">
        <v>138</v>
      </c>
    </row>
    <row r="596" spans="1:11">
      <c r="A596" s="8" t="s">
        <v>138</v>
      </c>
      <c r="B596" s="8" t="s">
        <v>138</v>
      </c>
      <c r="C596" s="8" t="s">
        <v>138</v>
      </c>
      <c r="D596" s="8" t="s">
        <v>138</v>
      </c>
      <c r="E596" s="8" t="s">
        <v>138</v>
      </c>
      <c r="F596" s="8" t="s">
        <v>138</v>
      </c>
      <c r="G596" s="8" t="s">
        <v>138</v>
      </c>
      <c r="H596" s="8" t="s">
        <v>138</v>
      </c>
      <c r="I596" s="8" t="s">
        <v>138</v>
      </c>
      <c r="J596" s="8" t="s">
        <v>138</v>
      </c>
      <c r="K596" s="8" t="s">
        <v>138</v>
      </c>
    </row>
    <row r="597" spans="1:11">
      <c r="A597" s="8" t="s">
        <v>138</v>
      </c>
      <c r="B597" s="8" t="s">
        <v>138</v>
      </c>
      <c r="C597" s="8" t="s">
        <v>138</v>
      </c>
      <c r="D597" s="8" t="s">
        <v>138</v>
      </c>
      <c r="E597" s="8" t="s">
        <v>138</v>
      </c>
      <c r="F597" s="8" t="s">
        <v>138</v>
      </c>
      <c r="G597" s="8" t="s">
        <v>138</v>
      </c>
      <c r="H597" s="8" t="s">
        <v>138</v>
      </c>
      <c r="I597" s="8" t="s">
        <v>138</v>
      </c>
      <c r="J597" s="8" t="s">
        <v>138</v>
      </c>
      <c r="K597" s="8" t="s">
        <v>138</v>
      </c>
    </row>
    <row r="598" spans="1:11">
      <c r="A598" s="8" t="s">
        <v>138</v>
      </c>
      <c r="B598" s="8" t="s">
        <v>138</v>
      </c>
      <c r="C598" s="8" t="s">
        <v>138</v>
      </c>
      <c r="D598" s="8" t="s">
        <v>138</v>
      </c>
      <c r="E598" s="8" t="s">
        <v>138</v>
      </c>
      <c r="F598" s="8" t="s">
        <v>138</v>
      </c>
      <c r="G598" s="8" t="s">
        <v>138</v>
      </c>
      <c r="H598" s="8" t="s">
        <v>138</v>
      </c>
      <c r="I598" s="8" t="s">
        <v>138</v>
      </c>
      <c r="J598" s="8" t="s">
        <v>138</v>
      </c>
      <c r="K598" s="8" t="s">
        <v>138</v>
      </c>
    </row>
    <row r="599" spans="1:11">
      <c r="A599" s="8" t="s">
        <v>138</v>
      </c>
      <c r="B599" s="8" t="s">
        <v>138</v>
      </c>
      <c r="C599" s="8" t="s">
        <v>138</v>
      </c>
      <c r="D599" s="8" t="s">
        <v>138</v>
      </c>
      <c r="E599" s="8" t="s">
        <v>138</v>
      </c>
      <c r="F599" s="8" t="s">
        <v>138</v>
      </c>
      <c r="G599" s="8" t="s">
        <v>138</v>
      </c>
      <c r="H599" s="8" t="s">
        <v>138</v>
      </c>
      <c r="I599" s="8" t="s">
        <v>138</v>
      </c>
      <c r="J599" s="8" t="s">
        <v>138</v>
      </c>
      <c r="K599" s="8" t="s">
        <v>138</v>
      </c>
    </row>
    <row r="600" spans="1:11">
      <c r="A600" s="8" t="s">
        <v>138</v>
      </c>
      <c r="B600" s="8" t="s">
        <v>138</v>
      </c>
      <c r="C600" s="8" t="s">
        <v>138</v>
      </c>
      <c r="D600" s="8" t="s">
        <v>138</v>
      </c>
      <c r="E600" s="8" t="s">
        <v>138</v>
      </c>
      <c r="F600" s="8" t="s">
        <v>138</v>
      </c>
      <c r="G600" s="8" t="s">
        <v>138</v>
      </c>
      <c r="H600" s="8" t="s">
        <v>138</v>
      </c>
      <c r="I600" s="8" t="s">
        <v>138</v>
      </c>
      <c r="J600" s="8" t="s">
        <v>138</v>
      </c>
      <c r="K600" s="8" t="s">
        <v>138</v>
      </c>
    </row>
    <row r="601" spans="1:11">
      <c r="A601" s="8" t="s">
        <v>138</v>
      </c>
      <c r="B601" s="8" t="s">
        <v>138</v>
      </c>
      <c r="C601" s="8" t="s">
        <v>138</v>
      </c>
      <c r="D601" s="8" t="s">
        <v>138</v>
      </c>
      <c r="E601" s="8" t="s">
        <v>138</v>
      </c>
      <c r="F601" s="8" t="s">
        <v>138</v>
      </c>
      <c r="G601" s="8" t="s">
        <v>138</v>
      </c>
      <c r="H601" s="8" t="s">
        <v>138</v>
      </c>
      <c r="I601" s="8" t="s">
        <v>138</v>
      </c>
      <c r="J601" s="8" t="s">
        <v>138</v>
      </c>
      <c r="K601" s="8" t="s">
        <v>138</v>
      </c>
    </row>
    <row r="602" spans="1:11">
      <c r="A602" s="8" t="s">
        <v>138</v>
      </c>
      <c r="B602" s="8" t="s">
        <v>138</v>
      </c>
      <c r="C602" s="8" t="s">
        <v>138</v>
      </c>
      <c r="D602" s="8" t="s">
        <v>138</v>
      </c>
      <c r="E602" s="8" t="s">
        <v>138</v>
      </c>
      <c r="F602" s="8" t="s">
        <v>138</v>
      </c>
      <c r="G602" s="8" t="s">
        <v>138</v>
      </c>
      <c r="H602" s="8" t="s">
        <v>138</v>
      </c>
      <c r="I602" s="8" t="s">
        <v>138</v>
      </c>
      <c r="J602" s="8" t="s">
        <v>138</v>
      </c>
      <c r="K602" s="8" t="s">
        <v>138</v>
      </c>
    </row>
    <row r="603" spans="1:11">
      <c r="A603" s="8" t="s">
        <v>138</v>
      </c>
      <c r="B603" s="8" t="s">
        <v>138</v>
      </c>
      <c r="C603" s="8" t="s">
        <v>138</v>
      </c>
      <c r="D603" s="8" t="s">
        <v>138</v>
      </c>
      <c r="E603" s="8" t="s">
        <v>138</v>
      </c>
      <c r="F603" s="8" t="s">
        <v>138</v>
      </c>
      <c r="G603" s="8" t="s">
        <v>138</v>
      </c>
      <c r="H603" s="8" t="s">
        <v>138</v>
      </c>
      <c r="I603" s="8" t="s">
        <v>138</v>
      </c>
      <c r="J603" s="8" t="s">
        <v>138</v>
      </c>
      <c r="K603" s="8" t="s">
        <v>138</v>
      </c>
    </row>
    <row r="604" spans="1:11">
      <c r="A604" s="8" t="s">
        <v>138</v>
      </c>
      <c r="B604" s="8" t="s">
        <v>138</v>
      </c>
      <c r="C604" s="8" t="s">
        <v>138</v>
      </c>
      <c r="D604" s="8" t="s">
        <v>138</v>
      </c>
      <c r="E604" s="8" t="s">
        <v>138</v>
      </c>
      <c r="F604" s="8" t="s">
        <v>138</v>
      </c>
      <c r="G604" s="8" t="s">
        <v>138</v>
      </c>
      <c r="H604" s="8" t="s">
        <v>138</v>
      </c>
      <c r="I604" s="8" t="s">
        <v>138</v>
      </c>
      <c r="J604" s="8" t="s">
        <v>138</v>
      </c>
      <c r="K604" s="8" t="s">
        <v>138</v>
      </c>
    </row>
    <row r="605" spans="1:11">
      <c r="A605" s="8" t="s">
        <v>138</v>
      </c>
      <c r="B605" s="8" t="s">
        <v>138</v>
      </c>
      <c r="C605" s="8" t="s">
        <v>138</v>
      </c>
      <c r="D605" s="8" t="s">
        <v>138</v>
      </c>
      <c r="E605" s="8" t="s">
        <v>138</v>
      </c>
      <c r="F605" s="8" t="s">
        <v>138</v>
      </c>
      <c r="G605" s="8" t="s">
        <v>138</v>
      </c>
      <c r="H605" s="8" t="s">
        <v>138</v>
      </c>
      <c r="I605" s="8" t="s">
        <v>138</v>
      </c>
      <c r="J605" s="8" t="s">
        <v>138</v>
      </c>
      <c r="K605" s="8" t="s">
        <v>138</v>
      </c>
    </row>
    <row r="606" spans="1:11">
      <c r="A606" s="8" t="s">
        <v>138</v>
      </c>
      <c r="B606" s="8" t="s">
        <v>138</v>
      </c>
      <c r="C606" s="8" t="s">
        <v>138</v>
      </c>
      <c r="D606" s="8" t="s">
        <v>138</v>
      </c>
      <c r="E606" s="8" t="s">
        <v>138</v>
      </c>
      <c r="F606" s="8" t="s">
        <v>138</v>
      </c>
      <c r="G606" s="8" t="s">
        <v>138</v>
      </c>
      <c r="H606" s="8" t="s">
        <v>138</v>
      </c>
      <c r="I606" s="8" t="s">
        <v>138</v>
      </c>
      <c r="J606" s="8" t="s">
        <v>138</v>
      </c>
      <c r="K606" s="8" t="s">
        <v>138</v>
      </c>
    </row>
    <row r="607" spans="1:11">
      <c r="A607" s="8" t="s">
        <v>138</v>
      </c>
      <c r="B607" s="8" t="s">
        <v>138</v>
      </c>
      <c r="C607" s="8" t="s">
        <v>138</v>
      </c>
      <c r="D607" s="8" t="s">
        <v>138</v>
      </c>
      <c r="E607" s="8" t="s">
        <v>138</v>
      </c>
      <c r="F607" s="8" t="s">
        <v>138</v>
      </c>
      <c r="G607" s="8" t="s">
        <v>138</v>
      </c>
      <c r="H607" s="8" t="s">
        <v>138</v>
      </c>
      <c r="I607" s="8" t="s">
        <v>138</v>
      </c>
      <c r="J607" s="8" t="s">
        <v>138</v>
      </c>
      <c r="K607" s="8" t="s">
        <v>138</v>
      </c>
    </row>
    <row r="608" spans="1:11">
      <c r="A608" s="8" t="s">
        <v>138</v>
      </c>
      <c r="B608" s="8" t="s">
        <v>138</v>
      </c>
      <c r="C608" s="8" t="s">
        <v>138</v>
      </c>
      <c r="D608" s="8" t="s">
        <v>138</v>
      </c>
      <c r="E608" s="8" t="s">
        <v>138</v>
      </c>
      <c r="F608" s="8" t="s">
        <v>138</v>
      </c>
      <c r="G608" s="8" t="s">
        <v>138</v>
      </c>
      <c r="H608" s="8" t="s">
        <v>138</v>
      </c>
      <c r="I608" s="8" t="s">
        <v>138</v>
      </c>
      <c r="J608" s="8" t="s">
        <v>138</v>
      </c>
      <c r="K608" s="8" t="s">
        <v>138</v>
      </c>
    </row>
    <row r="609" spans="1:11">
      <c r="A609" s="8" t="s">
        <v>138</v>
      </c>
      <c r="B609" s="8" t="s">
        <v>138</v>
      </c>
      <c r="C609" s="8" t="s">
        <v>138</v>
      </c>
      <c r="D609" s="8" t="s">
        <v>138</v>
      </c>
      <c r="E609" s="8" t="s">
        <v>138</v>
      </c>
      <c r="F609" s="8" t="s">
        <v>138</v>
      </c>
      <c r="G609" s="8" t="s">
        <v>138</v>
      </c>
      <c r="H609" s="8" t="s">
        <v>138</v>
      </c>
      <c r="I609" s="8" t="s">
        <v>138</v>
      </c>
      <c r="J609" s="8" t="s">
        <v>138</v>
      </c>
      <c r="K609" s="8" t="s">
        <v>138</v>
      </c>
    </row>
    <row r="610" spans="1:11">
      <c r="A610" s="8" t="s">
        <v>138</v>
      </c>
      <c r="B610" s="8" t="s">
        <v>138</v>
      </c>
      <c r="C610" s="8" t="s">
        <v>138</v>
      </c>
      <c r="D610" s="8" t="s">
        <v>138</v>
      </c>
      <c r="E610" s="8" t="s">
        <v>138</v>
      </c>
      <c r="F610" s="8" t="s">
        <v>138</v>
      </c>
      <c r="G610" s="8" t="s">
        <v>138</v>
      </c>
      <c r="H610" s="8" t="s">
        <v>138</v>
      </c>
      <c r="I610" s="8" t="s">
        <v>138</v>
      </c>
      <c r="J610" s="8" t="s">
        <v>138</v>
      </c>
      <c r="K610" s="8" t="s">
        <v>138</v>
      </c>
    </row>
    <row r="611" spans="1:11">
      <c r="A611" s="8" t="s">
        <v>138</v>
      </c>
      <c r="B611" s="8" t="s">
        <v>138</v>
      </c>
      <c r="C611" s="8" t="s">
        <v>138</v>
      </c>
      <c r="D611" s="8" t="s">
        <v>138</v>
      </c>
      <c r="E611" s="8" t="s">
        <v>138</v>
      </c>
      <c r="F611" s="8" t="s">
        <v>138</v>
      </c>
      <c r="G611" s="8" t="s">
        <v>138</v>
      </c>
      <c r="H611" s="8" t="s">
        <v>138</v>
      </c>
      <c r="I611" s="8" t="s">
        <v>138</v>
      </c>
      <c r="J611" s="8" t="s">
        <v>138</v>
      </c>
      <c r="K611" s="8" t="s">
        <v>138</v>
      </c>
    </row>
    <row r="612" spans="1:11">
      <c r="A612" s="8" t="s">
        <v>138</v>
      </c>
      <c r="B612" s="8" t="s">
        <v>138</v>
      </c>
      <c r="C612" s="8" t="s">
        <v>138</v>
      </c>
      <c r="D612" s="8" t="s">
        <v>138</v>
      </c>
      <c r="E612" s="8" t="s">
        <v>138</v>
      </c>
      <c r="F612" s="8" t="s">
        <v>138</v>
      </c>
      <c r="G612" s="8" t="s">
        <v>138</v>
      </c>
      <c r="H612" s="8" t="s">
        <v>138</v>
      </c>
      <c r="I612" s="8" t="s">
        <v>138</v>
      </c>
      <c r="J612" s="8" t="s">
        <v>138</v>
      </c>
      <c r="K612" s="8" t="s">
        <v>138</v>
      </c>
    </row>
    <row r="613" spans="1:11">
      <c r="A613" s="8" t="s">
        <v>138</v>
      </c>
      <c r="B613" s="8" t="s">
        <v>138</v>
      </c>
      <c r="C613" s="8" t="s">
        <v>138</v>
      </c>
      <c r="D613" s="8" t="s">
        <v>138</v>
      </c>
      <c r="E613" s="8" t="s">
        <v>138</v>
      </c>
      <c r="F613" s="8" t="s">
        <v>138</v>
      </c>
      <c r="G613" s="8" t="s">
        <v>138</v>
      </c>
      <c r="H613" s="8" t="s">
        <v>138</v>
      </c>
      <c r="I613" s="8" t="s">
        <v>138</v>
      </c>
      <c r="J613" s="8" t="s">
        <v>138</v>
      </c>
      <c r="K613" s="8" t="s">
        <v>138</v>
      </c>
    </row>
    <row r="614" spans="1:11">
      <c r="A614" s="8" t="s">
        <v>138</v>
      </c>
      <c r="B614" s="8" t="s">
        <v>138</v>
      </c>
      <c r="C614" s="8" t="s">
        <v>138</v>
      </c>
      <c r="D614" s="8" t="s">
        <v>138</v>
      </c>
      <c r="E614" s="8" t="s">
        <v>138</v>
      </c>
      <c r="F614" s="8" t="s">
        <v>138</v>
      </c>
      <c r="G614" s="8" t="s">
        <v>138</v>
      </c>
      <c r="H614" s="8" t="s">
        <v>138</v>
      </c>
      <c r="I614" s="8" t="s">
        <v>138</v>
      </c>
      <c r="J614" s="8" t="s">
        <v>138</v>
      </c>
      <c r="K614" s="8" t="s">
        <v>138</v>
      </c>
    </row>
    <row r="615" spans="1:11">
      <c r="A615" s="8" t="s">
        <v>138</v>
      </c>
      <c r="B615" s="8" t="s">
        <v>138</v>
      </c>
      <c r="C615" s="8" t="s">
        <v>138</v>
      </c>
      <c r="D615" s="8" t="s">
        <v>138</v>
      </c>
      <c r="E615" s="8" t="s">
        <v>138</v>
      </c>
      <c r="F615" s="8" t="s">
        <v>138</v>
      </c>
      <c r="G615" s="8" t="s">
        <v>138</v>
      </c>
      <c r="H615" s="8" t="s">
        <v>138</v>
      </c>
      <c r="I615" s="8" t="s">
        <v>138</v>
      </c>
      <c r="J615" s="8" t="s">
        <v>138</v>
      </c>
      <c r="K615" s="8" t="s">
        <v>138</v>
      </c>
    </row>
    <row r="616" spans="1:11">
      <c r="A616" s="8" t="s">
        <v>138</v>
      </c>
      <c r="B616" s="8" t="s">
        <v>138</v>
      </c>
      <c r="C616" s="8" t="s">
        <v>138</v>
      </c>
      <c r="D616" s="8" t="s">
        <v>138</v>
      </c>
      <c r="E616" s="8" t="s">
        <v>138</v>
      </c>
      <c r="F616" s="8" t="s">
        <v>138</v>
      </c>
      <c r="G616" s="8" t="s">
        <v>138</v>
      </c>
      <c r="H616" s="8" t="s">
        <v>138</v>
      </c>
      <c r="I616" s="8" t="s">
        <v>138</v>
      </c>
      <c r="J616" s="8" t="s">
        <v>138</v>
      </c>
      <c r="K616" s="8" t="s">
        <v>138</v>
      </c>
    </row>
    <row r="617" spans="1:11">
      <c r="A617" s="8" t="s">
        <v>138</v>
      </c>
      <c r="B617" s="8" t="s">
        <v>138</v>
      </c>
      <c r="C617" s="8" t="s">
        <v>138</v>
      </c>
      <c r="D617" s="8" t="s">
        <v>138</v>
      </c>
      <c r="E617" s="8" t="s">
        <v>138</v>
      </c>
      <c r="F617" s="8" t="s">
        <v>138</v>
      </c>
      <c r="G617" s="8" t="s">
        <v>138</v>
      </c>
      <c r="H617" s="8" t="s">
        <v>138</v>
      </c>
      <c r="I617" s="8" t="s">
        <v>138</v>
      </c>
      <c r="J617" s="8" t="s">
        <v>138</v>
      </c>
      <c r="K617" s="8" t="s">
        <v>138</v>
      </c>
    </row>
    <row r="618" spans="1:11">
      <c r="A618" s="8" t="s">
        <v>138</v>
      </c>
      <c r="B618" s="8" t="s">
        <v>138</v>
      </c>
      <c r="C618" s="8" t="s">
        <v>138</v>
      </c>
      <c r="D618" s="8" t="s">
        <v>138</v>
      </c>
      <c r="E618" s="8" t="s">
        <v>138</v>
      </c>
      <c r="F618" s="8" t="s">
        <v>138</v>
      </c>
      <c r="G618" s="8" t="s">
        <v>138</v>
      </c>
      <c r="H618" s="8" t="s">
        <v>138</v>
      </c>
      <c r="I618" s="8" t="s">
        <v>138</v>
      </c>
      <c r="J618" s="8" t="s">
        <v>138</v>
      </c>
      <c r="K618" s="8" t="s">
        <v>138</v>
      </c>
    </row>
    <row r="619" spans="1:11">
      <c r="A619" s="8" t="s">
        <v>138</v>
      </c>
      <c r="B619" s="8" t="s">
        <v>138</v>
      </c>
      <c r="C619" s="8" t="s">
        <v>138</v>
      </c>
      <c r="D619" s="8" t="s">
        <v>138</v>
      </c>
      <c r="E619" s="8" t="s">
        <v>138</v>
      </c>
      <c r="F619" s="8" t="s">
        <v>138</v>
      </c>
      <c r="G619" s="8" t="s">
        <v>138</v>
      </c>
      <c r="H619" s="8" t="s">
        <v>138</v>
      </c>
      <c r="I619" s="8" t="s">
        <v>138</v>
      </c>
      <c r="J619" s="8" t="s">
        <v>138</v>
      </c>
      <c r="K619" s="8" t="s">
        <v>138</v>
      </c>
    </row>
    <row r="620" spans="1:11">
      <c r="A620" s="8" t="s">
        <v>138</v>
      </c>
      <c r="B620" s="8" t="s">
        <v>138</v>
      </c>
      <c r="C620" s="8" t="s">
        <v>138</v>
      </c>
      <c r="D620" s="8" t="s">
        <v>138</v>
      </c>
      <c r="E620" s="8" t="s">
        <v>138</v>
      </c>
      <c r="F620" s="8" t="s">
        <v>138</v>
      </c>
      <c r="G620" s="8" t="s">
        <v>138</v>
      </c>
      <c r="H620" s="8" t="s">
        <v>138</v>
      </c>
      <c r="I620" s="8" t="s">
        <v>138</v>
      </c>
      <c r="J620" s="8" t="s">
        <v>138</v>
      </c>
      <c r="K620" s="8" t="s">
        <v>138</v>
      </c>
    </row>
    <row r="621" spans="1:11">
      <c r="A621" s="8" t="s">
        <v>138</v>
      </c>
      <c r="B621" s="8" t="s">
        <v>138</v>
      </c>
      <c r="C621" s="8" t="s">
        <v>138</v>
      </c>
      <c r="D621" s="8" t="s">
        <v>138</v>
      </c>
      <c r="E621" s="8" t="s">
        <v>138</v>
      </c>
      <c r="F621" s="8" t="s">
        <v>138</v>
      </c>
      <c r="G621" s="8" t="s">
        <v>138</v>
      </c>
      <c r="H621" s="8" t="s">
        <v>138</v>
      </c>
      <c r="I621" s="8" t="s">
        <v>138</v>
      </c>
      <c r="J621" s="8" t="s">
        <v>138</v>
      </c>
      <c r="K621" s="8" t="s">
        <v>138</v>
      </c>
    </row>
    <row r="622" spans="1:11">
      <c r="A622" s="8" t="s">
        <v>138</v>
      </c>
      <c r="B622" s="8" t="s">
        <v>138</v>
      </c>
      <c r="C622" s="8" t="s">
        <v>138</v>
      </c>
      <c r="D622" s="8" t="s">
        <v>138</v>
      </c>
      <c r="E622" s="8" t="s">
        <v>138</v>
      </c>
      <c r="F622" s="8" t="s">
        <v>138</v>
      </c>
      <c r="G622" s="8" t="s">
        <v>138</v>
      </c>
      <c r="H622" s="8" t="s">
        <v>138</v>
      </c>
      <c r="I622" s="8" t="s">
        <v>138</v>
      </c>
      <c r="J622" s="8" t="s">
        <v>138</v>
      </c>
      <c r="K622" s="8" t="s">
        <v>138</v>
      </c>
    </row>
    <row r="623" spans="1:11">
      <c r="A623" s="8" t="s">
        <v>138</v>
      </c>
      <c r="B623" s="8" t="s">
        <v>138</v>
      </c>
      <c r="C623" s="8" t="s">
        <v>138</v>
      </c>
      <c r="D623" s="8" t="s">
        <v>138</v>
      </c>
      <c r="E623" s="8" t="s">
        <v>138</v>
      </c>
      <c r="F623" s="8" t="s">
        <v>138</v>
      </c>
      <c r="G623" s="8" t="s">
        <v>138</v>
      </c>
      <c r="H623" s="8" t="s">
        <v>138</v>
      </c>
      <c r="I623" s="8" t="s">
        <v>138</v>
      </c>
      <c r="J623" s="8" t="s">
        <v>138</v>
      </c>
      <c r="K623" s="8" t="s">
        <v>138</v>
      </c>
    </row>
    <row r="624" spans="1:11">
      <c r="A624" s="8" t="s">
        <v>138</v>
      </c>
      <c r="B624" s="8" t="s">
        <v>138</v>
      </c>
      <c r="C624" s="8" t="s">
        <v>138</v>
      </c>
      <c r="D624" s="8" t="s">
        <v>138</v>
      </c>
      <c r="E624" s="8" t="s">
        <v>138</v>
      </c>
      <c r="F624" s="8" t="s">
        <v>138</v>
      </c>
      <c r="G624" s="8" t="s">
        <v>138</v>
      </c>
      <c r="H624" s="8" t="s">
        <v>138</v>
      </c>
      <c r="I624" s="8" t="s">
        <v>138</v>
      </c>
      <c r="J624" s="8" t="s">
        <v>138</v>
      </c>
      <c r="K624" s="8" t="s">
        <v>138</v>
      </c>
    </row>
    <row r="625" spans="1:11">
      <c r="A625" s="8" t="s">
        <v>138</v>
      </c>
      <c r="B625" s="8" t="s">
        <v>138</v>
      </c>
      <c r="C625" s="8" t="s">
        <v>138</v>
      </c>
      <c r="D625" s="8" t="s">
        <v>138</v>
      </c>
      <c r="E625" s="8" t="s">
        <v>138</v>
      </c>
      <c r="F625" s="8" t="s">
        <v>138</v>
      </c>
      <c r="G625" s="8" t="s">
        <v>138</v>
      </c>
      <c r="H625" s="8" t="s">
        <v>138</v>
      </c>
      <c r="I625" s="8" t="s">
        <v>138</v>
      </c>
      <c r="J625" s="8" t="s">
        <v>138</v>
      </c>
      <c r="K625" s="8" t="s">
        <v>138</v>
      </c>
    </row>
    <row r="626" spans="1:11">
      <c r="A626" s="8" t="s">
        <v>138</v>
      </c>
      <c r="B626" s="8" t="s">
        <v>138</v>
      </c>
      <c r="C626" s="8" t="s">
        <v>138</v>
      </c>
      <c r="D626" s="8" t="s">
        <v>138</v>
      </c>
      <c r="E626" s="8" t="s">
        <v>138</v>
      </c>
      <c r="F626" s="8" t="s">
        <v>138</v>
      </c>
      <c r="G626" s="8" t="s">
        <v>138</v>
      </c>
      <c r="H626" s="8" t="s">
        <v>138</v>
      </c>
      <c r="I626" s="8" t="s">
        <v>138</v>
      </c>
      <c r="J626" s="8" t="s">
        <v>138</v>
      </c>
      <c r="K626" s="8" t="s">
        <v>138</v>
      </c>
    </row>
    <row r="627" spans="1:11">
      <c r="A627" s="8" t="s">
        <v>138</v>
      </c>
      <c r="B627" s="8" t="s">
        <v>138</v>
      </c>
      <c r="C627" s="8" t="s">
        <v>138</v>
      </c>
      <c r="D627" s="8" t="s">
        <v>138</v>
      </c>
      <c r="E627" s="8" t="s">
        <v>138</v>
      </c>
      <c r="F627" s="8" t="s">
        <v>138</v>
      </c>
      <c r="G627" s="8" t="s">
        <v>138</v>
      </c>
      <c r="H627" s="8" t="s">
        <v>138</v>
      </c>
      <c r="I627" s="8" t="s">
        <v>138</v>
      </c>
      <c r="J627" s="8" t="s">
        <v>138</v>
      </c>
      <c r="K627" s="8" t="s">
        <v>138</v>
      </c>
    </row>
    <row r="628" spans="1:11">
      <c r="A628" s="8" t="s">
        <v>138</v>
      </c>
      <c r="B628" s="8" t="s">
        <v>138</v>
      </c>
      <c r="C628" s="8" t="s">
        <v>138</v>
      </c>
      <c r="D628" s="8" t="s">
        <v>138</v>
      </c>
      <c r="E628" s="8" t="s">
        <v>138</v>
      </c>
      <c r="F628" s="8" t="s">
        <v>138</v>
      </c>
      <c r="G628" s="8" t="s">
        <v>138</v>
      </c>
      <c r="H628" s="8" t="s">
        <v>138</v>
      </c>
      <c r="I628" s="8" t="s">
        <v>138</v>
      </c>
      <c r="J628" s="8" t="s">
        <v>138</v>
      </c>
      <c r="K628" s="8" t="s">
        <v>138</v>
      </c>
    </row>
    <row r="629" spans="1:11">
      <c r="A629" s="8" t="s">
        <v>138</v>
      </c>
      <c r="B629" s="8" t="s">
        <v>138</v>
      </c>
      <c r="C629" s="8" t="s">
        <v>138</v>
      </c>
      <c r="D629" s="8" t="s">
        <v>138</v>
      </c>
      <c r="E629" s="8" t="s">
        <v>138</v>
      </c>
      <c r="F629" s="8" t="s">
        <v>138</v>
      </c>
      <c r="G629" s="8" t="s">
        <v>138</v>
      </c>
      <c r="H629" s="8" t="s">
        <v>138</v>
      </c>
      <c r="I629" s="8" t="s">
        <v>138</v>
      </c>
      <c r="J629" s="8" t="s">
        <v>138</v>
      </c>
      <c r="K629" s="8" t="s">
        <v>138</v>
      </c>
    </row>
    <row r="630" spans="1:11">
      <c r="A630" s="8" t="s">
        <v>138</v>
      </c>
      <c r="B630" s="8" t="s">
        <v>138</v>
      </c>
      <c r="C630" s="8" t="s">
        <v>138</v>
      </c>
      <c r="D630" s="8" t="s">
        <v>138</v>
      </c>
      <c r="E630" s="8" t="s">
        <v>138</v>
      </c>
      <c r="F630" s="8" t="s">
        <v>138</v>
      </c>
      <c r="G630" s="8" t="s">
        <v>138</v>
      </c>
      <c r="H630" s="8" t="s">
        <v>138</v>
      </c>
      <c r="I630" s="8" t="s">
        <v>138</v>
      </c>
      <c r="J630" s="8" t="s">
        <v>138</v>
      </c>
      <c r="K630" s="8" t="s">
        <v>138</v>
      </c>
    </row>
    <row r="631" spans="1:11">
      <c r="A631" s="8" t="s">
        <v>138</v>
      </c>
      <c r="B631" s="8" t="s">
        <v>138</v>
      </c>
      <c r="C631" s="8" t="s">
        <v>138</v>
      </c>
      <c r="D631" s="8" t="s">
        <v>138</v>
      </c>
      <c r="E631" s="8" t="s">
        <v>138</v>
      </c>
      <c r="F631" s="8" t="s">
        <v>138</v>
      </c>
      <c r="G631" s="8" t="s">
        <v>138</v>
      </c>
      <c r="H631" s="8" t="s">
        <v>138</v>
      </c>
      <c r="I631" s="8" t="s">
        <v>138</v>
      </c>
      <c r="J631" s="8" t="s">
        <v>138</v>
      </c>
      <c r="K631" s="8" t="s">
        <v>138</v>
      </c>
    </row>
    <row r="632" spans="1:11">
      <c r="A632" s="8" t="s">
        <v>138</v>
      </c>
      <c r="B632" s="8" t="s">
        <v>138</v>
      </c>
      <c r="C632" s="8" t="s">
        <v>138</v>
      </c>
      <c r="D632" s="8" t="s">
        <v>138</v>
      </c>
      <c r="E632" s="8" t="s">
        <v>138</v>
      </c>
      <c r="F632" s="8" t="s">
        <v>138</v>
      </c>
      <c r="G632" s="8" t="s">
        <v>138</v>
      </c>
      <c r="H632" s="8" t="s">
        <v>138</v>
      </c>
      <c r="I632" s="8" t="s">
        <v>138</v>
      </c>
      <c r="J632" s="8" t="s">
        <v>138</v>
      </c>
      <c r="K632" s="8" t="s">
        <v>138</v>
      </c>
    </row>
    <row r="633" spans="1:11">
      <c r="A633" s="8" t="s">
        <v>138</v>
      </c>
      <c r="B633" s="8" t="s">
        <v>138</v>
      </c>
      <c r="C633" s="8" t="s">
        <v>138</v>
      </c>
      <c r="D633" s="8" t="s">
        <v>138</v>
      </c>
      <c r="E633" s="8" t="s">
        <v>138</v>
      </c>
      <c r="F633" s="8" t="s">
        <v>138</v>
      </c>
      <c r="G633" s="8" t="s">
        <v>138</v>
      </c>
      <c r="H633" s="8" t="s">
        <v>138</v>
      </c>
      <c r="I633" s="8" t="s">
        <v>138</v>
      </c>
      <c r="J633" s="8" t="s">
        <v>138</v>
      </c>
      <c r="K633" s="8" t="s">
        <v>138</v>
      </c>
    </row>
    <row r="634" spans="1:11">
      <c r="A634" s="8" t="s">
        <v>138</v>
      </c>
      <c r="B634" s="8" t="s">
        <v>138</v>
      </c>
      <c r="C634" s="8" t="s">
        <v>138</v>
      </c>
      <c r="D634" s="8" t="s">
        <v>138</v>
      </c>
      <c r="E634" s="8" t="s">
        <v>138</v>
      </c>
      <c r="F634" s="8" t="s">
        <v>138</v>
      </c>
      <c r="G634" s="8" t="s">
        <v>138</v>
      </c>
      <c r="H634" s="8" t="s">
        <v>138</v>
      </c>
      <c r="I634" s="8" t="s">
        <v>138</v>
      </c>
      <c r="J634" s="8" t="s">
        <v>138</v>
      </c>
      <c r="K634" s="8" t="s">
        <v>138</v>
      </c>
    </row>
    <row r="635" spans="1:11">
      <c r="A635" s="8" t="s">
        <v>138</v>
      </c>
      <c r="B635" s="8" t="s">
        <v>138</v>
      </c>
      <c r="C635" s="8" t="s">
        <v>138</v>
      </c>
      <c r="D635" s="8" t="s">
        <v>138</v>
      </c>
      <c r="E635" s="8" t="s">
        <v>138</v>
      </c>
      <c r="F635" s="8" t="s">
        <v>138</v>
      </c>
      <c r="G635" s="8" t="s">
        <v>138</v>
      </c>
      <c r="H635" s="8" t="s">
        <v>138</v>
      </c>
      <c r="I635" s="8" t="s">
        <v>138</v>
      </c>
      <c r="J635" s="8" t="s">
        <v>138</v>
      </c>
      <c r="K635" s="8" t="s">
        <v>138</v>
      </c>
    </row>
    <row r="636" spans="1:11">
      <c r="A636" s="8" t="s">
        <v>138</v>
      </c>
      <c r="B636" s="8" t="s">
        <v>138</v>
      </c>
      <c r="C636" s="8" t="s">
        <v>138</v>
      </c>
      <c r="D636" s="8" t="s">
        <v>138</v>
      </c>
      <c r="E636" s="8" t="s">
        <v>138</v>
      </c>
      <c r="F636" s="8" t="s">
        <v>138</v>
      </c>
      <c r="G636" s="8" t="s">
        <v>138</v>
      </c>
      <c r="H636" s="8" t="s">
        <v>138</v>
      </c>
      <c r="I636" s="8" t="s">
        <v>138</v>
      </c>
      <c r="J636" s="8" t="s">
        <v>138</v>
      </c>
      <c r="K636" s="8" t="s">
        <v>138</v>
      </c>
    </row>
    <row r="637" spans="1:11">
      <c r="A637" s="8" t="s">
        <v>138</v>
      </c>
      <c r="B637" s="8" t="s">
        <v>138</v>
      </c>
      <c r="C637" s="8" t="s">
        <v>138</v>
      </c>
      <c r="D637" s="8" t="s">
        <v>138</v>
      </c>
      <c r="E637" s="8" t="s">
        <v>138</v>
      </c>
      <c r="F637" s="8" t="s">
        <v>138</v>
      </c>
      <c r="G637" s="8" t="s">
        <v>138</v>
      </c>
      <c r="H637" s="8" t="s">
        <v>138</v>
      </c>
      <c r="I637" s="8" t="s">
        <v>138</v>
      </c>
      <c r="J637" s="8" t="s">
        <v>138</v>
      </c>
      <c r="K637" s="8" t="s">
        <v>138</v>
      </c>
    </row>
    <row r="638" spans="1:11">
      <c r="A638" s="8" t="s">
        <v>138</v>
      </c>
      <c r="B638" s="8" t="s">
        <v>138</v>
      </c>
      <c r="C638" s="8" t="s">
        <v>138</v>
      </c>
      <c r="D638" s="8" t="s">
        <v>138</v>
      </c>
      <c r="E638" s="8" t="s">
        <v>138</v>
      </c>
      <c r="F638" s="8" t="s">
        <v>138</v>
      </c>
      <c r="G638" s="8" t="s">
        <v>138</v>
      </c>
      <c r="H638" s="8" t="s">
        <v>138</v>
      </c>
      <c r="I638" s="8" t="s">
        <v>138</v>
      </c>
      <c r="J638" s="8" t="s">
        <v>138</v>
      </c>
      <c r="K638" s="8" t="s">
        <v>138</v>
      </c>
    </row>
    <row r="639" spans="1:11">
      <c r="A639" s="8" t="s">
        <v>138</v>
      </c>
      <c r="B639" s="8" t="s">
        <v>138</v>
      </c>
      <c r="C639" s="8" t="s">
        <v>138</v>
      </c>
      <c r="D639" s="8" t="s">
        <v>138</v>
      </c>
      <c r="E639" s="8" t="s">
        <v>138</v>
      </c>
      <c r="F639" s="8" t="s">
        <v>138</v>
      </c>
      <c r="G639" s="8" t="s">
        <v>138</v>
      </c>
      <c r="H639" s="8" t="s">
        <v>138</v>
      </c>
      <c r="I639" s="8" t="s">
        <v>138</v>
      </c>
      <c r="J639" s="8" t="s">
        <v>138</v>
      </c>
      <c r="K639" s="8" t="s">
        <v>138</v>
      </c>
    </row>
    <row r="640" spans="1:11">
      <c r="A640" s="8" t="s">
        <v>138</v>
      </c>
      <c r="B640" s="8" t="s">
        <v>138</v>
      </c>
      <c r="C640" s="8" t="s">
        <v>138</v>
      </c>
      <c r="D640" s="8" t="s">
        <v>138</v>
      </c>
      <c r="E640" s="8" t="s">
        <v>138</v>
      </c>
      <c r="F640" s="8" t="s">
        <v>138</v>
      </c>
      <c r="G640" s="8" t="s">
        <v>138</v>
      </c>
      <c r="H640" s="8" t="s">
        <v>138</v>
      </c>
      <c r="I640" s="8" t="s">
        <v>138</v>
      </c>
      <c r="J640" s="8" t="s">
        <v>138</v>
      </c>
      <c r="K640" s="8" t="s">
        <v>138</v>
      </c>
    </row>
    <row r="641" spans="1:11">
      <c r="A641" s="8" t="s">
        <v>138</v>
      </c>
      <c r="B641" s="8" t="s">
        <v>138</v>
      </c>
      <c r="C641" s="8" t="s">
        <v>138</v>
      </c>
      <c r="D641" s="8" t="s">
        <v>138</v>
      </c>
      <c r="E641" s="8" t="s">
        <v>138</v>
      </c>
      <c r="F641" s="8" t="s">
        <v>138</v>
      </c>
      <c r="G641" s="8" t="s">
        <v>138</v>
      </c>
      <c r="H641" s="8" t="s">
        <v>138</v>
      </c>
      <c r="I641" s="8" t="s">
        <v>138</v>
      </c>
      <c r="J641" s="8" t="s">
        <v>138</v>
      </c>
      <c r="K641" s="8" t="s">
        <v>138</v>
      </c>
    </row>
    <row r="642" spans="1:11">
      <c r="A642" s="8" t="s">
        <v>138</v>
      </c>
      <c r="B642" s="8" t="s">
        <v>138</v>
      </c>
      <c r="C642" s="8" t="s">
        <v>138</v>
      </c>
      <c r="D642" s="8" t="s">
        <v>138</v>
      </c>
      <c r="E642" s="8" t="s">
        <v>138</v>
      </c>
      <c r="F642" s="8" t="s">
        <v>138</v>
      </c>
      <c r="G642" s="8" t="s">
        <v>138</v>
      </c>
      <c r="H642" s="8" t="s">
        <v>138</v>
      </c>
      <c r="I642" s="8" t="s">
        <v>138</v>
      </c>
      <c r="J642" s="8" t="s">
        <v>138</v>
      </c>
      <c r="K642" s="8" t="s">
        <v>138</v>
      </c>
    </row>
    <row r="643" spans="1:11">
      <c r="A643" s="8" t="s">
        <v>138</v>
      </c>
      <c r="B643" s="8" t="s">
        <v>138</v>
      </c>
      <c r="C643" s="8" t="s">
        <v>138</v>
      </c>
      <c r="D643" s="8" t="s">
        <v>138</v>
      </c>
      <c r="E643" s="8" t="s">
        <v>138</v>
      </c>
      <c r="F643" s="8" t="s">
        <v>138</v>
      </c>
      <c r="G643" s="8" t="s">
        <v>138</v>
      </c>
      <c r="H643" s="8" t="s">
        <v>138</v>
      </c>
      <c r="I643" s="8" t="s">
        <v>138</v>
      </c>
      <c r="J643" s="8" t="s">
        <v>138</v>
      </c>
      <c r="K643" s="8" t="s">
        <v>138</v>
      </c>
    </row>
    <row r="644" spans="1:11">
      <c r="A644" s="8" t="s">
        <v>138</v>
      </c>
      <c r="B644" s="8" t="s">
        <v>138</v>
      </c>
      <c r="C644" s="8" t="s">
        <v>138</v>
      </c>
      <c r="D644" s="8" t="s">
        <v>138</v>
      </c>
      <c r="E644" s="8" t="s">
        <v>138</v>
      </c>
      <c r="F644" s="8" t="s">
        <v>138</v>
      </c>
      <c r="G644" s="8" t="s">
        <v>138</v>
      </c>
      <c r="H644" s="8" t="s">
        <v>138</v>
      </c>
      <c r="I644" s="8" t="s">
        <v>138</v>
      </c>
      <c r="J644" s="8" t="s">
        <v>138</v>
      </c>
      <c r="K644" s="8" t="s">
        <v>138</v>
      </c>
    </row>
    <row r="645" spans="1:11">
      <c r="A645" s="8" t="s">
        <v>138</v>
      </c>
      <c r="B645" s="8" t="s">
        <v>138</v>
      </c>
      <c r="C645" s="8" t="s">
        <v>138</v>
      </c>
      <c r="D645" s="8" t="s">
        <v>138</v>
      </c>
      <c r="E645" s="8" t="s">
        <v>138</v>
      </c>
      <c r="F645" s="8" t="s">
        <v>138</v>
      </c>
      <c r="G645" s="8" t="s">
        <v>138</v>
      </c>
      <c r="H645" s="8" t="s">
        <v>138</v>
      </c>
      <c r="I645" s="8" t="s">
        <v>138</v>
      </c>
      <c r="J645" s="8" t="s">
        <v>138</v>
      </c>
      <c r="K645" s="8" t="s">
        <v>138</v>
      </c>
    </row>
    <row r="646" spans="1:11">
      <c r="A646" s="8" t="s">
        <v>138</v>
      </c>
      <c r="B646" s="8" t="s">
        <v>138</v>
      </c>
      <c r="C646" s="8" t="s">
        <v>138</v>
      </c>
      <c r="D646" s="8" t="s">
        <v>138</v>
      </c>
      <c r="E646" s="8" t="s">
        <v>138</v>
      </c>
      <c r="F646" s="8" t="s">
        <v>138</v>
      </c>
      <c r="G646" s="8" t="s">
        <v>138</v>
      </c>
      <c r="H646" s="8" t="s">
        <v>138</v>
      </c>
      <c r="I646" s="8" t="s">
        <v>138</v>
      </c>
      <c r="J646" s="8" t="s">
        <v>138</v>
      </c>
      <c r="K646" s="8" t="s">
        <v>138</v>
      </c>
    </row>
    <row r="647" spans="1:11">
      <c r="A647" s="8" t="s">
        <v>138</v>
      </c>
      <c r="B647" s="8" t="s">
        <v>138</v>
      </c>
      <c r="C647" s="8" t="s">
        <v>138</v>
      </c>
      <c r="D647" s="8" t="s">
        <v>138</v>
      </c>
      <c r="E647" s="8" t="s">
        <v>138</v>
      </c>
      <c r="F647" s="8" t="s">
        <v>138</v>
      </c>
      <c r="G647" s="8" t="s">
        <v>138</v>
      </c>
      <c r="H647" s="8" t="s">
        <v>138</v>
      </c>
      <c r="I647" s="8" t="s">
        <v>138</v>
      </c>
      <c r="J647" s="8" t="s">
        <v>138</v>
      </c>
      <c r="K647" s="8" t="s">
        <v>138</v>
      </c>
    </row>
    <row r="648" spans="1:11">
      <c r="A648" s="8" t="s">
        <v>138</v>
      </c>
      <c r="B648" s="8" t="s">
        <v>138</v>
      </c>
      <c r="C648" s="8" t="s">
        <v>138</v>
      </c>
      <c r="D648" s="8" t="s">
        <v>138</v>
      </c>
      <c r="E648" s="8" t="s">
        <v>138</v>
      </c>
      <c r="F648" s="8" t="s">
        <v>138</v>
      </c>
      <c r="G648" s="8" t="s">
        <v>138</v>
      </c>
      <c r="H648" s="8" t="s">
        <v>138</v>
      </c>
      <c r="I648" s="8" t="s">
        <v>138</v>
      </c>
      <c r="J648" s="8" t="s">
        <v>138</v>
      </c>
      <c r="K648" s="8" t="s">
        <v>138</v>
      </c>
    </row>
    <row r="649" spans="1:11">
      <c r="A649" s="8" t="s">
        <v>138</v>
      </c>
      <c r="B649" s="8" t="s">
        <v>138</v>
      </c>
      <c r="C649" s="8" t="s">
        <v>138</v>
      </c>
      <c r="D649" s="8" t="s">
        <v>138</v>
      </c>
      <c r="E649" s="8" t="s">
        <v>138</v>
      </c>
      <c r="F649" s="8" t="s">
        <v>138</v>
      </c>
      <c r="G649" s="8" t="s">
        <v>138</v>
      </c>
      <c r="H649" s="8" t="s">
        <v>138</v>
      </c>
      <c r="I649" s="8" t="s">
        <v>138</v>
      </c>
      <c r="J649" s="8" t="s">
        <v>138</v>
      </c>
      <c r="K649" s="8" t="s">
        <v>138</v>
      </c>
    </row>
    <row r="650" spans="1:11">
      <c r="A650" s="8" t="s">
        <v>138</v>
      </c>
      <c r="B650" s="8" t="s">
        <v>138</v>
      </c>
      <c r="C650" s="8" t="s">
        <v>138</v>
      </c>
      <c r="D650" s="8" t="s">
        <v>138</v>
      </c>
      <c r="E650" s="8" t="s">
        <v>138</v>
      </c>
      <c r="F650" s="8" t="s">
        <v>138</v>
      </c>
      <c r="G650" s="8" t="s">
        <v>138</v>
      </c>
      <c r="H650" s="8" t="s">
        <v>138</v>
      </c>
      <c r="I650" s="8" t="s">
        <v>138</v>
      </c>
      <c r="J650" s="8" t="s">
        <v>138</v>
      </c>
      <c r="K650" s="8" t="s">
        <v>138</v>
      </c>
    </row>
    <row r="651" spans="1:11">
      <c r="A651" s="8" t="s">
        <v>138</v>
      </c>
      <c r="B651" s="8" t="s">
        <v>138</v>
      </c>
      <c r="C651" s="8" t="s">
        <v>138</v>
      </c>
      <c r="D651" s="8" t="s">
        <v>138</v>
      </c>
      <c r="E651" s="8" t="s">
        <v>138</v>
      </c>
      <c r="F651" s="8" t="s">
        <v>138</v>
      </c>
      <c r="G651" s="8" t="s">
        <v>138</v>
      </c>
      <c r="H651" s="8" t="s">
        <v>138</v>
      </c>
      <c r="I651" s="8" t="s">
        <v>138</v>
      </c>
      <c r="J651" s="8" t="s">
        <v>138</v>
      </c>
      <c r="K651" s="8" t="s">
        <v>138</v>
      </c>
    </row>
    <row r="652" spans="1:11">
      <c r="A652" s="8" t="s">
        <v>138</v>
      </c>
      <c r="B652" s="8" t="s">
        <v>138</v>
      </c>
      <c r="C652" s="8" t="s">
        <v>138</v>
      </c>
      <c r="D652" s="8" t="s">
        <v>138</v>
      </c>
      <c r="E652" s="8" t="s">
        <v>138</v>
      </c>
      <c r="F652" s="8" t="s">
        <v>138</v>
      </c>
      <c r="G652" s="8" t="s">
        <v>138</v>
      </c>
      <c r="H652" s="8" t="s">
        <v>138</v>
      </c>
      <c r="I652" s="8" t="s">
        <v>138</v>
      </c>
      <c r="J652" s="8" t="s">
        <v>138</v>
      </c>
      <c r="K652" s="8" t="s">
        <v>138</v>
      </c>
    </row>
    <row r="653" spans="1:11">
      <c r="A653" s="8" t="s">
        <v>138</v>
      </c>
      <c r="B653" s="8" t="s">
        <v>138</v>
      </c>
      <c r="C653" s="8" t="s">
        <v>138</v>
      </c>
      <c r="D653" s="8" t="s">
        <v>138</v>
      </c>
      <c r="E653" s="8" t="s">
        <v>138</v>
      </c>
      <c r="F653" s="8" t="s">
        <v>138</v>
      </c>
      <c r="G653" s="8" t="s">
        <v>138</v>
      </c>
      <c r="H653" s="8" t="s">
        <v>138</v>
      </c>
      <c r="I653" s="8" t="s">
        <v>138</v>
      </c>
      <c r="J653" s="8" t="s">
        <v>138</v>
      </c>
      <c r="K653" s="8" t="s">
        <v>138</v>
      </c>
    </row>
    <row r="654" spans="1:11">
      <c r="A654" s="8" t="s">
        <v>138</v>
      </c>
      <c r="B654" s="8" t="s">
        <v>138</v>
      </c>
      <c r="C654" s="8" t="s">
        <v>138</v>
      </c>
      <c r="D654" s="8" t="s">
        <v>138</v>
      </c>
      <c r="E654" s="8" t="s">
        <v>138</v>
      </c>
      <c r="F654" s="8" t="s">
        <v>138</v>
      </c>
      <c r="G654" s="8" t="s">
        <v>138</v>
      </c>
      <c r="H654" s="8" t="s">
        <v>138</v>
      </c>
      <c r="I654" s="8" t="s">
        <v>138</v>
      </c>
      <c r="J654" s="8" t="s">
        <v>138</v>
      </c>
      <c r="K654" s="8" t="s">
        <v>138</v>
      </c>
    </row>
    <row r="655" spans="1:11">
      <c r="A655" s="8" t="s">
        <v>138</v>
      </c>
      <c r="B655" s="8" t="s">
        <v>138</v>
      </c>
      <c r="C655" s="8" t="s">
        <v>138</v>
      </c>
      <c r="D655" s="8" t="s">
        <v>138</v>
      </c>
      <c r="E655" s="8" t="s">
        <v>138</v>
      </c>
      <c r="F655" s="8" t="s">
        <v>138</v>
      </c>
      <c r="G655" s="8" t="s">
        <v>138</v>
      </c>
      <c r="H655" s="8" t="s">
        <v>138</v>
      </c>
      <c r="I655" s="8" t="s">
        <v>138</v>
      </c>
      <c r="J655" s="8" t="s">
        <v>138</v>
      </c>
      <c r="K655" s="8" t="s">
        <v>138</v>
      </c>
    </row>
    <row r="656" spans="1:11">
      <c r="A656" s="8" t="s">
        <v>138</v>
      </c>
      <c r="B656" s="8" t="s">
        <v>138</v>
      </c>
      <c r="C656" s="8" t="s">
        <v>138</v>
      </c>
      <c r="D656" s="8" t="s">
        <v>138</v>
      </c>
      <c r="E656" s="8" t="s">
        <v>138</v>
      </c>
      <c r="F656" s="8" t="s">
        <v>138</v>
      </c>
      <c r="G656" s="8" t="s">
        <v>138</v>
      </c>
      <c r="H656" s="8" t="s">
        <v>138</v>
      </c>
      <c r="I656" s="8" t="s">
        <v>138</v>
      </c>
      <c r="J656" s="8" t="s">
        <v>138</v>
      </c>
      <c r="K656" s="8" t="s">
        <v>138</v>
      </c>
    </row>
    <row r="657" spans="1:11">
      <c r="A657" s="8" t="s">
        <v>138</v>
      </c>
      <c r="B657" s="8" t="s">
        <v>138</v>
      </c>
      <c r="C657" s="8" t="s">
        <v>138</v>
      </c>
      <c r="D657" s="8" t="s">
        <v>138</v>
      </c>
      <c r="E657" s="8" t="s">
        <v>138</v>
      </c>
      <c r="F657" s="8" t="s">
        <v>138</v>
      </c>
      <c r="G657" s="8" t="s">
        <v>138</v>
      </c>
      <c r="H657" s="8" t="s">
        <v>138</v>
      </c>
      <c r="I657" s="8" t="s">
        <v>138</v>
      </c>
      <c r="J657" s="8" t="s">
        <v>138</v>
      </c>
      <c r="K657" s="8" t="s">
        <v>138</v>
      </c>
    </row>
    <row r="658" spans="1:11">
      <c r="A658" s="8" t="s">
        <v>138</v>
      </c>
      <c r="B658" s="8" t="s">
        <v>138</v>
      </c>
      <c r="C658" s="8" t="s">
        <v>138</v>
      </c>
      <c r="D658" s="8" t="s">
        <v>138</v>
      </c>
      <c r="E658" s="8" t="s">
        <v>138</v>
      </c>
      <c r="F658" s="8" t="s">
        <v>138</v>
      </c>
      <c r="G658" s="8" t="s">
        <v>138</v>
      </c>
      <c r="H658" s="8" t="s">
        <v>138</v>
      </c>
      <c r="I658" s="8" t="s">
        <v>138</v>
      </c>
      <c r="J658" s="8" t="s">
        <v>138</v>
      </c>
      <c r="K658" s="8" t="s">
        <v>138</v>
      </c>
    </row>
    <row r="659" spans="1:11">
      <c r="A659" s="8" t="s">
        <v>138</v>
      </c>
      <c r="B659" s="8" t="s">
        <v>138</v>
      </c>
      <c r="C659" s="8" t="s">
        <v>138</v>
      </c>
      <c r="D659" s="8" t="s">
        <v>138</v>
      </c>
      <c r="E659" s="8" t="s">
        <v>138</v>
      </c>
      <c r="F659" s="8" t="s">
        <v>138</v>
      </c>
      <c r="G659" s="8" t="s">
        <v>138</v>
      </c>
      <c r="H659" s="8" t="s">
        <v>138</v>
      </c>
      <c r="I659" s="8" t="s">
        <v>138</v>
      </c>
      <c r="J659" s="8" t="s">
        <v>138</v>
      </c>
      <c r="K659" s="8" t="s">
        <v>138</v>
      </c>
    </row>
    <row r="660" spans="1:11">
      <c r="A660" s="8" t="s">
        <v>138</v>
      </c>
      <c r="B660" s="8" t="s">
        <v>138</v>
      </c>
      <c r="C660" s="8" t="s">
        <v>138</v>
      </c>
      <c r="D660" s="8" t="s">
        <v>138</v>
      </c>
      <c r="E660" s="8" t="s">
        <v>138</v>
      </c>
      <c r="F660" s="8" t="s">
        <v>138</v>
      </c>
      <c r="G660" s="8" t="s">
        <v>138</v>
      </c>
      <c r="H660" s="8" t="s">
        <v>138</v>
      </c>
      <c r="I660" s="8" t="s">
        <v>138</v>
      </c>
      <c r="J660" s="8" t="s">
        <v>138</v>
      </c>
      <c r="K660" s="8" t="s">
        <v>138</v>
      </c>
    </row>
    <row r="661" spans="1:11">
      <c r="A661" s="8" t="s">
        <v>138</v>
      </c>
      <c r="B661" s="8" t="s">
        <v>138</v>
      </c>
      <c r="C661" s="8" t="s">
        <v>138</v>
      </c>
      <c r="D661" s="8" t="s">
        <v>138</v>
      </c>
      <c r="E661" s="8" t="s">
        <v>138</v>
      </c>
      <c r="F661" s="8" t="s">
        <v>138</v>
      </c>
      <c r="G661" s="8" t="s">
        <v>138</v>
      </c>
      <c r="H661" s="8" t="s">
        <v>138</v>
      </c>
      <c r="I661" s="8" t="s">
        <v>138</v>
      </c>
      <c r="J661" s="8" t="s">
        <v>138</v>
      </c>
      <c r="K661" s="8" t="s">
        <v>138</v>
      </c>
    </row>
    <row r="662" spans="1:11">
      <c r="A662" s="8" t="s">
        <v>138</v>
      </c>
      <c r="B662" s="8" t="s">
        <v>138</v>
      </c>
      <c r="C662" s="8" t="s">
        <v>138</v>
      </c>
      <c r="D662" s="8" t="s">
        <v>138</v>
      </c>
      <c r="E662" s="8" t="s">
        <v>138</v>
      </c>
      <c r="F662" s="8" t="s">
        <v>138</v>
      </c>
      <c r="G662" s="8" t="s">
        <v>138</v>
      </c>
      <c r="H662" s="8" t="s">
        <v>138</v>
      </c>
      <c r="I662" s="8" t="s">
        <v>138</v>
      </c>
      <c r="J662" s="8" t="s">
        <v>138</v>
      </c>
      <c r="K662" s="8" t="s">
        <v>138</v>
      </c>
    </row>
    <row r="663" spans="1:11">
      <c r="A663" s="8" t="s">
        <v>138</v>
      </c>
      <c r="B663" s="8" t="s">
        <v>138</v>
      </c>
      <c r="C663" s="8" t="s">
        <v>138</v>
      </c>
      <c r="D663" s="8" t="s">
        <v>138</v>
      </c>
      <c r="E663" s="8" t="s">
        <v>138</v>
      </c>
      <c r="F663" s="8" t="s">
        <v>138</v>
      </c>
      <c r="G663" s="8" t="s">
        <v>138</v>
      </c>
      <c r="H663" s="8" t="s">
        <v>138</v>
      </c>
      <c r="I663" s="8" t="s">
        <v>138</v>
      </c>
      <c r="J663" s="8" t="s">
        <v>138</v>
      </c>
      <c r="K663" s="8" t="s">
        <v>138</v>
      </c>
    </row>
    <row r="664" spans="1:11">
      <c r="A664" s="8" t="s">
        <v>138</v>
      </c>
      <c r="B664" s="8" t="s">
        <v>138</v>
      </c>
      <c r="C664" s="8" t="s">
        <v>138</v>
      </c>
      <c r="D664" s="8" t="s">
        <v>138</v>
      </c>
      <c r="E664" s="8" t="s">
        <v>138</v>
      </c>
      <c r="F664" s="8" t="s">
        <v>138</v>
      </c>
      <c r="G664" s="8" t="s">
        <v>138</v>
      </c>
      <c r="H664" s="8" t="s">
        <v>138</v>
      </c>
      <c r="I664" s="8" t="s">
        <v>138</v>
      </c>
      <c r="J664" s="8" t="s">
        <v>138</v>
      </c>
      <c r="K664" s="8" t="s">
        <v>138</v>
      </c>
    </row>
    <row r="665" spans="1:11">
      <c r="A665" s="8" t="s">
        <v>138</v>
      </c>
      <c r="B665" s="8" t="s">
        <v>138</v>
      </c>
      <c r="C665" s="8" t="s">
        <v>138</v>
      </c>
      <c r="D665" s="8" t="s">
        <v>138</v>
      </c>
      <c r="E665" s="8" t="s">
        <v>138</v>
      </c>
      <c r="F665" s="8" t="s">
        <v>138</v>
      </c>
      <c r="G665" s="8" t="s">
        <v>138</v>
      </c>
      <c r="H665" s="8" t="s">
        <v>138</v>
      </c>
      <c r="I665" s="8" t="s">
        <v>138</v>
      </c>
      <c r="J665" s="8" t="s">
        <v>138</v>
      </c>
      <c r="K665" s="8" t="s">
        <v>138</v>
      </c>
    </row>
    <row r="666" spans="1:11">
      <c r="A666" s="8" t="s">
        <v>138</v>
      </c>
      <c r="B666" s="8" t="s">
        <v>138</v>
      </c>
      <c r="C666" s="8" t="s">
        <v>138</v>
      </c>
      <c r="D666" s="8" t="s">
        <v>138</v>
      </c>
      <c r="E666" s="8" t="s">
        <v>138</v>
      </c>
      <c r="F666" s="8" t="s">
        <v>138</v>
      </c>
      <c r="G666" s="8" t="s">
        <v>138</v>
      </c>
      <c r="H666" s="8" t="s">
        <v>138</v>
      </c>
      <c r="I666" s="8" t="s">
        <v>138</v>
      </c>
      <c r="J666" s="8" t="s">
        <v>138</v>
      </c>
      <c r="K666" s="8" t="s">
        <v>138</v>
      </c>
    </row>
    <row r="667" spans="1:11">
      <c r="A667" s="8" t="s">
        <v>138</v>
      </c>
      <c r="B667" s="8" t="s">
        <v>138</v>
      </c>
      <c r="C667" s="8" t="s">
        <v>138</v>
      </c>
      <c r="D667" s="8" t="s">
        <v>138</v>
      </c>
      <c r="E667" s="8" t="s">
        <v>138</v>
      </c>
      <c r="F667" s="8" t="s">
        <v>138</v>
      </c>
      <c r="G667" s="8" t="s">
        <v>138</v>
      </c>
      <c r="H667" s="8" t="s">
        <v>138</v>
      </c>
      <c r="I667" s="8" t="s">
        <v>138</v>
      </c>
      <c r="J667" s="8" t="s">
        <v>138</v>
      </c>
      <c r="K667" s="8" t="s">
        <v>138</v>
      </c>
    </row>
    <row r="668" spans="1:11">
      <c r="A668" s="8" t="s">
        <v>138</v>
      </c>
      <c r="B668" s="8" t="s">
        <v>138</v>
      </c>
      <c r="C668" s="8" t="s">
        <v>138</v>
      </c>
      <c r="D668" s="8" t="s">
        <v>138</v>
      </c>
      <c r="E668" s="8" t="s">
        <v>138</v>
      </c>
      <c r="F668" s="8" t="s">
        <v>138</v>
      </c>
      <c r="G668" s="8" t="s">
        <v>138</v>
      </c>
      <c r="H668" s="8" t="s">
        <v>138</v>
      </c>
      <c r="I668" s="8" t="s">
        <v>138</v>
      </c>
      <c r="J668" s="8" t="s">
        <v>138</v>
      </c>
      <c r="K668" s="8" t="s">
        <v>138</v>
      </c>
    </row>
    <row r="669" spans="1:11">
      <c r="A669" s="8" t="s">
        <v>138</v>
      </c>
      <c r="B669" s="8" t="s">
        <v>138</v>
      </c>
      <c r="C669" s="8" t="s">
        <v>138</v>
      </c>
      <c r="D669" s="8" t="s">
        <v>138</v>
      </c>
      <c r="E669" s="8" t="s">
        <v>138</v>
      </c>
      <c r="F669" s="8" t="s">
        <v>138</v>
      </c>
      <c r="G669" s="8" t="s">
        <v>138</v>
      </c>
      <c r="H669" s="8" t="s">
        <v>138</v>
      </c>
      <c r="I669" s="8" t="s">
        <v>138</v>
      </c>
      <c r="J669" s="8" t="s">
        <v>138</v>
      </c>
      <c r="K669" s="8" t="s">
        <v>138</v>
      </c>
    </row>
    <row r="670" spans="1:11">
      <c r="A670" s="8" t="s">
        <v>138</v>
      </c>
      <c r="B670" s="8" t="s">
        <v>138</v>
      </c>
      <c r="C670" s="8" t="s">
        <v>138</v>
      </c>
      <c r="D670" s="8" t="s">
        <v>138</v>
      </c>
      <c r="E670" s="8" t="s">
        <v>138</v>
      </c>
      <c r="F670" s="8" t="s">
        <v>138</v>
      </c>
      <c r="G670" s="8" t="s">
        <v>138</v>
      </c>
      <c r="H670" s="8" t="s">
        <v>138</v>
      </c>
      <c r="I670" s="8" t="s">
        <v>138</v>
      </c>
      <c r="J670" s="8" t="s">
        <v>138</v>
      </c>
      <c r="K670" s="8" t="s">
        <v>138</v>
      </c>
    </row>
    <row r="671" spans="1:11">
      <c r="A671" s="8" t="s">
        <v>138</v>
      </c>
      <c r="B671" s="8" t="s">
        <v>138</v>
      </c>
      <c r="C671" s="8" t="s">
        <v>138</v>
      </c>
      <c r="D671" s="8" t="s">
        <v>138</v>
      </c>
      <c r="E671" s="8" t="s">
        <v>138</v>
      </c>
      <c r="F671" s="8" t="s">
        <v>138</v>
      </c>
      <c r="G671" s="8" t="s">
        <v>138</v>
      </c>
      <c r="H671" s="8" t="s">
        <v>138</v>
      </c>
      <c r="I671" s="8" t="s">
        <v>138</v>
      </c>
      <c r="J671" s="8" t="s">
        <v>138</v>
      </c>
      <c r="K671" s="8" t="s">
        <v>138</v>
      </c>
    </row>
    <row r="672" spans="1:11">
      <c r="A672" s="8" t="s">
        <v>138</v>
      </c>
      <c r="B672" s="8" t="s">
        <v>138</v>
      </c>
      <c r="C672" s="8" t="s">
        <v>138</v>
      </c>
      <c r="D672" s="8" t="s">
        <v>138</v>
      </c>
      <c r="E672" s="8" t="s">
        <v>138</v>
      </c>
      <c r="F672" s="8" t="s">
        <v>138</v>
      </c>
      <c r="G672" s="8" t="s">
        <v>138</v>
      </c>
      <c r="H672" s="8" t="s">
        <v>138</v>
      </c>
      <c r="I672" s="8" t="s">
        <v>138</v>
      </c>
      <c r="J672" s="8" t="s">
        <v>138</v>
      </c>
      <c r="K672" s="8" t="s">
        <v>138</v>
      </c>
    </row>
    <row r="673" spans="1:11">
      <c r="A673" s="8" t="s">
        <v>138</v>
      </c>
      <c r="B673" s="8" t="s">
        <v>138</v>
      </c>
      <c r="C673" s="8" t="s">
        <v>138</v>
      </c>
      <c r="D673" s="8" t="s">
        <v>138</v>
      </c>
      <c r="E673" s="8" t="s">
        <v>138</v>
      </c>
      <c r="F673" s="8" t="s">
        <v>138</v>
      </c>
      <c r="G673" s="8" t="s">
        <v>138</v>
      </c>
      <c r="H673" s="8" t="s">
        <v>138</v>
      </c>
      <c r="I673" s="8" t="s">
        <v>138</v>
      </c>
      <c r="J673" s="8" t="s">
        <v>138</v>
      </c>
      <c r="K673" s="8" t="s">
        <v>138</v>
      </c>
    </row>
    <row r="674" spans="1:11">
      <c r="A674" s="8" t="s">
        <v>138</v>
      </c>
      <c r="B674" s="8" t="s">
        <v>138</v>
      </c>
      <c r="C674" s="8" t="s">
        <v>138</v>
      </c>
      <c r="D674" s="8" t="s">
        <v>138</v>
      </c>
      <c r="E674" s="8" t="s">
        <v>138</v>
      </c>
      <c r="F674" s="8" t="s">
        <v>138</v>
      </c>
      <c r="G674" s="8" t="s">
        <v>138</v>
      </c>
      <c r="H674" s="8" t="s">
        <v>138</v>
      </c>
      <c r="I674" s="8" t="s">
        <v>138</v>
      </c>
      <c r="J674" s="8" t="s">
        <v>138</v>
      </c>
      <c r="K674" s="8" t="s">
        <v>138</v>
      </c>
    </row>
    <row r="675" spans="1:11">
      <c r="A675" s="8" t="s">
        <v>138</v>
      </c>
      <c r="B675" s="8" t="s">
        <v>138</v>
      </c>
      <c r="C675" s="8" t="s">
        <v>138</v>
      </c>
      <c r="D675" s="8" t="s">
        <v>138</v>
      </c>
      <c r="E675" s="8" t="s">
        <v>138</v>
      </c>
      <c r="F675" s="8" t="s">
        <v>138</v>
      </c>
      <c r="G675" s="8" t="s">
        <v>138</v>
      </c>
      <c r="H675" s="8" t="s">
        <v>138</v>
      </c>
      <c r="I675" s="8" t="s">
        <v>138</v>
      </c>
      <c r="J675" s="8" t="s">
        <v>138</v>
      </c>
      <c r="K675" s="8" t="s">
        <v>138</v>
      </c>
    </row>
    <row r="676" spans="1:11">
      <c r="A676" s="8" t="s">
        <v>138</v>
      </c>
      <c r="B676" s="8" t="s">
        <v>138</v>
      </c>
      <c r="C676" s="8" t="s">
        <v>138</v>
      </c>
      <c r="D676" s="8" t="s">
        <v>138</v>
      </c>
      <c r="E676" s="8" t="s">
        <v>138</v>
      </c>
      <c r="F676" s="8" t="s">
        <v>138</v>
      </c>
      <c r="G676" s="8" t="s">
        <v>138</v>
      </c>
      <c r="H676" s="8" t="s">
        <v>138</v>
      </c>
      <c r="I676" s="8" t="s">
        <v>138</v>
      </c>
      <c r="J676" s="8" t="s">
        <v>138</v>
      </c>
      <c r="K676" s="8" t="s">
        <v>138</v>
      </c>
    </row>
    <row r="677" spans="1:11">
      <c r="A677" s="8" t="s">
        <v>138</v>
      </c>
      <c r="B677" s="8" t="s">
        <v>138</v>
      </c>
      <c r="C677" s="8" t="s">
        <v>138</v>
      </c>
      <c r="D677" s="8" t="s">
        <v>138</v>
      </c>
      <c r="E677" s="8" t="s">
        <v>138</v>
      </c>
      <c r="F677" s="8" t="s">
        <v>138</v>
      </c>
      <c r="G677" s="8" t="s">
        <v>138</v>
      </c>
      <c r="H677" s="8" t="s">
        <v>138</v>
      </c>
      <c r="I677" s="8" t="s">
        <v>138</v>
      </c>
      <c r="J677" s="8" t="s">
        <v>138</v>
      </c>
      <c r="K677" s="8" t="s">
        <v>138</v>
      </c>
    </row>
    <row r="678" spans="1:11">
      <c r="A678" s="8" t="s">
        <v>138</v>
      </c>
      <c r="B678" s="8" t="s">
        <v>138</v>
      </c>
      <c r="C678" s="8" t="s">
        <v>138</v>
      </c>
      <c r="D678" s="8" t="s">
        <v>138</v>
      </c>
      <c r="E678" s="8" t="s">
        <v>138</v>
      </c>
      <c r="F678" s="8" t="s">
        <v>138</v>
      </c>
      <c r="G678" s="8" t="s">
        <v>138</v>
      </c>
      <c r="H678" s="8" t="s">
        <v>138</v>
      </c>
      <c r="I678" s="8" t="s">
        <v>138</v>
      </c>
      <c r="J678" s="8" t="s">
        <v>138</v>
      </c>
      <c r="K678" s="8" t="s">
        <v>138</v>
      </c>
    </row>
    <row r="679" spans="1:11">
      <c r="A679" s="8" t="s">
        <v>138</v>
      </c>
      <c r="B679" s="8" t="s">
        <v>138</v>
      </c>
      <c r="C679" s="8" t="s">
        <v>138</v>
      </c>
      <c r="D679" s="8" t="s">
        <v>138</v>
      </c>
      <c r="E679" s="8" t="s">
        <v>138</v>
      </c>
      <c r="F679" s="8" t="s">
        <v>138</v>
      </c>
      <c r="G679" s="8" t="s">
        <v>138</v>
      </c>
      <c r="H679" s="8" t="s">
        <v>138</v>
      </c>
      <c r="I679" s="8" t="s">
        <v>138</v>
      </c>
      <c r="J679" s="8" t="s">
        <v>138</v>
      </c>
      <c r="K679" s="8" t="s">
        <v>138</v>
      </c>
    </row>
    <row r="680" spans="1:11">
      <c r="A680" s="8" t="s">
        <v>138</v>
      </c>
      <c r="B680" s="8" t="s">
        <v>138</v>
      </c>
      <c r="C680" s="8" t="s">
        <v>138</v>
      </c>
      <c r="D680" s="8" t="s">
        <v>138</v>
      </c>
      <c r="E680" s="8" t="s">
        <v>138</v>
      </c>
      <c r="F680" s="8" t="s">
        <v>138</v>
      </c>
      <c r="G680" s="8" t="s">
        <v>138</v>
      </c>
      <c r="H680" s="8" t="s">
        <v>138</v>
      </c>
      <c r="I680" s="8" t="s">
        <v>138</v>
      </c>
      <c r="J680" s="8" t="s">
        <v>138</v>
      </c>
      <c r="K680" s="8" t="s">
        <v>138</v>
      </c>
    </row>
    <row r="681" spans="1:11">
      <c r="A681" s="8" t="s">
        <v>138</v>
      </c>
      <c r="B681" s="8" t="s">
        <v>138</v>
      </c>
      <c r="C681" s="8" t="s">
        <v>138</v>
      </c>
      <c r="D681" s="8" t="s">
        <v>138</v>
      </c>
      <c r="E681" s="8" t="s">
        <v>138</v>
      </c>
      <c r="F681" s="8" t="s">
        <v>138</v>
      </c>
      <c r="G681" s="8" t="s">
        <v>138</v>
      </c>
      <c r="H681" s="8" t="s">
        <v>138</v>
      </c>
      <c r="I681" s="8" t="s">
        <v>138</v>
      </c>
      <c r="J681" s="8" t="s">
        <v>138</v>
      </c>
      <c r="K681" s="8" t="s">
        <v>138</v>
      </c>
    </row>
    <row r="682" spans="1:11">
      <c r="A682" s="8" t="s">
        <v>138</v>
      </c>
      <c r="B682" s="8" t="s">
        <v>138</v>
      </c>
      <c r="C682" s="8" t="s">
        <v>138</v>
      </c>
      <c r="D682" s="8" t="s">
        <v>138</v>
      </c>
      <c r="E682" s="8" t="s">
        <v>138</v>
      </c>
      <c r="F682" s="8" t="s">
        <v>138</v>
      </c>
      <c r="G682" s="8" t="s">
        <v>138</v>
      </c>
      <c r="H682" s="8" t="s">
        <v>138</v>
      </c>
      <c r="I682" s="8" t="s">
        <v>138</v>
      </c>
      <c r="J682" s="8" t="s">
        <v>138</v>
      </c>
      <c r="K682" s="8" t="s">
        <v>138</v>
      </c>
    </row>
    <row r="683" spans="1:11">
      <c r="A683" s="8" t="s">
        <v>138</v>
      </c>
      <c r="B683" s="8" t="s">
        <v>138</v>
      </c>
      <c r="C683" s="8" t="s">
        <v>138</v>
      </c>
      <c r="D683" s="8" t="s">
        <v>138</v>
      </c>
      <c r="E683" s="8" t="s">
        <v>138</v>
      </c>
      <c r="F683" s="8" t="s">
        <v>138</v>
      </c>
      <c r="G683" s="8" t="s">
        <v>138</v>
      </c>
      <c r="H683" s="8" t="s">
        <v>138</v>
      </c>
      <c r="I683" s="8" t="s">
        <v>138</v>
      </c>
      <c r="J683" s="8" t="s">
        <v>138</v>
      </c>
      <c r="K683" s="8" t="s">
        <v>138</v>
      </c>
    </row>
    <row r="684" spans="1:11">
      <c r="A684" s="8" t="s">
        <v>138</v>
      </c>
      <c r="B684" s="8" t="s">
        <v>138</v>
      </c>
      <c r="C684" s="8" t="s">
        <v>138</v>
      </c>
      <c r="D684" s="8" t="s">
        <v>138</v>
      </c>
      <c r="E684" s="8" t="s">
        <v>138</v>
      </c>
      <c r="F684" s="8" t="s">
        <v>138</v>
      </c>
      <c r="G684" s="8" t="s">
        <v>138</v>
      </c>
      <c r="H684" s="8" t="s">
        <v>138</v>
      </c>
      <c r="I684" s="8" t="s">
        <v>138</v>
      </c>
      <c r="J684" s="8" t="s">
        <v>138</v>
      </c>
      <c r="K684" s="8" t="s">
        <v>138</v>
      </c>
    </row>
    <row r="685" spans="1:11">
      <c r="A685" s="8" t="s">
        <v>138</v>
      </c>
      <c r="B685" s="8" t="s">
        <v>138</v>
      </c>
      <c r="C685" s="8" t="s">
        <v>138</v>
      </c>
      <c r="D685" s="8" t="s">
        <v>138</v>
      </c>
      <c r="E685" s="8" t="s">
        <v>138</v>
      </c>
      <c r="F685" s="8" t="s">
        <v>138</v>
      </c>
      <c r="G685" s="8" t="s">
        <v>138</v>
      </c>
      <c r="H685" s="8" t="s">
        <v>138</v>
      </c>
      <c r="I685" s="8" t="s">
        <v>138</v>
      </c>
      <c r="J685" s="8" t="s">
        <v>138</v>
      </c>
      <c r="K685" s="8" t="s">
        <v>138</v>
      </c>
    </row>
    <row r="686" spans="1:11">
      <c r="A686" s="8" t="s">
        <v>138</v>
      </c>
      <c r="B686" s="8" t="s">
        <v>138</v>
      </c>
      <c r="C686" s="8" t="s">
        <v>138</v>
      </c>
      <c r="D686" s="8" t="s">
        <v>138</v>
      </c>
      <c r="E686" s="8" t="s">
        <v>138</v>
      </c>
      <c r="F686" s="8" t="s">
        <v>138</v>
      </c>
      <c r="G686" s="8" t="s">
        <v>138</v>
      </c>
      <c r="H686" s="8" t="s">
        <v>138</v>
      </c>
      <c r="I686" s="8" t="s">
        <v>138</v>
      </c>
      <c r="J686" s="8" t="s">
        <v>138</v>
      </c>
      <c r="K686" s="8" t="s">
        <v>138</v>
      </c>
    </row>
    <row r="687" spans="1:11">
      <c r="A687" s="8" t="s">
        <v>138</v>
      </c>
      <c r="B687" s="8" t="s">
        <v>138</v>
      </c>
      <c r="C687" s="8" t="s">
        <v>138</v>
      </c>
      <c r="D687" s="8" t="s">
        <v>138</v>
      </c>
      <c r="E687" s="8" t="s">
        <v>138</v>
      </c>
      <c r="F687" s="8" t="s">
        <v>138</v>
      </c>
      <c r="G687" s="8" t="s">
        <v>138</v>
      </c>
      <c r="H687" s="8" t="s">
        <v>138</v>
      </c>
      <c r="I687" s="8" t="s">
        <v>138</v>
      </c>
      <c r="J687" s="8" t="s">
        <v>138</v>
      </c>
      <c r="K687" s="8" t="s">
        <v>138</v>
      </c>
    </row>
    <row r="688" spans="1:11">
      <c r="A688" s="8" t="s">
        <v>138</v>
      </c>
      <c r="B688" s="8" t="s">
        <v>138</v>
      </c>
      <c r="C688" s="8" t="s">
        <v>138</v>
      </c>
      <c r="D688" s="8" t="s">
        <v>138</v>
      </c>
      <c r="E688" s="8" t="s">
        <v>138</v>
      </c>
      <c r="F688" s="8" t="s">
        <v>138</v>
      </c>
      <c r="G688" s="8" t="s">
        <v>138</v>
      </c>
      <c r="H688" s="8" t="s">
        <v>138</v>
      </c>
      <c r="I688" s="8" t="s">
        <v>138</v>
      </c>
      <c r="J688" s="8" t="s">
        <v>138</v>
      </c>
      <c r="K688" s="8" t="s">
        <v>138</v>
      </c>
    </row>
    <row r="689" spans="1:11">
      <c r="A689" s="8" t="s">
        <v>138</v>
      </c>
      <c r="B689" s="8" t="s">
        <v>138</v>
      </c>
      <c r="C689" s="8" t="s">
        <v>138</v>
      </c>
      <c r="D689" s="8" t="s">
        <v>138</v>
      </c>
      <c r="E689" s="8" t="s">
        <v>138</v>
      </c>
      <c r="F689" s="8" t="s">
        <v>138</v>
      </c>
      <c r="G689" s="8" t="s">
        <v>138</v>
      </c>
      <c r="H689" s="8" t="s">
        <v>138</v>
      </c>
      <c r="I689" s="8" t="s">
        <v>138</v>
      </c>
      <c r="J689" s="8" t="s">
        <v>138</v>
      </c>
      <c r="K689" s="8" t="s">
        <v>138</v>
      </c>
    </row>
    <row r="690" spans="1:11">
      <c r="A690" s="8" t="s">
        <v>138</v>
      </c>
      <c r="B690" s="8" t="s">
        <v>138</v>
      </c>
      <c r="C690" s="8" t="s">
        <v>138</v>
      </c>
      <c r="D690" s="8" t="s">
        <v>138</v>
      </c>
      <c r="E690" s="8" t="s">
        <v>138</v>
      </c>
      <c r="F690" s="8" t="s">
        <v>138</v>
      </c>
      <c r="G690" s="8" t="s">
        <v>138</v>
      </c>
      <c r="H690" s="8" t="s">
        <v>138</v>
      </c>
      <c r="I690" s="8" t="s">
        <v>138</v>
      </c>
      <c r="J690" s="8" t="s">
        <v>138</v>
      </c>
      <c r="K690" s="8" t="s">
        <v>138</v>
      </c>
    </row>
    <row r="691" spans="1:11">
      <c r="A691" s="8" t="s">
        <v>138</v>
      </c>
      <c r="B691" s="8" t="s">
        <v>138</v>
      </c>
      <c r="C691" s="8" t="s">
        <v>138</v>
      </c>
      <c r="D691" s="8" t="s">
        <v>138</v>
      </c>
      <c r="E691" s="8" t="s">
        <v>138</v>
      </c>
      <c r="F691" s="8" t="s">
        <v>138</v>
      </c>
      <c r="G691" s="8" t="s">
        <v>138</v>
      </c>
      <c r="H691" s="8" t="s">
        <v>138</v>
      </c>
      <c r="I691" s="8" t="s">
        <v>138</v>
      </c>
      <c r="J691" s="8" t="s">
        <v>138</v>
      </c>
      <c r="K691" s="8" t="s">
        <v>138</v>
      </c>
    </row>
    <row r="692" spans="1:11">
      <c r="A692" s="8" t="s">
        <v>138</v>
      </c>
      <c r="B692" s="8" t="s">
        <v>138</v>
      </c>
      <c r="C692" s="8" t="s">
        <v>138</v>
      </c>
      <c r="D692" s="8" t="s">
        <v>138</v>
      </c>
      <c r="E692" s="8" t="s">
        <v>138</v>
      </c>
      <c r="F692" s="8" t="s">
        <v>138</v>
      </c>
      <c r="G692" s="8" t="s">
        <v>138</v>
      </c>
      <c r="H692" s="8" t="s">
        <v>138</v>
      </c>
      <c r="I692" s="8" t="s">
        <v>138</v>
      </c>
      <c r="J692" s="8" t="s">
        <v>138</v>
      </c>
      <c r="K692" s="8" t="s">
        <v>138</v>
      </c>
    </row>
    <row r="693" spans="1:11">
      <c r="A693" s="8" t="s">
        <v>138</v>
      </c>
      <c r="B693" s="8" t="s">
        <v>138</v>
      </c>
      <c r="C693" s="8" t="s">
        <v>138</v>
      </c>
      <c r="D693" s="8" t="s">
        <v>138</v>
      </c>
      <c r="E693" s="8" t="s">
        <v>138</v>
      </c>
      <c r="F693" s="8" t="s">
        <v>138</v>
      </c>
      <c r="G693" s="8" t="s">
        <v>138</v>
      </c>
      <c r="H693" s="8" t="s">
        <v>138</v>
      </c>
      <c r="I693" s="8" t="s">
        <v>138</v>
      </c>
      <c r="J693" s="8" t="s">
        <v>138</v>
      </c>
      <c r="K693" s="8" t="s">
        <v>138</v>
      </c>
    </row>
    <row r="694" spans="1:11">
      <c r="A694" s="8" t="s">
        <v>138</v>
      </c>
      <c r="B694" s="8" t="s">
        <v>138</v>
      </c>
      <c r="C694" s="8" t="s">
        <v>138</v>
      </c>
      <c r="D694" s="8" t="s">
        <v>138</v>
      </c>
      <c r="E694" s="8" t="s">
        <v>138</v>
      </c>
      <c r="F694" s="8" t="s">
        <v>138</v>
      </c>
      <c r="G694" s="8" t="s">
        <v>138</v>
      </c>
      <c r="H694" s="8" t="s">
        <v>138</v>
      </c>
      <c r="I694" s="8" t="s">
        <v>138</v>
      </c>
      <c r="J694" s="8" t="s">
        <v>138</v>
      </c>
      <c r="K694" s="8" t="s">
        <v>138</v>
      </c>
    </row>
    <row r="695" spans="1:11">
      <c r="A695" s="8" t="s">
        <v>138</v>
      </c>
      <c r="B695" s="8" t="s">
        <v>138</v>
      </c>
      <c r="C695" s="8" t="s">
        <v>138</v>
      </c>
      <c r="D695" s="8" t="s">
        <v>138</v>
      </c>
      <c r="E695" s="8" t="s">
        <v>138</v>
      </c>
      <c r="F695" s="8" t="s">
        <v>138</v>
      </c>
      <c r="G695" s="8" t="s">
        <v>138</v>
      </c>
      <c r="H695" s="8" t="s">
        <v>138</v>
      </c>
      <c r="I695" s="8" t="s">
        <v>138</v>
      </c>
      <c r="J695" s="8" t="s">
        <v>138</v>
      </c>
      <c r="K695" s="8" t="s">
        <v>138</v>
      </c>
    </row>
    <row r="696" spans="1:11">
      <c r="A696" s="8" t="s">
        <v>138</v>
      </c>
      <c r="B696" s="8" t="s">
        <v>138</v>
      </c>
      <c r="C696" s="8" t="s">
        <v>138</v>
      </c>
      <c r="D696" s="8" t="s">
        <v>138</v>
      </c>
      <c r="E696" s="8" t="s">
        <v>138</v>
      </c>
      <c r="F696" s="8" t="s">
        <v>138</v>
      </c>
      <c r="G696" s="8" t="s">
        <v>138</v>
      </c>
      <c r="H696" s="8" t="s">
        <v>138</v>
      </c>
      <c r="I696" s="8" t="s">
        <v>138</v>
      </c>
      <c r="J696" s="8" t="s">
        <v>138</v>
      </c>
      <c r="K696" s="8" t="s">
        <v>138</v>
      </c>
    </row>
    <row r="697" spans="1:11">
      <c r="A697" s="8" t="s">
        <v>138</v>
      </c>
      <c r="B697" s="8" t="s">
        <v>138</v>
      </c>
      <c r="C697" s="8" t="s">
        <v>138</v>
      </c>
      <c r="D697" s="8" t="s">
        <v>138</v>
      </c>
      <c r="E697" s="8" t="s">
        <v>138</v>
      </c>
      <c r="F697" s="8" t="s">
        <v>138</v>
      </c>
      <c r="G697" s="8" t="s">
        <v>138</v>
      </c>
      <c r="H697" s="8" t="s">
        <v>138</v>
      </c>
      <c r="I697" s="8" t="s">
        <v>138</v>
      </c>
      <c r="J697" s="8" t="s">
        <v>138</v>
      </c>
      <c r="K697" s="8" t="s">
        <v>138</v>
      </c>
    </row>
    <row r="698" spans="1:11">
      <c r="A698" s="8" t="s">
        <v>138</v>
      </c>
      <c r="B698" s="8" t="s">
        <v>138</v>
      </c>
      <c r="C698" s="8" t="s">
        <v>138</v>
      </c>
      <c r="D698" s="8" t="s">
        <v>138</v>
      </c>
      <c r="E698" s="8" t="s">
        <v>138</v>
      </c>
      <c r="F698" s="8" t="s">
        <v>138</v>
      </c>
      <c r="G698" s="8" t="s">
        <v>138</v>
      </c>
      <c r="H698" s="8" t="s">
        <v>138</v>
      </c>
      <c r="I698" s="8" t="s">
        <v>138</v>
      </c>
      <c r="J698" s="8" t="s">
        <v>138</v>
      </c>
      <c r="K698" s="8" t="s">
        <v>138</v>
      </c>
    </row>
    <row r="699" spans="1:11">
      <c r="A699" s="8" t="s">
        <v>138</v>
      </c>
      <c r="B699" s="8" t="s">
        <v>138</v>
      </c>
      <c r="C699" s="8" t="s">
        <v>138</v>
      </c>
      <c r="D699" s="8" t="s">
        <v>138</v>
      </c>
      <c r="E699" s="8" t="s">
        <v>138</v>
      </c>
      <c r="F699" s="8" t="s">
        <v>138</v>
      </c>
      <c r="G699" s="8" t="s">
        <v>138</v>
      </c>
      <c r="H699" s="8" t="s">
        <v>138</v>
      </c>
      <c r="I699" s="8" t="s">
        <v>138</v>
      </c>
      <c r="J699" s="8" t="s">
        <v>138</v>
      </c>
      <c r="K699" s="8" t="s">
        <v>138</v>
      </c>
    </row>
    <row r="700" spans="1:11">
      <c r="A700" s="8" t="s">
        <v>138</v>
      </c>
      <c r="B700" s="8" t="s">
        <v>138</v>
      </c>
      <c r="C700" s="8" t="s">
        <v>138</v>
      </c>
      <c r="D700" s="8" t="s">
        <v>138</v>
      </c>
      <c r="E700" s="8" t="s">
        <v>138</v>
      </c>
      <c r="F700" s="8" t="s">
        <v>138</v>
      </c>
      <c r="G700" s="8" t="s">
        <v>138</v>
      </c>
      <c r="H700" s="8" t="s">
        <v>138</v>
      </c>
      <c r="I700" s="8" t="s">
        <v>138</v>
      </c>
      <c r="J700" s="8" t="s">
        <v>138</v>
      </c>
      <c r="K700" s="8" t="s">
        <v>138</v>
      </c>
    </row>
    <row r="701" spans="1:11">
      <c r="A701" s="8" t="s">
        <v>138</v>
      </c>
      <c r="B701" s="8" t="s">
        <v>138</v>
      </c>
      <c r="C701" s="8" t="s">
        <v>138</v>
      </c>
      <c r="D701" s="8" t="s">
        <v>138</v>
      </c>
      <c r="E701" s="8" t="s">
        <v>138</v>
      </c>
      <c r="F701" s="8" t="s">
        <v>138</v>
      </c>
      <c r="G701" s="8" t="s">
        <v>138</v>
      </c>
      <c r="H701" s="8" t="s">
        <v>138</v>
      </c>
      <c r="I701" s="8" t="s">
        <v>138</v>
      </c>
      <c r="J701" s="8" t="s">
        <v>138</v>
      </c>
      <c r="K701" s="8" t="s">
        <v>138</v>
      </c>
    </row>
    <row r="702" spans="1:11">
      <c r="A702" s="8" t="s">
        <v>138</v>
      </c>
      <c r="B702" s="8" t="s">
        <v>138</v>
      </c>
      <c r="C702" s="8" t="s">
        <v>138</v>
      </c>
      <c r="D702" s="8" t="s">
        <v>138</v>
      </c>
      <c r="E702" s="8" t="s">
        <v>138</v>
      </c>
      <c r="F702" s="8" t="s">
        <v>138</v>
      </c>
      <c r="G702" s="8" t="s">
        <v>138</v>
      </c>
      <c r="H702" s="8" t="s">
        <v>138</v>
      </c>
      <c r="I702" s="8" t="s">
        <v>138</v>
      </c>
      <c r="J702" s="8" t="s">
        <v>138</v>
      </c>
      <c r="K702" s="8" t="s">
        <v>138</v>
      </c>
    </row>
    <row r="703" spans="1:11">
      <c r="A703" s="8" t="s">
        <v>138</v>
      </c>
      <c r="B703" s="8" t="s">
        <v>138</v>
      </c>
      <c r="C703" s="8" t="s">
        <v>138</v>
      </c>
      <c r="D703" s="8" t="s">
        <v>138</v>
      </c>
      <c r="E703" s="8" t="s">
        <v>138</v>
      </c>
      <c r="F703" s="8" t="s">
        <v>138</v>
      </c>
      <c r="G703" s="8" t="s">
        <v>138</v>
      </c>
      <c r="H703" s="8" t="s">
        <v>138</v>
      </c>
      <c r="I703" s="8" t="s">
        <v>138</v>
      </c>
      <c r="J703" s="8" t="s">
        <v>138</v>
      </c>
      <c r="K703" s="8" t="s">
        <v>138</v>
      </c>
    </row>
    <row r="704" spans="1:11">
      <c r="A704" s="8" t="s">
        <v>138</v>
      </c>
      <c r="B704" s="8" t="s">
        <v>138</v>
      </c>
      <c r="C704" s="8" t="s">
        <v>138</v>
      </c>
      <c r="D704" s="8" t="s">
        <v>138</v>
      </c>
      <c r="E704" s="8" t="s">
        <v>138</v>
      </c>
      <c r="F704" s="8" t="s">
        <v>138</v>
      </c>
      <c r="G704" s="8" t="s">
        <v>138</v>
      </c>
      <c r="H704" s="8" t="s">
        <v>138</v>
      </c>
      <c r="I704" s="8" t="s">
        <v>138</v>
      </c>
      <c r="J704" s="8" t="s">
        <v>138</v>
      </c>
      <c r="K704" s="8" t="s">
        <v>138</v>
      </c>
    </row>
    <row r="705" spans="1:11">
      <c r="A705" s="8" t="s">
        <v>138</v>
      </c>
      <c r="B705" s="8" t="s">
        <v>138</v>
      </c>
      <c r="C705" s="8" t="s">
        <v>138</v>
      </c>
      <c r="D705" s="8" t="s">
        <v>138</v>
      </c>
      <c r="E705" s="8" t="s">
        <v>138</v>
      </c>
      <c r="F705" s="8" t="s">
        <v>138</v>
      </c>
      <c r="G705" s="8" t="s">
        <v>138</v>
      </c>
      <c r="H705" s="8" t="s">
        <v>138</v>
      </c>
      <c r="I705" s="8" t="s">
        <v>138</v>
      </c>
      <c r="J705" s="8" t="s">
        <v>138</v>
      </c>
      <c r="K705" s="8" t="s">
        <v>138</v>
      </c>
    </row>
    <row r="706" spans="1:11">
      <c r="A706" s="8" t="s">
        <v>138</v>
      </c>
      <c r="B706" s="8" t="s">
        <v>138</v>
      </c>
      <c r="C706" s="8" t="s">
        <v>138</v>
      </c>
      <c r="D706" s="8" t="s">
        <v>138</v>
      </c>
      <c r="E706" s="8" t="s">
        <v>138</v>
      </c>
      <c r="F706" s="8" t="s">
        <v>138</v>
      </c>
      <c r="G706" s="8" t="s">
        <v>138</v>
      </c>
      <c r="H706" s="8" t="s">
        <v>138</v>
      </c>
      <c r="I706" s="8" t="s">
        <v>138</v>
      </c>
      <c r="J706" s="8" t="s">
        <v>138</v>
      </c>
      <c r="K706" s="8" t="s">
        <v>138</v>
      </c>
    </row>
    <row r="707" spans="1:11">
      <c r="A707" s="8" t="s">
        <v>138</v>
      </c>
      <c r="B707" s="8" t="s">
        <v>138</v>
      </c>
      <c r="C707" s="8" t="s">
        <v>138</v>
      </c>
      <c r="D707" s="8" t="s">
        <v>138</v>
      </c>
      <c r="E707" s="8" t="s">
        <v>138</v>
      </c>
      <c r="F707" s="8" t="s">
        <v>138</v>
      </c>
      <c r="G707" s="8" t="s">
        <v>138</v>
      </c>
      <c r="H707" s="8" t="s">
        <v>138</v>
      </c>
      <c r="I707" s="8" t="s">
        <v>138</v>
      </c>
      <c r="J707" s="8" t="s">
        <v>138</v>
      </c>
      <c r="K707" s="8" t="s">
        <v>138</v>
      </c>
    </row>
    <row r="708" spans="1:11">
      <c r="A708" s="8" t="s">
        <v>138</v>
      </c>
      <c r="B708" s="8" t="s">
        <v>138</v>
      </c>
      <c r="C708" s="8" t="s">
        <v>138</v>
      </c>
      <c r="D708" s="8" t="s">
        <v>138</v>
      </c>
      <c r="E708" s="8" t="s">
        <v>138</v>
      </c>
      <c r="F708" s="8" t="s">
        <v>138</v>
      </c>
      <c r="G708" s="8" t="s">
        <v>138</v>
      </c>
      <c r="H708" s="8" t="s">
        <v>138</v>
      </c>
      <c r="I708" s="8" t="s">
        <v>138</v>
      </c>
      <c r="J708" s="8" t="s">
        <v>138</v>
      </c>
      <c r="K708" s="8" t="s">
        <v>138</v>
      </c>
    </row>
    <row r="709" spans="1:11">
      <c r="A709" s="8" t="s">
        <v>138</v>
      </c>
      <c r="B709" s="8" t="s">
        <v>138</v>
      </c>
      <c r="C709" s="8" t="s">
        <v>138</v>
      </c>
      <c r="D709" s="8" t="s">
        <v>138</v>
      </c>
      <c r="E709" s="8" t="s">
        <v>138</v>
      </c>
      <c r="F709" s="8" t="s">
        <v>138</v>
      </c>
      <c r="G709" s="8" t="s">
        <v>138</v>
      </c>
      <c r="H709" s="8" t="s">
        <v>138</v>
      </c>
      <c r="I709" s="8" t="s">
        <v>138</v>
      </c>
      <c r="J709" s="8" t="s">
        <v>138</v>
      </c>
      <c r="K709" s="8" t="s">
        <v>138</v>
      </c>
    </row>
    <row r="710" spans="1:11">
      <c r="A710" s="8" t="s">
        <v>138</v>
      </c>
      <c r="B710" s="8" t="s">
        <v>138</v>
      </c>
      <c r="C710" s="8" t="s">
        <v>138</v>
      </c>
      <c r="D710" s="8" t="s">
        <v>138</v>
      </c>
      <c r="E710" s="8" t="s">
        <v>138</v>
      </c>
      <c r="F710" s="8" t="s">
        <v>138</v>
      </c>
      <c r="G710" s="8" t="s">
        <v>138</v>
      </c>
      <c r="H710" s="8" t="s">
        <v>138</v>
      </c>
      <c r="I710" s="8" t="s">
        <v>138</v>
      </c>
      <c r="J710" s="8" t="s">
        <v>138</v>
      </c>
      <c r="K710" s="8" t="s">
        <v>138</v>
      </c>
    </row>
    <row r="711" spans="1:11">
      <c r="A711" s="8" t="s">
        <v>138</v>
      </c>
      <c r="B711" s="8" t="s">
        <v>138</v>
      </c>
      <c r="C711" s="8" t="s">
        <v>138</v>
      </c>
      <c r="D711" s="8" t="s">
        <v>138</v>
      </c>
      <c r="E711" s="8" t="s">
        <v>138</v>
      </c>
      <c r="F711" s="8" t="s">
        <v>138</v>
      </c>
      <c r="G711" s="8" t="s">
        <v>138</v>
      </c>
      <c r="H711" s="8" t="s">
        <v>138</v>
      </c>
      <c r="I711" s="8" t="s">
        <v>138</v>
      </c>
      <c r="J711" s="8" t="s">
        <v>138</v>
      </c>
      <c r="K711" s="8" t="s">
        <v>138</v>
      </c>
    </row>
    <row r="712" spans="1:11">
      <c r="A712" s="8" t="s">
        <v>138</v>
      </c>
      <c r="B712" s="8" t="s">
        <v>138</v>
      </c>
      <c r="C712" s="8" t="s">
        <v>138</v>
      </c>
      <c r="D712" s="8" t="s">
        <v>138</v>
      </c>
      <c r="E712" s="8" t="s">
        <v>138</v>
      </c>
      <c r="F712" s="8" t="s">
        <v>138</v>
      </c>
      <c r="G712" s="8" t="s">
        <v>138</v>
      </c>
      <c r="H712" s="8" t="s">
        <v>138</v>
      </c>
      <c r="I712" s="8" t="s">
        <v>138</v>
      </c>
      <c r="J712" s="8" t="s">
        <v>138</v>
      </c>
      <c r="K712" s="8" t="s">
        <v>138</v>
      </c>
    </row>
    <row r="713" spans="1:11">
      <c r="A713" s="8" t="s">
        <v>138</v>
      </c>
      <c r="B713" s="8" t="s">
        <v>138</v>
      </c>
      <c r="C713" s="8" t="s">
        <v>138</v>
      </c>
      <c r="D713" s="8" t="s">
        <v>138</v>
      </c>
      <c r="E713" s="8" t="s">
        <v>138</v>
      </c>
      <c r="F713" s="8" t="s">
        <v>138</v>
      </c>
      <c r="G713" s="8" t="s">
        <v>138</v>
      </c>
      <c r="H713" s="8" t="s">
        <v>138</v>
      </c>
      <c r="I713" s="8" t="s">
        <v>138</v>
      </c>
      <c r="J713" s="8" t="s">
        <v>138</v>
      </c>
      <c r="K713" s="8" t="s">
        <v>138</v>
      </c>
    </row>
    <row r="714" spans="1:11">
      <c r="A714" s="8" t="s">
        <v>138</v>
      </c>
      <c r="B714" s="8" t="s">
        <v>138</v>
      </c>
      <c r="C714" s="8" t="s">
        <v>138</v>
      </c>
      <c r="D714" s="8" t="s">
        <v>138</v>
      </c>
      <c r="E714" s="8" t="s">
        <v>138</v>
      </c>
      <c r="F714" s="8" t="s">
        <v>138</v>
      </c>
      <c r="G714" s="8" t="s">
        <v>138</v>
      </c>
      <c r="H714" s="8" t="s">
        <v>138</v>
      </c>
      <c r="I714" s="8" t="s">
        <v>138</v>
      </c>
      <c r="J714" s="8" t="s">
        <v>138</v>
      </c>
      <c r="K714" s="8" t="s">
        <v>138</v>
      </c>
    </row>
    <row r="715" spans="1:11">
      <c r="A715" s="8" t="s">
        <v>138</v>
      </c>
      <c r="B715" s="8" t="s">
        <v>138</v>
      </c>
      <c r="C715" s="8" t="s">
        <v>138</v>
      </c>
      <c r="D715" s="8" t="s">
        <v>138</v>
      </c>
      <c r="E715" s="8" t="s">
        <v>138</v>
      </c>
      <c r="F715" s="8" t="s">
        <v>138</v>
      </c>
      <c r="G715" s="8" t="s">
        <v>138</v>
      </c>
      <c r="H715" s="8" t="s">
        <v>138</v>
      </c>
      <c r="I715" s="8" t="s">
        <v>138</v>
      </c>
      <c r="J715" s="8" t="s">
        <v>138</v>
      </c>
      <c r="K715" s="8" t="s">
        <v>138</v>
      </c>
    </row>
    <row r="716" spans="1:11">
      <c r="A716" s="8" t="s">
        <v>138</v>
      </c>
      <c r="B716" s="8" t="s">
        <v>138</v>
      </c>
      <c r="C716" s="8" t="s">
        <v>138</v>
      </c>
      <c r="D716" s="8" t="s">
        <v>138</v>
      </c>
      <c r="E716" s="8" t="s">
        <v>138</v>
      </c>
      <c r="F716" s="8" t="s">
        <v>138</v>
      </c>
      <c r="G716" s="8" t="s">
        <v>138</v>
      </c>
      <c r="H716" s="8" t="s">
        <v>138</v>
      </c>
      <c r="I716" s="8" t="s">
        <v>138</v>
      </c>
      <c r="J716" s="8" t="s">
        <v>138</v>
      </c>
      <c r="K716" s="8" t="s">
        <v>138</v>
      </c>
    </row>
    <row r="717" spans="1:11">
      <c r="A717" s="8" t="s">
        <v>138</v>
      </c>
      <c r="B717" s="8" t="s">
        <v>138</v>
      </c>
      <c r="C717" s="8" t="s">
        <v>138</v>
      </c>
      <c r="D717" s="8" t="s">
        <v>138</v>
      </c>
      <c r="E717" s="8" t="s">
        <v>138</v>
      </c>
      <c r="F717" s="8" t="s">
        <v>138</v>
      </c>
      <c r="G717" s="8" t="s">
        <v>138</v>
      </c>
      <c r="H717" s="8" t="s">
        <v>138</v>
      </c>
      <c r="I717" s="8" t="s">
        <v>138</v>
      </c>
      <c r="J717" s="8" t="s">
        <v>138</v>
      </c>
      <c r="K717" s="8" t="s">
        <v>138</v>
      </c>
    </row>
    <row r="718" spans="1:11">
      <c r="A718" s="8" t="s">
        <v>138</v>
      </c>
      <c r="B718" s="8" t="s">
        <v>138</v>
      </c>
      <c r="C718" s="8" t="s">
        <v>138</v>
      </c>
      <c r="D718" s="8" t="s">
        <v>138</v>
      </c>
      <c r="E718" s="8" t="s">
        <v>138</v>
      </c>
      <c r="F718" s="8" t="s">
        <v>138</v>
      </c>
      <c r="G718" s="8" t="s">
        <v>138</v>
      </c>
      <c r="H718" s="8" t="s">
        <v>138</v>
      </c>
      <c r="I718" s="8" t="s">
        <v>138</v>
      </c>
      <c r="J718" s="8" t="s">
        <v>138</v>
      </c>
      <c r="K718" s="8" t="s">
        <v>138</v>
      </c>
    </row>
    <row r="719" spans="1:11">
      <c r="A719" s="8" t="s">
        <v>138</v>
      </c>
      <c r="B719" s="8" t="s">
        <v>138</v>
      </c>
      <c r="C719" s="8" t="s">
        <v>138</v>
      </c>
      <c r="D719" s="8" t="s">
        <v>138</v>
      </c>
      <c r="E719" s="8" t="s">
        <v>138</v>
      </c>
      <c r="F719" s="8" t="s">
        <v>138</v>
      </c>
      <c r="G719" s="8" t="s">
        <v>138</v>
      </c>
      <c r="H719" s="8" t="s">
        <v>138</v>
      </c>
      <c r="I719" s="8" t="s">
        <v>138</v>
      </c>
      <c r="J719" s="8" t="s">
        <v>138</v>
      </c>
      <c r="K719" s="8" t="s">
        <v>138</v>
      </c>
    </row>
    <row r="720" spans="1:11">
      <c r="A720" s="8" t="s">
        <v>138</v>
      </c>
      <c r="B720" s="8" t="s">
        <v>138</v>
      </c>
      <c r="C720" s="8" t="s">
        <v>138</v>
      </c>
      <c r="D720" s="8" t="s">
        <v>138</v>
      </c>
      <c r="E720" s="8" t="s">
        <v>138</v>
      </c>
      <c r="F720" s="8" t="s">
        <v>138</v>
      </c>
      <c r="G720" s="8" t="s">
        <v>138</v>
      </c>
      <c r="H720" s="8" t="s">
        <v>138</v>
      </c>
      <c r="I720" s="8" t="s">
        <v>138</v>
      </c>
      <c r="J720" s="8" t="s">
        <v>138</v>
      </c>
      <c r="K720" s="8" t="s">
        <v>138</v>
      </c>
    </row>
    <row r="721" spans="1:11">
      <c r="A721" s="8" t="s">
        <v>138</v>
      </c>
      <c r="B721" s="8" t="s">
        <v>138</v>
      </c>
      <c r="C721" s="8" t="s">
        <v>138</v>
      </c>
      <c r="D721" s="8" t="s">
        <v>138</v>
      </c>
      <c r="E721" s="8" t="s">
        <v>138</v>
      </c>
      <c r="F721" s="8" t="s">
        <v>138</v>
      </c>
      <c r="G721" s="8" t="s">
        <v>138</v>
      </c>
      <c r="H721" s="8" t="s">
        <v>138</v>
      </c>
      <c r="I721" s="8" t="s">
        <v>138</v>
      </c>
      <c r="J721" s="8" t="s">
        <v>138</v>
      </c>
      <c r="K721" s="8" t="s">
        <v>138</v>
      </c>
    </row>
    <row r="722" spans="1:11">
      <c r="A722" s="8" t="s">
        <v>138</v>
      </c>
      <c r="B722" s="8" t="s">
        <v>138</v>
      </c>
      <c r="C722" s="8" t="s">
        <v>138</v>
      </c>
      <c r="D722" s="8" t="s">
        <v>138</v>
      </c>
      <c r="E722" s="8" t="s">
        <v>138</v>
      </c>
      <c r="F722" s="8" t="s">
        <v>138</v>
      </c>
      <c r="G722" s="8" t="s">
        <v>138</v>
      </c>
      <c r="H722" s="8" t="s">
        <v>138</v>
      </c>
      <c r="I722" s="8" t="s">
        <v>138</v>
      </c>
      <c r="J722" s="8" t="s">
        <v>138</v>
      </c>
      <c r="K722" s="8" t="s">
        <v>138</v>
      </c>
    </row>
    <row r="723" spans="1:11">
      <c r="A723" s="8" t="s">
        <v>138</v>
      </c>
      <c r="B723" s="8" t="s">
        <v>138</v>
      </c>
      <c r="C723" s="8" t="s">
        <v>138</v>
      </c>
      <c r="D723" s="8" t="s">
        <v>138</v>
      </c>
      <c r="E723" s="8" t="s">
        <v>138</v>
      </c>
      <c r="F723" s="8" t="s">
        <v>138</v>
      </c>
      <c r="G723" s="8" t="s">
        <v>138</v>
      </c>
      <c r="H723" s="8" t="s">
        <v>138</v>
      </c>
      <c r="I723" s="8" t="s">
        <v>138</v>
      </c>
      <c r="J723" s="8" t="s">
        <v>138</v>
      </c>
      <c r="K723" s="8" t="s">
        <v>138</v>
      </c>
    </row>
    <row r="724" spans="1:11">
      <c r="A724" s="8" t="s">
        <v>138</v>
      </c>
      <c r="B724" s="8" t="s">
        <v>138</v>
      </c>
      <c r="C724" s="8" t="s">
        <v>138</v>
      </c>
      <c r="D724" s="8" t="s">
        <v>138</v>
      </c>
      <c r="E724" s="8" t="s">
        <v>138</v>
      </c>
      <c r="F724" s="8" t="s">
        <v>138</v>
      </c>
      <c r="G724" s="8" t="s">
        <v>138</v>
      </c>
      <c r="H724" s="8" t="s">
        <v>138</v>
      </c>
      <c r="I724" s="8" t="s">
        <v>138</v>
      </c>
      <c r="J724" s="8" t="s">
        <v>138</v>
      </c>
      <c r="K724" s="8" t="s">
        <v>138</v>
      </c>
    </row>
    <row r="725" spans="1:11">
      <c r="A725" s="8" t="s">
        <v>138</v>
      </c>
      <c r="B725" s="8" t="s">
        <v>138</v>
      </c>
      <c r="C725" s="8" t="s">
        <v>138</v>
      </c>
      <c r="D725" s="8" t="s">
        <v>138</v>
      </c>
      <c r="E725" s="8" t="s">
        <v>138</v>
      </c>
      <c r="F725" s="8" t="s">
        <v>138</v>
      </c>
      <c r="G725" s="8" t="s">
        <v>138</v>
      </c>
      <c r="H725" s="8" t="s">
        <v>138</v>
      </c>
      <c r="I725" s="8" t="s">
        <v>138</v>
      </c>
      <c r="J725" s="8" t="s">
        <v>138</v>
      </c>
      <c r="K725" s="8" t="s">
        <v>138</v>
      </c>
    </row>
    <row r="726" spans="1:11">
      <c r="A726" s="8" t="s">
        <v>138</v>
      </c>
      <c r="B726" s="8" t="s">
        <v>138</v>
      </c>
      <c r="C726" s="8" t="s">
        <v>138</v>
      </c>
      <c r="D726" s="8" t="s">
        <v>138</v>
      </c>
      <c r="E726" s="8" t="s">
        <v>138</v>
      </c>
      <c r="F726" s="8" t="s">
        <v>138</v>
      </c>
      <c r="G726" s="8" t="s">
        <v>138</v>
      </c>
      <c r="H726" s="8" t="s">
        <v>138</v>
      </c>
      <c r="I726" s="8" t="s">
        <v>138</v>
      </c>
      <c r="J726" s="8" t="s">
        <v>138</v>
      </c>
      <c r="K726" s="8" t="s">
        <v>138</v>
      </c>
    </row>
    <row r="727" spans="1:11">
      <c r="A727" s="8" t="s">
        <v>138</v>
      </c>
      <c r="B727" s="8" t="s">
        <v>138</v>
      </c>
      <c r="C727" s="8" t="s">
        <v>138</v>
      </c>
      <c r="D727" s="8" t="s">
        <v>138</v>
      </c>
      <c r="E727" s="8" t="s">
        <v>138</v>
      </c>
      <c r="F727" s="8" t="s">
        <v>138</v>
      </c>
      <c r="G727" s="8" t="s">
        <v>138</v>
      </c>
      <c r="H727" s="8" t="s">
        <v>138</v>
      </c>
      <c r="I727" s="8" t="s">
        <v>138</v>
      </c>
      <c r="J727" s="8" t="s">
        <v>138</v>
      </c>
      <c r="K727" s="8" t="s">
        <v>138</v>
      </c>
    </row>
    <row r="728" spans="1:11">
      <c r="A728" s="8" t="s">
        <v>138</v>
      </c>
      <c r="B728" s="8" t="s">
        <v>138</v>
      </c>
      <c r="C728" s="8" t="s">
        <v>138</v>
      </c>
      <c r="D728" s="8" t="s">
        <v>138</v>
      </c>
      <c r="E728" s="8" t="s">
        <v>138</v>
      </c>
      <c r="F728" s="8" t="s">
        <v>138</v>
      </c>
      <c r="G728" s="8" t="s">
        <v>138</v>
      </c>
      <c r="H728" s="8" t="s">
        <v>138</v>
      </c>
      <c r="I728" s="8" t="s">
        <v>138</v>
      </c>
      <c r="J728" s="8" t="s">
        <v>138</v>
      </c>
      <c r="K728" s="8" t="s">
        <v>138</v>
      </c>
    </row>
    <row r="729" spans="1:11">
      <c r="A729" s="8" t="s">
        <v>138</v>
      </c>
      <c r="B729" s="8" t="s">
        <v>138</v>
      </c>
      <c r="C729" s="8" t="s">
        <v>138</v>
      </c>
      <c r="D729" s="8" t="s">
        <v>138</v>
      </c>
      <c r="E729" s="8" t="s">
        <v>138</v>
      </c>
      <c r="F729" s="8" t="s">
        <v>138</v>
      </c>
      <c r="G729" s="8" t="s">
        <v>138</v>
      </c>
      <c r="H729" s="8" t="s">
        <v>138</v>
      </c>
      <c r="I729" s="8" t="s">
        <v>138</v>
      </c>
      <c r="J729" s="8" t="s">
        <v>138</v>
      </c>
      <c r="K729" s="8" t="s">
        <v>138</v>
      </c>
    </row>
    <row r="730" spans="1:11">
      <c r="A730" s="8" t="s">
        <v>138</v>
      </c>
      <c r="B730" s="8" t="s">
        <v>138</v>
      </c>
      <c r="C730" s="8" t="s">
        <v>138</v>
      </c>
      <c r="D730" s="8" t="s">
        <v>138</v>
      </c>
      <c r="E730" s="8" t="s">
        <v>138</v>
      </c>
      <c r="F730" s="8" t="s">
        <v>138</v>
      </c>
      <c r="G730" s="8" t="s">
        <v>138</v>
      </c>
      <c r="H730" s="8" t="s">
        <v>138</v>
      </c>
      <c r="I730" s="8" t="s">
        <v>138</v>
      </c>
      <c r="J730" s="8" t="s">
        <v>138</v>
      </c>
      <c r="K730" s="8" t="s">
        <v>138</v>
      </c>
    </row>
    <row r="731" spans="1:11">
      <c r="A731" s="8" t="s">
        <v>138</v>
      </c>
      <c r="B731" s="8" t="s">
        <v>138</v>
      </c>
      <c r="C731" s="8" t="s">
        <v>138</v>
      </c>
      <c r="D731" s="8" t="s">
        <v>138</v>
      </c>
      <c r="E731" s="8" t="s">
        <v>138</v>
      </c>
      <c r="F731" s="8" t="s">
        <v>138</v>
      </c>
      <c r="G731" s="8" t="s">
        <v>138</v>
      </c>
      <c r="H731" s="8" t="s">
        <v>138</v>
      </c>
      <c r="I731" s="8" t="s">
        <v>138</v>
      </c>
      <c r="J731" s="8" t="s">
        <v>138</v>
      </c>
      <c r="K731" s="8" t="s">
        <v>138</v>
      </c>
    </row>
    <row r="732" spans="1:11">
      <c r="A732" s="8" t="s">
        <v>138</v>
      </c>
      <c r="B732" s="8" t="s">
        <v>138</v>
      </c>
      <c r="C732" s="8" t="s">
        <v>138</v>
      </c>
      <c r="D732" s="8" t="s">
        <v>138</v>
      </c>
      <c r="E732" s="8" t="s">
        <v>138</v>
      </c>
      <c r="F732" s="8" t="s">
        <v>138</v>
      </c>
      <c r="G732" s="8" t="s">
        <v>138</v>
      </c>
      <c r="H732" s="8" t="s">
        <v>138</v>
      </c>
      <c r="I732" s="8" t="s">
        <v>138</v>
      </c>
      <c r="J732" s="8" t="s">
        <v>138</v>
      </c>
      <c r="K732" s="8" t="s">
        <v>138</v>
      </c>
    </row>
    <row r="733" spans="1:11">
      <c r="A733" s="8" t="s">
        <v>138</v>
      </c>
      <c r="B733" s="8" t="s">
        <v>138</v>
      </c>
      <c r="C733" s="8" t="s">
        <v>138</v>
      </c>
      <c r="D733" s="8" t="s">
        <v>138</v>
      </c>
      <c r="E733" s="8" t="s">
        <v>138</v>
      </c>
      <c r="F733" s="8" t="s">
        <v>138</v>
      </c>
      <c r="G733" s="8" t="s">
        <v>138</v>
      </c>
      <c r="H733" s="8" t="s">
        <v>138</v>
      </c>
      <c r="I733" s="8" t="s">
        <v>138</v>
      </c>
      <c r="J733" s="8" t="s">
        <v>138</v>
      </c>
      <c r="K733" s="8" t="s">
        <v>138</v>
      </c>
    </row>
    <row r="734" spans="1:11">
      <c r="A734" s="8" t="s">
        <v>138</v>
      </c>
      <c r="B734" s="8" t="s">
        <v>138</v>
      </c>
      <c r="C734" s="8" t="s">
        <v>138</v>
      </c>
      <c r="D734" s="8" t="s">
        <v>138</v>
      </c>
      <c r="E734" s="8" t="s">
        <v>138</v>
      </c>
      <c r="F734" s="8" t="s">
        <v>138</v>
      </c>
      <c r="G734" s="8" t="s">
        <v>138</v>
      </c>
      <c r="H734" s="8" t="s">
        <v>138</v>
      </c>
      <c r="I734" s="8" t="s">
        <v>138</v>
      </c>
      <c r="J734" s="8" t="s">
        <v>138</v>
      </c>
      <c r="K734" s="8" t="s">
        <v>138</v>
      </c>
    </row>
    <row r="735" spans="1:11">
      <c r="A735" s="8" t="s">
        <v>138</v>
      </c>
      <c r="B735" s="8" t="s">
        <v>138</v>
      </c>
      <c r="C735" s="8" t="s">
        <v>138</v>
      </c>
      <c r="D735" s="8" t="s">
        <v>138</v>
      </c>
      <c r="E735" s="8" t="s">
        <v>138</v>
      </c>
      <c r="F735" s="8" t="s">
        <v>138</v>
      </c>
      <c r="G735" s="8" t="s">
        <v>138</v>
      </c>
      <c r="H735" s="8" t="s">
        <v>138</v>
      </c>
      <c r="I735" s="8" t="s">
        <v>138</v>
      </c>
      <c r="J735" s="8" t="s">
        <v>138</v>
      </c>
      <c r="K735" s="8" t="s">
        <v>138</v>
      </c>
    </row>
    <row r="736" spans="1:11">
      <c r="A736" s="8" t="s">
        <v>138</v>
      </c>
      <c r="B736" s="8" t="s">
        <v>138</v>
      </c>
      <c r="C736" s="8" t="s">
        <v>138</v>
      </c>
      <c r="D736" s="8" t="s">
        <v>138</v>
      </c>
      <c r="E736" s="8" t="s">
        <v>138</v>
      </c>
      <c r="F736" s="8" t="s">
        <v>138</v>
      </c>
      <c r="G736" s="8" t="s">
        <v>138</v>
      </c>
      <c r="H736" s="8" t="s">
        <v>138</v>
      </c>
      <c r="I736" s="8" t="s">
        <v>138</v>
      </c>
      <c r="J736" s="8" t="s">
        <v>138</v>
      </c>
      <c r="K736" s="8" t="s">
        <v>138</v>
      </c>
    </row>
    <row r="737" spans="1:11">
      <c r="A737" s="8" t="s">
        <v>138</v>
      </c>
      <c r="B737" s="8" t="s">
        <v>138</v>
      </c>
      <c r="C737" s="8" t="s">
        <v>138</v>
      </c>
      <c r="D737" s="8" t="s">
        <v>138</v>
      </c>
      <c r="E737" s="8" t="s">
        <v>138</v>
      </c>
      <c r="F737" s="8" t="s">
        <v>138</v>
      </c>
      <c r="G737" s="8" t="s">
        <v>138</v>
      </c>
      <c r="H737" s="8" t="s">
        <v>138</v>
      </c>
      <c r="I737" s="8" t="s">
        <v>138</v>
      </c>
      <c r="J737" s="8" t="s">
        <v>138</v>
      </c>
      <c r="K737" s="8" t="s">
        <v>138</v>
      </c>
    </row>
    <row r="738" spans="1:11">
      <c r="A738" s="8" t="s">
        <v>138</v>
      </c>
      <c r="B738" s="8" t="s">
        <v>138</v>
      </c>
      <c r="C738" s="8" t="s">
        <v>138</v>
      </c>
      <c r="D738" s="8" t="s">
        <v>138</v>
      </c>
      <c r="E738" s="8" t="s">
        <v>138</v>
      </c>
      <c r="F738" s="8" t="s">
        <v>138</v>
      </c>
      <c r="G738" s="8" t="s">
        <v>138</v>
      </c>
      <c r="H738" s="8" t="s">
        <v>138</v>
      </c>
      <c r="I738" s="8" t="s">
        <v>138</v>
      </c>
      <c r="J738" s="8" t="s">
        <v>138</v>
      </c>
      <c r="K738" s="8" t="s">
        <v>138</v>
      </c>
    </row>
    <row r="739" spans="1:11">
      <c r="A739" s="8" t="s">
        <v>138</v>
      </c>
      <c r="B739" s="8" t="s">
        <v>138</v>
      </c>
      <c r="C739" s="8" t="s">
        <v>138</v>
      </c>
      <c r="D739" s="8" t="s">
        <v>138</v>
      </c>
      <c r="E739" s="8" t="s">
        <v>138</v>
      </c>
      <c r="F739" s="8" t="s">
        <v>138</v>
      </c>
      <c r="G739" s="8" t="s">
        <v>138</v>
      </c>
      <c r="H739" s="8" t="s">
        <v>138</v>
      </c>
      <c r="I739" s="8" t="s">
        <v>138</v>
      </c>
      <c r="J739" s="8" t="s">
        <v>138</v>
      </c>
      <c r="K739" s="8" t="s">
        <v>138</v>
      </c>
    </row>
    <row r="740" spans="1:11">
      <c r="A740" s="8" t="s">
        <v>138</v>
      </c>
      <c r="B740" s="8" t="s">
        <v>138</v>
      </c>
      <c r="C740" s="8" t="s">
        <v>138</v>
      </c>
      <c r="D740" s="8" t="s">
        <v>138</v>
      </c>
      <c r="E740" s="8" t="s">
        <v>138</v>
      </c>
      <c r="F740" s="8" t="s">
        <v>138</v>
      </c>
      <c r="G740" s="8" t="s">
        <v>138</v>
      </c>
      <c r="H740" s="8" t="s">
        <v>138</v>
      </c>
      <c r="I740" s="8" t="s">
        <v>138</v>
      </c>
      <c r="J740" s="8" t="s">
        <v>138</v>
      </c>
      <c r="K740" s="8" t="s">
        <v>138</v>
      </c>
    </row>
    <row r="741" spans="1:11">
      <c r="A741" s="8" t="s">
        <v>138</v>
      </c>
      <c r="B741" s="8" t="s">
        <v>138</v>
      </c>
      <c r="C741" s="8" t="s">
        <v>138</v>
      </c>
      <c r="D741" s="8" t="s">
        <v>138</v>
      </c>
      <c r="E741" s="8" t="s">
        <v>138</v>
      </c>
      <c r="F741" s="8" t="s">
        <v>138</v>
      </c>
      <c r="G741" s="8" t="s">
        <v>138</v>
      </c>
      <c r="H741" s="8" t="s">
        <v>138</v>
      </c>
      <c r="I741" s="8" t="s">
        <v>138</v>
      </c>
      <c r="J741" s="8" t="s">
        <v>138</v>
      </c>
      <c r="K741" s="8" t="s">
        <v>138</v>
      </c>
    </row>
    <row r="742" spans="1:11">
      <c r="A742" s="8" t="s">
        <v>138</v>
      </c>
      <c r="B742" s="8" t="s">
        <v>138</v>
      </c>
      <c r="C742" s="8" t="s">
        <v>138</v>
      </c>
      <c r="D742" s="8" t="s">
        <v>138</v>
      </c>
      <c r="E742" s="8" t="s">
        <v>138</v>
      </c>
      <c r="F742" s="8" t="s">
        <v>138</v>
      </c>
      <c r="G742" s="8" t="s">
        <v>138</v>
      </c>
      <c r="H742" s="8" t="s">
        <v>138</v>
      </c>
      <c r="I742" s="8" t="s">
        <v>138</v>
      </c>
      <c r="J742" s="8" t="s">
        <v>138</v>
      </c>
      <c r="K742" s="8" t="s">
        <v>138</v>
      </c>
    </row>
    <row r="743" spans="1:11">
      <c r="A743" s="8" t="s">
        <v>138</v>
      </c>
      <c r="B743" s="8" t="s">
        <v>138</v>
      </c>
      <c r="C743" s="8" t="s">
        <v>138</v>
      </c>
      <c r="D743" s="8" t="s">
        <v>138</v>
      </c>
      <c r="E743" s="8" t="s">
        <v>138</v>
      </c>
      <c r="F743" s="8" t="s">
        <v>138</v>
      </c>
      <c r="G743" s="8" t="s">
        <v>138</v>
      </c>
      <c r="H743" s="8" t="s">
        <v>138</v>
      </c>
      <c r="I743" s="8" t="s">
        <v>138</v>
      </c>
      <c r="J743" s="8" t="s">
        <v>138</v>
      </c>
      <c r="K743" s="8" t="s">
        <v>138</v>
      </c>
    </row>
    <row r="744" spans="1:11">
      <c r="A744" s="8" t="s">
        <v>138</v>
      </c>
      <c r="B744" s="8" t="s">
        <v>138</v>
      </c>
      <c r="C744" s="8" t="s">
        <v>138</v>
      </c>
      <c r="D744" s="8" t="s">
        <v>138</v>
      </c>
      <c r="E744" s="8" t="s">
        <v>138</v>
      </c>
      <c r="F744" s="8" t="s">
        <v>138</v>
      </c>
      <c r="G744" s="8" t="s">
        <v>138</v>
      </c>
      <c r="H744" s="8" t="s">
        <v>138</v>
      </c>
      <c r="I744" s="8" t="s">
        <v>138</v>
      </c>
      <c r="J744" s="8" t="s">
        <v>138</v>
      </c>
      <c r="K744" s="8" t="s">
        <v>138</v>
      </c>
    </row>
    <row r="745" spans="1:11">
      <c r="A745" s="8" t="s">
        <v>138</v>
      </c>
      <c r="B745" s="8" t="s">
        <v>138</v>
      </c>
      <c r="C745" s="8" t="s">
        <v>138</v>
      </c>
      <c r="D745" s="8" t="s">
        <v>138</v>
      </c>
      <c r="E745" s="8" t="s">
        <v>138</v>
      </c>
      <c r="F745" s="8" t="s">
        <v>138</v>
      </c>
      <c r="G745" s="8" t="s">
        <v>138</v>
      </c>
      <c r="H745" s="8" t="s">
        <v>138</v>
      </c>
      <c r="I745" s="8" t="s">
        <v>138</v>
      </c>
      <c r="J745" s="8" t="s">
        <v>138</v>
      </c>
      <c r="K745" s="8" t="s">
        <v>138</v>
      </c>
    </row>
    <row r="746" spans="1:11">
      <c r="A746" s="8" t="s">
        <v>138</v>
      </c>
      <c r="B746" s="8" t="s">
        <v>138</v>
      </c>
      <c r="C746" s="8" t="s">
        <v>138</v>
      </c>
      <c r="D746" s="8" t="s">
        <v>138</v>
      </c>
      <c r="E746" s="8" t="s">
        <v>138</v>
      </c>
      <c r="F746" s="8" t="s">
        <v>138</v>
      </c>
      <c r="G746" s="8" t="s">
        <v>138</v>
      </c>
      <c r="H746" s="8" t="s">
        <v>138</v>
      </c>
      <c r="I746" s="8" t="s">
        <v>138</v>
      </c>
      <c r="J746" s="8" t="s">
        <v>138</v>
      </c>
      <c r="K746" s="8" t="s">
        <v>138</v>
      </c>
    </row>
    <row r="747" spans="1:11">
      <c r="A747" s="8" t="s">
        <v>138</v>
      </c>
      <c r="B747" s="8" t="s">
        <v>138</v>
      </c>
      <c r="C747" s="8" t="s">
        <v>138</v>
      </c>
      <c r="D747" s="8" t="s">
        <v>138</v>
      </c>
      <c r="E747" s="8" t="s">
        <v>138</v>
      </c>
      <c r="F747" s="8" t="s">
        <v>138</v>
      </c>
      <c r="G747" s="8" t="s">
        <v>138</v>
      </c>
      <c r="H747" s="8" t="s">
        <v>138</v>
      </c>
      <c r="I747" s="8" t="s">
        <v>138</v>
      </c>
      <c r="J747" s="8" t="s">
        <v>138</v>
      </c>
      <c r="K747" s="8" t="s">
        <v>138</v>
      </c>
    </row>
    <row r="748" spans="1:11">
      <c r="A748" s="8" t="s">
        <v>138</v>
      </c>
      <c r="B748" s="8" t="s">
        <v>138</v>
      </c>
      <c r="C748" s="8" t="s">
        <v>138</v>
      </c>
      <c r="D748" s="8" t="s">
        <v>138</v>
      </c>
      <c r="E748" s="8" t="s">
        <v>138</v>
      </c>
      <c r="F748" s="8" t="s">
        <v>138</v>
      </c>
      <c r="G748" s="8" t="s">
        <v>138</v>
      </c>
      <c r="H748" s="8" t="s">
        <v>138</v>
      </c>
      <c r="I748" s="8" t="s">
        <v>138</v>
      </c>
      <c r="J748" s="8" t="s">
        <v>138</v>
      </c>
      <c r="K748" s="8" t="s">
        <v>138</v>
      </c>
    </row>
    <row r="749" spans="1:11">
      <c r="A749" s="8" t="s">
        <v>138</v>
      </c>
      <c r="B749" s="8" t="s">
        <v>138</v>
      </c>
      <c r="C749" s="8" t="s">
        <v>138</v>
      </c>
      <c r="D749" s="8" t="s">
        <v>138</v>
      </c>
      <c r="E749" s="8" t="s">
        <v>138</v>
      </c>
      <c r="F749" s="8" t="s">
        <v>138</v>
      </c>
      <c r="G749" s="8" t="s">
        <v>138</v>
      </c>
      <c r="H749" s="8" t="s">
        <v>138</v>
      </c>
      <c r="I749" s="8" t="s">
        <v>138</v>
      </c>
      <c r="J749" s="8" t="s">
        <v>138</v>
      </c>
      <c r="K749" s="8" t="s">
        <v>138</v>
      </c>
    </row>
    <row r="750" spans="1:11">
      <c r="A750" s="8" t="s">
        <v>138</v>
      </c>
      <c r="B750" s="8" t="s">
        <v>138</v>
      </c>
      <c r="C750" s="8" t="s">
        <v>138</v>
      </c>
      <c r="D750" s="8" t="s">
        <v>138</v>
      </c>
      <c r="E750" s="8" t="s">
        <v>138</v>
      </c>
      <c r="F750" s="8" t="s">
        <v>138</v>
      </c>
      <c r="G750" s="8" t="s">
        <v>138</v>
      </c>
      <c r="H750" s="8" t="s">
        <v>138</v>
      </c>
      <c r="I750" s="8" t="s">
        <v>138</v>
      </c>
      <c r="J750" s="8" t="s">
        <v>138</v>
      </c>
      <c r="K750" s="8" t="s">
        <v>138</v>
      </c>
    </row>
    <row r="751" spans="1:11">
      <c r="A751" s="8" t="s">
        <v>138</v>
      </c>
      <c r="B751" s="8" t="s">
        <v>138</v>
      </c>
      <c r="C751" s="8" t="s">
        <v>138</v>
      </c>
      <c r="D751" s="8" t="s">
        <v>138</v>
      </c>
      <c r="E751" s="8" t="s">
        <v>138</v>
      </c>
      <c r="F751" s="8" t="s">
        <v>138</v>
      </c>
      <c r="G751" s="8" t="s">
        <v>138</v>
      </c>
      <c r="H751" s="8" t="s">
        <v>138</v>
      </c>
      <c r="I751" s="8" t="s">
        <v>138</v>
      </c>
      <c r="J751" s="8" t="s">
        <v>138</v>
      </c>
      <c r="K751" s="8" t="s">
        <v>138</v>
      </c>
    </row>
    <row r="752" spans="1:11">
      <c r="A752" s="8" t="s">
        <v>138</v>
      </c>
      <c r="B752" s="8" t="s">
        <v>138</v>
      </c>
      <c r="C752" s="8" t="s">
        <v>138</v>
      </c>
      <c r="D752" s="8" t="s">
        <v>138</v>
      </c>
      <c r="E752" s="8" t="s">
        <v>138</v>
      </c>
      <c r="F752" s="8" t="s">
        <v>138</v>
      </c>
      <c r="G752" s="8" t="s">
        <v>138</v>
      </c>
      <c r="H752" s="8" t="s">
        <v>138</v>
      </c>
      <c r="I752" s="8" t="s">
        <v>138</v>
      </c>
      <c r="J752" s="8" t="s">
        <v>138</v>
      </c>
      <c r="K752" s="8" t="s">
        <v>138</v>
      </c>
    </row>
    <row r="753" spans="1:11">
      <c r="A753" s="8" t="s">
        <v>138</v>
      </c>
      <c r="B753" s="8" t="s">
        <v>138</v>
      </c>
      <c r="C753" s="8" t="s">
        <v>138</v>
      </c>
      <c r="D753" s="8" t="s">
        <v>138</v>
      </c>
      <c r="E753" s="8" t="s">
        <v>138</v>
      </c>
      <c r="F753" s="8" t="s">
        <v>138</v>
      </c>
      <c r="G753" s="8" t="s">
        <v>138</v>
      </c>
      <c r="H753" s="8" t="s">
        <v>138</v>
      </c>
      <c r="I753" s="8" t="s">
        <v>138</v>
      </c>
      <c r="J753" s="8" t="s">
        <v>138</v>
      </c>
      <c r="K753" s="8" t="s">
        <v>138</v>
      </c>
    </row>
    <row r="754" spans="1:11">
      <c r="A754" s="8" t="s">
        <v>138</v>
      </c>
      <c r="B754" s="8" t="s">
        <v>138</v>
      </c>
      <c r="C754" s="8" t="s">
        <v>138</v>
      </c>
      <c r="D754" s="8" t="s">
        <v>138</v>
      </c>
      <c r="E754" s="8" t="s">
        <v>138</v>
      </c>
      <c r="F754" s="8" t="s">
        <v>138</v>
      </c>
      <c r="G754" s="8" t="s">
        <v>138</v>
      </c>
      <c r="H754" s="8" t="s">
        <v>138</v>
      </c>
      <c r="I754" s="8" t="s">
        <v>138</v>
      </c>
      <c r="J754" s="8" t="s">
        <v>138</v>
      </c>
      <c r="K754" s="8" t="s">
        <v>138</v>
      </c>
    </row>
    <row r="755" spans="1:11">
      <c r="A755" s="8" t="s">
        <v>138</v>
      </c>
      <c r="B755" s="8" t="s">
        <v>138</v>
      </c>
      <c r="C755" s="8" t="s">
        <v>138</v>
      </c>
      <c r="D755" s="8" t="s">
        <v>138</v>
      </c>
      <c r="E755" s="8" t="s">
        <v>138</v>
      </c>
      <c r="F755" s="8" t="s">
        <v>138</v>
      </c>
      <c r="G755" s="8" t="s">
        <v>138</v>
      </c>
      <c r="H755" s="8" t="s">
        <v>138</v>
      </c>
      <c r="I755" s="8" t="s">
        <v>138</v>
      </c>
      <c r="J755" s="8" t="s">
        <v>138</v>
      </c>
      <c r="K755" s="8" t="s">
        <v>138</v>
      </c>
    </row>
    <row r="756" spans="1:11">
      <c r="A756" s="8" t="s">
        <v>138</v>
      </c>
      <c r="B756" s="8" t="s">
        <v>138</v>
      </c>
      <c r="C756" s="8" t="s">
        <v>138</v>
      </c>
      <c r="D756" s="8" t="s">
        <v>138</v>
      </c>
      <c r="E756" s="8" t="s">
        <v>138</v>
      </c>
      <c r="F756" s="8" t="s">
        <v>138</v>
      </c>
      <c r="G756" s="8" t="s">
        <v>138</v>
      </c>
      <c r="H756" s="8" t="s">
        <v>138</v>
      </c>
      <c r="I756" s="8" t="s">
        <v>138</v>
      </c>
      <c r="J756" s="8" t="s">
        <v>138</v>
      </c>
      <c r="K756" s="8" t="s">
        <v>138</v>
      </c>
    </row>
    <row r="757" spans="1:11">
      <c r="A757" s="8" t="s">
        <v>138</v>
      </c>
      <c r="B757" s="8" t="s">
        <v>138</v>
      </c>
      <c r="C757" s="8" t="s">
        <v>138</v>
      </c>
      <c r="D757" s="8" t="s">
        <v>138</v>
      </c>
      <c r="E757" s="8" t="s">
        <v>138</v>
      </c>
      <c r="F757" s="8" t="s">
        <v>138</v>
      </c>
      <c r="G757" s="8" t="s">
        <v>138</v>
      </c>
      <c r="H757" s="8" t="s">
        <v>138</v>
      </c>
      <c r="I757" s="8" t="s">
        <v>138</v>
      </c>
      <c r="J757" s="8" t="s">
        <v>138</v>
      </c>
      <c r="K757" s="8" t="s">
        <v>138</v>
      </c>
    </row>
    <row r="758" spans="1:11">
      <c r="A758" s="8" t="s">
        <v>138</v>
      </c>
      <c r="B758" s="8" t="s">
        <v>138</v>
      </c>
      <c r="C758" s="8" t="s">
        <v>138</v>
      </c>
      <c r="D758" s="8" t="s">
        <v>138</v>
      </c>
      <c r="E758" s="8" t="s">
        <v>138</v>
      </c>
      <c r="F758" s="8" t="s">
        <v>138</v>
      </c>
      <c r="G758" s="8" t="s">
        <v>138</v>
      </c>
      <c r="H758" s="8" t="s">
        <v>138</v>
      </c>
      <c r="I758" s="8" t="s">
        <v>138</v>
      </c>
      <c r="J758" s="8" t="s">
        <v>138</v>
      </c>
      <c r="K758" s="8" t="s">
        <v>138</v>
      </c>
    </row>
    <row r="759" spans="1:11">
      <c r="A759" s="8" t="s">
        <v>138</v>
      </c>
      <c r="B759" s="8" t="s">
        <v>138</v>
      </c>
      <c r="C759" s="8" t="s">
        <v>138</v>
      </c>
      <c r="D759" s="8" t="s">
        <v>138</v>
      </c>
      <c r="E759" s="8" t="s">
        <v>138</v>
      </c>
      <c r="F759" s="8" t="s">
        <v>138</v>
      </c>
      <c r="G759" s="8" t="s">
        <v>138</v>
      </c>
      <c r="H759" s="8" t="s">
        <v>138</v>
      </c>
      <c r="I759" s="8" t="s">
        <v>138</v>
      </c>
      <c r="J759" s="8" t="s">
        <v>138</v>
      </c>
      <c r="K759" s="8" t="s">
        <v>138</v>
      </c>
    </row>
    <row r="760" spans="1:11">
      <c r="A760" s="8" t="s">
        <v>138</v>
      </c>
      <c r="B760" s="8" t="s">
        <v>138</v>
      </c>
      <c r="C760" s="8" t="s">
        <v>138</v>
      </c>
      <c r="D760" s="8" t="s">
        <v>138</v>
      </c>
      <c r="E760" s="8" t="s">
        <v>138</v>
      </c>
      <c r="F760" s="8" t="s">
        <v>138</v>
      </c>
      <c r="G760" s="8" t="s">
        <v>138</v>
      </c>
      <c r="H760" s="8" t="s">
        <v>138</v>
      </c>
      <c r="I760" s="8" t="s">
        <v>138</v>
      </c>
      <c r="J760" s="8" t="s">
        <v>138</v>
      </c>
      <c r="K760" s="8" t="s">
        <v>138</v>
      </c>
    </row>
    <row r="761" spans="1:11">
      <c r="A761" s="8" t="s">
        <v>138</v>
      </c>
      <c r="B761" s="8" t="s">
        <v>138</v>
      </c>
      <c r="C761" s="8" t="s">
        <v>138</v>
      </c>
      <c r="D761" s="8" t="s">
        <v>138</v>
      </c>
      <c r="E761" s="8" t="s">
        <v>138</v>
      </c>
      <c r="F761" s="8" t="s">
        <v>138</v>
      </c>
      <c r="G761" s="8" t="s">
        <v>138</v>
      </c>
      <c r="H761" s="8" t="s">
        <v>138</v>
      </c>
      <c r="I761" s="8" t="s">
        <v>138</v>
      </c>
      <c r="J761" s="8" t="s">
        <v>138</v>
      </c>
      <c r="K761" s="8" t="s">
        <v>138</v>
      </c>
    </row>
    <row r="762" spans="1:11">
      <c r="A762" s="8" t="s">
        <v>138</v>
      </c>
      <c r="B762" s="8" t="s">
        <v>138</v>
      </c>
      <c r="C762" s="8" t="s">
        <v>138</v>
      </c>
      <c r="D762" s="8" t="s">
        <v>138</v>
      </c>
      <c r="E762" s="8" t="s">
        <v>138</v>
      </c>
      <c r="F762" s="8" t="s">
        <v>138</v>
      </c>
      <c r="G762" s="8" t="s">
        <v>138</v>
      </c>
      <c r="H762" s="8" t="s">
        <v>138</v>
      </c>
      <c r="I762" s="8" t="s">
        <v>138</v>
      </c>
      <c r="J762" s="8" t="s">
        <v>138</v>
      </c>
      <c r="K762" s="8" t="s">
        <v>138</v>
      </c>
    </row>
    <row r="763" spans="1:11">
      <c r="A763" s="8" t="s">
        <v>138</v>
      </c>
      <c r="B763" s="8" t="s">
        <v>138</v>
      </c>
      <c r="C763" s="8" t="s">
        <v>138</v>
      </c>
      <c r="D763" s="8" t="s">
        <v>138</v>
      </c>
      <c r="E763" s="8" t="s">
        <v>138</v>
      </c>
      <c r="F763" s="8" t="s">
        <v>138</v>
      </c>
      <c r="G763" s="8" t="s">
        <v>138</v>
      </c>
      <c r="H763" s="8" t="s">
        <v>138</v>
      </c>
      <c r="I763" s="8" t="s">
        <v>138</v>
      </c>
      <c r="J763" s="8" t="s">
        <v>138</v>
      </c>
      <c r="K763" s="8" t="s">
        <v>138</v>
      </c>
    </row>
    <row r="764" spans="1:11">
      <c r="A764" s="8" t="s">
        <v>138</v>
      </c>
      <c r="B764" s="8" t="s">
        <v>138</v>
      </c>
      <c r="C764" s="8" t="s">
        <v>138</v>
      </c>
      <c r="D764" s="8" t="s">
        <v>138</v>
      </c>
      <c r="E764" s="8" t="s">
        <v>138</v>
      </c>
      <c r="F764" s="8" t="s">
        <v>138</v>
      </c>
      <c r="G764" s="8" t="s">
        <v>138</v>
      </c>
      <c r="H764" s="8" t="s">
        <v>138</v>
      </c>
      <c r="I764" s="8" t="s">
        <v>138</v>
      </c>
      <c r="J764" s="8" t="s">
        <v>138</v>
      </c>
      <c r="K764" s="8" t="s">
        <v>138</v>
      </c>
    </row>
    <row r="765" spans="1:11">
      <c r="A765" s="8" t="s">
        <v>138</v>
      </c>
      <c r="B765" s="8" t="s">
        <v>138</v>
      </c>
      <c r="C765" s="8" t="s">
        <v>138</v>
      </c>
      <c r="D765" s="8" t="s">
        <v>138</v>
      </c>
      <c r="E765" s="8" t="s">
        <v>138</v>
      </c>
      <c r="F765" s="8" t="s">
        <v>138</v>
      </c>
      <c r="G765" s="8" t="s">
        <v>138</v>
      </c>
      <c r="H765" s="8" t="s">
        <v>138</v>
      </c>
      <c r="I765" s="8" t="s">
        <v>138</v>
      </c>
      <c r="J765" s="8" t="s">
        <v>138</v>
      </c>
      <c r="K765" s="8" t="s">
        <v>138</v>
      </c>
    </row>
    <row r="766" spans="1:11">
      <c r="A766" s="8" t="s">
        <v>138</v>
      </c>
      <c r="B766" s="8" t="s">
        <v>138</v>
      </c>
      <c r="C766" s="8" t="s">
        <v>138</v>
      </c>
      <c r="D766" s="8" t="s">
        <v>138</v>
      </c>
      <c r="E766" s="8" t="s">
        <v>138</v>
      </c>
      <c r="F766" s="8" t="s">
        <v>138</v>
      </c>
      <c r="G766" s="8" t="s">
        <v>138</v>
      </c>
      <c r="H766" s="8" t="s">
        <v>138</v>
      </c>
      <c r="I766" s="8" t="s">
        <v>138</v>
      </c>
      <c r="J766" s="8" t="s">
        <v>138</v>
      </c>
      <c r="K766" s="8" t="s">
        <v>138</v>
      </c>
    </row>
    <row r="767" spans="1:11">
      <c r="A767" s="8" t="s">
        <v>138</v>
      </c>
      <c r="B767" s="8" t="s">
        <v>138</v>
      </c>
      <c r="C767" s="8" t="s">
        <v>138</v>
      </c>
      <c r="D767" s="8" t="s">
        <v>138</v>
      </c>
      <c r="E767" s="8" t="s">
        <v>138</v>
      </c>
      <c r="F767" s="8" t="s">
        <v>138</v>
      </c>
      <c r="G767" s="8" t="s">
        <v>138</v>
      </c>
      <c r="H767" s="8" t="s">
        <v>138</v>
      </c>
      <c r="I767" s="8" t="s">
        <v>138</v>
      </c>
      <c r="J767" s="8" t="s">
        <v>138</v>
      </c>
      <c r="K767" s="8" t="s">
        <v>138</v>
      </c>
    </row>
    <row r="768" spans="1:11">
      <c r="A768" s="8" t="s">
        <v>138</v>
      </c>
      <c r="B768" s="8" t="s">
        <v>138</v>
      </c>
      <c r="C768" s="8" t="s">
        <v>138</v>
      </c>
      <c r="D768" s="8" t="s">
        <v>138</v>
      </c>
      <c r="E768" s="8" t="s">
        <v>138</v>
      </c>
      <c r="F768" s="8" t="s">
        <v>138</v>
      </c>
      <c r="G768" s="8" t="s">
        <v>138</v>
      </c>
      <c r="H768" s="8" t="s">
        <v>138</v>
      </c>
      <c r="I768" s="8" t="s">
        <v>138</v>
      </c>
      <c r="J768" s="8" t="s">
        <v>138</v>
      </c>
      <c r="K768" s="8" t="s">
        <v>138</v>
      </c>
    </row>
    <row r="769" spans="1:11">
      <c r="A769" s="8" t="s">
        <v>138</v>
      </c>
      <c r="B769" s="8" t="s">
        <v>138</v>
      </c>
      <c r="C769" s="8" t="s">
        <v>138</v>
      </c>
      <c r="D769" s="8" t="s">
        <v>138</v>
      </c>
      <c r="E769" s="8" t="s">
        <v>138</v>
      </c>
      <c r="F769" s="8" t="s">
        <v>138</v>
      </c>
      <c r="G769" s="8" t="s">
        <v>138</v>
      </c>
      <c r="H769" s="8" t="s">
        <v>138</v>
      </c>
      <c r="I769" s="8" t="s">
        <v>138</v>
      </c>
      <c r="J769" s="8" t="s">
        <v>138</v>
      </c>
      <c r="K769" s="8" t="s">
        <v>138</v>
      </c>
    </row>
    <row r="770" spans="1:11">
      <c r="A770" s="8" t="s">
        <v>138</v>
      </c>
      <c r="B770" s="8" t="s">
        <v>138</v>
      </c>
      <c r="C770" s="8" t="s">
        <v>138</v>
      </c>
      <c r="D770" s="8" t="s">
        <v>138</v>
      </c>
      <c r="E770" s="8" t="s">
        <v>138</v>
      </c>
      <c r="F770" s="8" t="s">
        <v>138</v>
      </c>
      <c r="G770" s="8" t="s">
        <v>138</v>
      </c>
      <c r="H770" s="8" t="s">
        <v>138</v>
      </c>
      <c r="I770" s="8" t="s">
        <v>138</v>
      </c>
      <c r="J770" s="8" t="s">
        <v>138</v>
      </c>
      <c r="K770" s="8" t="s">
        <v>138</v>
      </c>
    </row>
    <row r="771" spans="1:11">
      <c r="A771" s="8" t="s">
        <v>138</v>
      </c>
      <c r="B771" s="8" t="s">
        <v>138</v>
      </c>
      <c r="C771" s="8" t="s">
        <v>138</v>
      </c>
      <c r="D771" s="8" t="s">
        <v>138</v>
      </c>
      <c r="E771" s="8" t="s">
        <v>138</v>
      </c>
      <c r="F771" s="8" t="s">
        <v>138</v>
      </c>
      <c r="G771" s="8" t="s">
        <v>138</v>
      </c>
      <c r="H771" s="8" t="s">
        <v>138</v>
      </c>
      <c r="I771" s="8" t="s">
        <v>138</v>
      </c>
      <c r="J771" s="8" t="s">
        <v>138</v>
      </c>
      <c r="K771" s="8" t="s">
        <v>138</v>
      </c>
    </row>
    <row r="772" spans="1:11">
      <c r="A772" s="8" t="s">
        <v>138</v>
      </c>
      <c r="B772" s="8" t="s">
        <v>138</v>
      </c>
      <c r="C772" s="8" t="s">
        <v>138</v>
      </c>
      <c r="D772" s="8" t="s">
        <v>138</v>
      </c>
      <c r="E772" s="8" t="s">
        <v>138</v>
      </c>
      <c r="F772" s="8" t="s">
        <v>138</v>
      </c>
      <c r="G772" s="8" t="s">
        <v>138</v>
      </c>
      <c r="H772" s="8" t="s">
        <v>138</v>
      </c>
      <c r="I772" s="8" t="s">
        <v>138</v>
      </c>
      <c r="J772" s="8" t="s">
        <v>138</v>
      </c>
      <c r="K772" s="8" t="s">
        <v>138</v>
      </c>
    </row>
    <row r="773" spans="1:11">
      <c r="A773" s="8" t="s">
        <v>138</v>
      </c>
      <c r="B773" s="8" t="s">
        <v>138</v>
      </c>
      <c r="C773" s="8" t="s">
        <v>138</v>
      </c>
      <c r="D773" s="8" t="s">
        <v>138</v>
      </c>
      <c r="E773" s="8" t="s">
        <v>138</v>
      </c>
      <c r="F773" s="8" t="s">
        <v>138</v>
      </c>
      <c r="G773" s="8" t="s">
        <v>138</v>
      </c>
      <c r="H773" s="8" t="s">
        <v>138</v>
      </c>
      <c r="I773" s="8" t="s">
        <v>138</v>
      </c>
      <c r="J773" s="8" t="s">
        <v>138</v>
      </c>
      <c r="K773" s="8" t="s">
        <v>138</v>
      </c>
    </row>
    <row r="774" spans="1:11">
      <c r="A774" s="8" t="s">
        <v>138</v>
      </c>
      <c r="B774" s="8" t="s">
        <v>138</v>
      </c>
      <c r="C774" s="8" t="s">
        <v>138</v>
      </c>
      <c r="D774" s="8" t="s">
        <v>138</v>
      </c>
      <c r="E774" s="8" t="s">
        <v>138</v>
      </c>
      <c r="F774" s="8" t="s">
        <v>138</v>
      </c>
      <c r="G774" s="8" t="s">
        <v>138</v>
      </c>
      <c r="H774" s="8" t="s">
        <v>138</v>
      </c>
      <c r="I774" s="8" t="s">
        <v>138</v>
      </c>
      <c r="J774" s="8" t="s">
        <v>138</v>
      </c>
      <c r="K774" s="8" t="s">
        <v>138</v>
      </c>
    </row>
    <row r="775" spans="1:11">
      <c r="A775" s="8" t="s">
        <v>138</v>
      </c>
      <c r="B775" s="8" t="s">
        <v>138</v>
      </c>
      <c r="C775" s="8" t="s">
        <v>138</v>
      </c>
      <c r="D775" s="8" t="s">
        <v>138</v>
      </c>
      <c r="E775" s="8" t="s">
        <v>138</v>
      </c>
      <c r="F775" s="8" t="s">
        <v>138</v>
      </c>
      <c r="G775" s="8" t="s">
        <v>138</v>
      </c>
      <c r="H775" s="8" t="s">
        <v>138</v>
      </c>
      <c r="I775" s="8" t="s">
        <v>138</v>
      </c>
      <c r="J775" s="8" t="s">
        <v>138</v>
      </c>
      <c r="K775" s="8" t="s">
        <v>138</v>
      </c>
    </row>
    <row r="776" spans="1:11">
      <c r="A776" s="8" t="s">
        <v>138</v>
      </c>
      <c r="B776" s="8" t="s">
        <v>138</v>
      </c>
      <c r="C776" s="8" t="s">
        <v>138</v>
      </c>
      <c r="D776" s="8" t="s">
        <v>138</v>
      </c>
      <c r="E776" s="8" t="s">
        <v>138</v>
      </c>
      <c r="F776" s="8" t="s">
        <v>138</v>
      </c>
      <c r="G776" s="8" t="s">
        <v>138</v>
      </c>
      <c r="H776" s="8" t="s">
        <v>138</v>
      </c>
      <c r="I776" s="8" t="s">
        <v>138</v>
      </c>
      <c r="J776" s="8" t="s">
        <v>138</v>
      </c>
      <c r="K776" s="8" t="s">
        <v>138</v>
      </c>
    </row>
    <row r="777" spans="1:11">
      <c r="A777" s="8" t="s">
        <v>138</v>
      </c>
      <c r="B777" s="8" t="s">
        <v>138</v>
      </c>
      <c r="C777" s="8" t="s">
        <v>138</v>
      </c>
      <c r="D777" s="8" t="s">
        <v>138</v>
      </c>
      <c r="E777" s="8" t="s">
        <v>138</v>
      </c>
      <c r="F777" s="8" t="s">
        <v>138</v>
      </c>
      <c r="G777" s="8" t="s">
        <v>138</v>
      </c>
      <c r="H777" s="8" t="s">
        <v>138</v>
      </c>
      <c r="I777" s="8" t="s">
        <v>138</v>
      </c>
      <c r="J777" s="8" t="s">
        <v>138</v>
      </c>
      <c r="K777" s="8" t="s">
        <v>138</v>
      </c>
    </row>
    <row r="778" spans="1:11">
      <c r="A778" s="8" t="s">
        <v>138</v>
      </c>
      <c r="B778" s="8" t="s">
        <v>138</v>
      </c>
      <c r="C778" s="8" t="s">
        <v>138</v>
      </c>
      <c r="D778" s="8" t="s">
        <v>138</v>
      </c>
      <c r="E778" s="8" t="s">
        <v>138</v>
      </c>
      <c r="F778" s="8" t="s">
        <v>138</v>
      </c>
      <c r="G778" s="8" t="s">
        <v>138</v>
      </c>
      <c r="H778" s="8" t="s">
        <v>138</v>
      </c>
      <c r="I778" s="8" t="s">
        <v>138</v>
      </c>
      <c r="J778" s="8" t="s">
        <v>138</v>
      </c>
      <c r="K778" s="8" t="s">
        <v>138</v>
      </c>
    </row>
    <row r="779" spans="1:11">
      <c r="A779" s="8" t="s">
        <v>138</v>
      </c>
      <c r="B779" s="8" t="s">
        <v>138</v>
      </c>
      <c r="C779" s="8" t="s">
        <v>138</v>
      </c>
      <c r="D779" s="8" t="s">
        <v>138</v>
      </c>
      <c r="E779" s="8" t="s">
        <v>138</v>
      </c>
      <c r="F779" s="8" t="s">
        <v>138</v>
      </c>
      <c r="G779" s="8" t="s">
        <v>138</v>
      </c>
      <c r="H779" s="8" t="s">
        <v>138</v>
      </c>
      <c r="I779" s="8" t="s">
        <v>138</v>
      </c>
      <c r="J779" s="8" t="s">
        <v>138</v>
      </c>
      <c r="K779" s="8" t="s">
        <v>138</v>
      </c>
    </row>
    <row r="780" spans="1:11">
      <c r="A780" s="8" t="s">
        <v>138</v>
      </c>
      <c r="B780" s="8" t="s">
        <v>138</v>
      </c>
      <c r="C780" s="8" t="s">
        <v>138</v>
      </c>
      <c r="D780" s="8" t="s">
        <v>138</v>
      </c>
      <c r="E780" s="8" t="s">
        <v>138</v>
      </c>
      <c r="F780" s="8" t="s">
        <v>138</v>
      </c>
      <c r="G780" s="8" t="s">
        <v>138</v>
      </c>
      <c r="H780" s="8" t="s">
        <v>138</v>
      </c>
      <c r="I780" s="8" t="s">
        <v>138</v>
      </c>
      <c r="J780" s="8" t="s">
        <v>138</v>
      </c>
      <c r="K780" s="8" t="s">
        <v>138</v>
      </c>
    </row>
    <row r="781" spans="1:11">
      <c r="A781" s="8" t="s">
        <v>138</v>
      </c>
      <c r="B781" s="8" t="s">
        <v>138</v>
      </c>
      <c r="C781" s="8" t="s">
        <v>138</v>
      </c>
      <c r="D781" s="8" t="s">
        <v>138</v>
      </c>
      <c r="E781" s="8" t="s">
        <v>138</v>
      </c>
      <c r="F781" s="8" t="s">
        <v>138</v>
      </c>
      <c r="G781" s="8" t="s">
        <v>138</v>
      </c>
      <c r="H781" s="8" t="s">
        <v>138</v>
      </c>
      <c r="I781" s="8" t="s">
        <v>138</v>
      </c>
      <c r="J781" s="8" t="s">
        <v>138</v>
      </c>
      <c r="K781" s="8" t="s">
        <v>138</v>
      </c>
    </row>
    <row r="782" spans="1:11">
      <c r="A782" s="8" t="s">
        <v>138</v>
      </c>
      <c r="B782" s="8" t="s">
        <v>138</v>
      </c>
      <c r="C782" s="8" t="s">
        <v>138</v>
      </c>
      <c r="D782" s="8" t="s">
        <v>138</v>
      </c>
      <c r="E782" s="8" t="s">
        <v>138</v>
      </c>
      <c r="F782" s="8" t="s">
        <v>138</v>
      </c>
      <c r="G782" s="8" t="s">
        <v>138</v>
      </c>
      <c r="H782" s="8" t="s">
        <v>138</v>
      </c>
      <c r="I782" s="8" t="s">
        <v>138</v>
      </c>
      <c r="J782" s="8" t="s">
        <v>138</v>
      </c>
      <c r="K782" s="8" t="s">
        <v>138</v>
      </c>
    </row>
    <row r="783" spans="1:11">
      <c r="A783" s="8" t="s">
        <v>138</v>
      </c>
      <c r="B783" s="8" t="s">
        <v>138</v>
      </c>
      <c r="C783" s="8" t="s">
        <v>138</v>
      </c>
      <c r="D783" s="8" t="s">
        <v>138</v>
      </c>
      <c r="E783" s="8" t="s">
        <v>138</v>
      </c>
      <c r="F783" s="8" t="s">
        <v>138</v>
      </c>
      <c r="G783" s="8" t="s">
        <v>138</v>
      </c>
      <c r="H783" s="8" t="s">
        <v>138</v>
      </c>
      <c r="I783" s="8" t="s">
        <v>138</v>
      </c>
      <c r="J783" s="8" t="s">
        <v>138</v>
      </c>
      <c r="K783" s="8" t="s">
        <v>138</v>
      </c>
    </row>
    <row r="784" spans="1:11">
      <c r="A784" s="8" t="s">
        <v>138</v>
      </c>
      <c r="B784" s="8" t="s">
        <v>138</v>
      </c>
      <c r="C784" s="8" t="s">
        <v>138</v>
      </c>
      <c r="D784" s="8" t="s">
        <v>138</v>
      </c>
      <c r="E784" s="8" t="s">
        <v>138</v>
      </c>
      <c r="F784" s="8" t="s">
        <v>138</v>
      </c>
      <c r="G784" s="8" t="s">
        <v>138</v>
      </c>
      <c r="H784" s="8" t="s">
        <v>138</v>
      </c>
      <c r="I784" s="8" t="s">
        <v>138</v>
      </c>
      <c r="J784" s="8" t="s">
        <v>138</v>
      </c>
      <c r="K784" s="8" t="s">
        <v>138</v>
      </c>
    </row>
    <row r="785" spans="1:11">
      <c r="A785" s="8" t="s">
        <v>138</v>
      </c>
      <c r="B785" s="8" t="s">
        <v>138</v>
      </c>
      <c r="C785" s="8" t="s">
        <v>138</v>
      </c>
      <c r="D785" s="8" t="s">
        <v>138</v>
      </c>
      <c r="E785" s="8" t="s">
        <v>138</v>
      </c>
      <c r="F785" s="8" t="s">
        <v>138</v>
      </c>
      <c r="G785" s="8" t="s">
        <v>138</v>
      </c>
      <c r="H785" s="8" t="s">
        <v>138</v>
      </c>
      <c r="I785" s="8" t="s">
        <v>138</v>
      </c>
      <c r="J785" s="8" t="s">
        <v>138</v>
      </c>
      <c r="K785" s="8" t="s">
        <v>138</v>
      </c>
    </row>
    <row r="786" spans="1:11">
      <c r="A786" s="8" t="s">
        <v>138</v>
      </c>
      <c r="B786" s="8" t="s">
        <v>138</v>
      </c>
      <c r="C786" s="8" t="s">
        <v>138</v>
      </c>
      <c r="D786" s="8" t="s">
        <v>138</v>
      </c>
      <c r="E786" s="8" t="s">
        <v>138</v>
      </c>
      <c r="F786" s="8" t="s">
        <v>138</v>
      </c>
      <c r="G786" s="8" t="s">
        <v>138</v>
      </c>
      <c r="H786" s="8" t="s">
        <v>138</v>
      </c>
      <c r="I786" s="8" t="s">
        <v>138</v>
      </c>
      <c r="J786" s="8" t="s">
        <v>138</v>
      </c>
      <c r="K786" s="8" t="s">
        <v>138</v>
      </c>
    </row>
    <row r="787" spans="1:11">
      <c r="A787" s="8" t="s">
        <v>138</v>
      </c>
      <c r="B787" s="8" t="s">
        <v>138</v>
      </c>
      <c r="C787" s="8" t="s">
        <v>138</v>
      </c>
      <c r="D787" s="8" t="s">
        <v>138</v>
      </c>
      <c r="E787" s="8" t="s">
        <v>138</v>
      </c>
      <c r="F787" s="8" t="s">
        <v>138</v>
      </c>
      <c r="G787" s="8" t="s">
        <v>138</v>
      </c>
      <c r="H787" s="8" t="s">
        <v>138</v>
      </c>
      <c r="I787" s="8" t="s">
        <v>138</v>
      </c>
      <c r="J787" s="8" t="s">
        <v>138</v>
      </c>
      <c r="K787" s="8" t="s">
        <v>138</v>
      </c>
    </row>
    <row r="788" spans="1:11">
      <c r="A788" s="8" t="s">
        <v>138</v>
      </c>
      <c r="B788" s="8" t="s">
        <v>138</v>
      </c>
      <c r="C788" s="8" t="s">
        <v>138</v>
      </c>
      <c r="D788" s="8" t="s">
        <v>138</v>
      </c>
      <c r="E788" s="8" t="s">
        <v>138</v>
      </c>
      <c r="F788" s="8" t="s">
        <v>138</v>
      </c>
      <c r="G788" s="8" t="s">
        <v>138</v>
      </c>
      <c r="H788" s="8" t="s">
        <v>138</v>
      </c>
      <c r="I788" s="8" t="s">
        <v>138</v>
      </c>
      <c r="J788" s="8" t="s">
        <v>138</v>
      </c>
      <c r="K788" s="8" t="s">
        <v>138</v>
      </c>
    </row>
    <row r="789" spans="1:11">
      <c r="A789" s="8" t="s">
        <v>138</v>
      </c>
      <c r="B789" s="8" t="s">
        <v>138</v>
      </c>
      <c r="C789" s="8" t="s">
        <v>138</v>
      </c>
      <c r="D789" s="8" t="s">
        <v>138</v>
      </c>
      <c r="E789" s="8" t="s">
        <v>138</v>
      </c>
      <c r="F789" s="8" t="s">
        <v>138</v>
      </c>
      <c r="G789" s="8" t="s">
        <v>138</v>
      </c>
      <c r="H789" s="8" t="s">
        <v>138</v>
      </c>
      <c r="I789" s="8" t="s">
        <v>138</v>
      </c>
      <c r="J789" s="8" t="s">
        <v>138</v>
      </c>
      <c r="K789" s="8" t="s">
        <v>138</v>
      </c>
    </row>
    <row r="790" spans="1:11">
      <c r="A790" s="8" t="s">
        <v>138</v>
      </c>
      <c r="B790" s="8" t="s">
        <v>138</v>
      </c>
      <c r="C790" s="8" t="s">
        <v>138</v>
      </c>
      <c r="D790" s="8" t="s">
        <v>138</v>
      </c>
      <c r="E790" s="8" t="s">
        <v>138</v>
      </c>
      <c r="F790" s="8" t="s">
        <v>138</v>
      </c>
      <c r="G790" s="8" t="s">
        <v>138</v>
      </c>
      <c r="H790" s="8" t="s">
        <v>138</v>
      </c>
      <c r="I790" s="8" t="s">
        <v>138</v>
      </c>
      <c r="J790" s="8" t="s">
        <v>138</v>
      </c>
      <c r="K790" s="8" t="s">
        <v>138</v>
      </c>
    </row>
    <row r="791" spans="1:11">
      <c r="A791" s="8" t="s">
        <v>138</v>
      </c>
      <c r="B791" s="8" t="s">
        <v>138</v>
      </c>
      <c r="C791" s="8" t="s">
        <v>138</v>
      </c>
      <c r="D791" s="8" t="s">
        <v>138</v>
      </c>
      <c r="E791" s="8" t="s">
        <v>138</v>
      </c>
      <c r="F791" s="8" t="s">
        <v>138</v>
      </c>
      <c r="G791" s="8" t="s">
        <v>138</v>
      </c>
      <c r="H791" s="8" t="s">
        <v>138</v>
      </c>
      <c r="I791" s="8" t="s">
        <v>138</v>
      </c>
      <c r="J791" s="8" t="s">
        <v>138</v>
      </c>
      <c r="K791" s="8" t="s">
        <v>138</v>
      </c>
    </row>
    <row r="792" spans="1:11">
      <c r="A792" s="8" t="s">
        <v>138</v>
      </c>
      <c r="B792" s="8" t="s">
        <v>138</v>
      </c>
      <c r="C792" s="8" t="s">
        <v>138</v>
      </c>
      <c r="D792" s="8" t="s">
        <v>138</v>
      </c>
      <c r="E792" s="8" t="s">
        <v>138</v>
      </c>
      <c r="F792" s="8" t="s">
        <v>138</v>
      </c>
      <c r="G792" s="8" t="s">
        <v>138</v>
      </c>
      <c r="H792" s="8" t="s">
        <v>138</v>
      </c>
      <c r="I792" s="8" t="s">
        <v>138</v>
      </c>
      <c r="J792" s="8" t="s">
        <v>138</v>
      </c>
      <c r="K792" s="8" t="s">
        <v>138</v>
      </c>
    </row>
    <row r="793" spans="1:11">
      <c r="A793" s="8" t="s">
        <v>138</v>
      </c>
      <c r="B793" s="8" t="s">
        <v>138</v>
      </c>
      <c r="C793" s="8" t="s">
        <v>138</v>
      </c>
      <c r="D793" s="8" t="s">
        <v>138</v>
      </c>
      <c r="E793" s="8" t="s">
        <v>138</v>
      </c>
      <c r="F793" s="8" t="s">
        <v>138</v>
      </c>
      <c r="G793" s="8" t="s">
        <v>138</v>
      </c>
      <c r="H793" s="8" t="s">
        <v>138</v>
      </c>
      <c r="I793" s="8" t="s">
        <v>138</v>
      </c>
      <c r="J793" s="8" t="s">
        <v>138</v>
      </c>
      <c r="K793" s="8" t="s">
        <v>138</v>
      </c>
    </row>
    <row r="794" spans="1:11">
      <c r="A794" s="8" t="s">
        <v>138</v>
      </c>
      <c r="B794" s="8" t="s">
        <v>138</v>
      </c>
      <c r="C794" s="8" t="s">
        <v>138</v>
      </c>
      <c r="D794" s="8" t="s">
        <v>138</v>
      </c>
      <c r="E794" s="8" t="s">
        <v>138</v>
      </c>
      <c r="F794" s="8" t="s">
        <v>138</v>
      </c>
      <c r="G794" s="8" t="s">
        <v>138</v>
      </c>
      <c r="H794" s="8" t="s">
        <v>138</v>
      </c>
      <c r="I794" s="8" t="s">
        <v>138</v>
      </c>
      <c r="J794" s="8" t="s">
        <v>138</v>
      </c>
      <c r="K794" s="8" t="s">
        <v>138</v>
      </c>
    </row>
    <row r="795" spans="1:11">
      <c r="A795" s="8" t="s">
        <v>138</v>
      </c>
      <c r="B795" s="8" t="s">
        <v>138</v>
      </c>
      <c r="C795" s="8" t="s">
        <v>138</v>
      </c>
      <c r="D795" s="8" t="s">
        <v>138</v>
      </c>
      <c r="E795" s="8" t="s">
        <v>138</v>
      </c>
      <c r="F795" s="8" t="s">
        <v>138</v>
      </c>
      <c r="G795" s="8" t="s">
        <v>138</v>
      </c>
      <c r="H795" s="8" t="s">
        <v>138</v>
      </c>
      <c r="I795" s="8" t="s">
        <v>138</v>
      </c>
      <c r="J795" s="8" t="s">
        <v>138</v>
      </c>
      <c r="K795" s="8" t="s">
        <v>138</v>
      </c>
    </row>
    <row r="796" spans="1:11">
      <c r="A796" s="8" t="s">
        <v>138</v>
      </c>
      <c r="B796" s="8" t="s">
        <v>138</v>
      </c>
      <c r="C796" s="8" t="s">
        <v>138</v>
      </c>
      <c r="D796" s="8" t="s">
        <v>138</v>
      </c>
      <c r="E796" s="8" t="s">
        <v>138</v>
      </c>
      <c r="F796" s="8" t="s">
        <v>138</v>
      </c>
      <c r="G796" s="8" t="s">
        <v>138</v>
      </c>
      <c r="H796" s="8" t="s">
        <v>138</v>
      </c>
      <c r="I796" s="8" t="s">
        <v>138</v>
      </c>
      <c r="J796" s="8" t="s">
        <v>138</v>
      </c>
      <c r="K796" s="8" t="s">
        <v>138</v>
      </c>
    </row>
    <row r="797" spans="1:11">
      <c r="A797" s="8" t="s">
        <v>138</v>
      </c>
      <c r="B797" s="8" t="s">
        <v>138</v>
      </c>
      <c r="C797" s="8" t="s">
        <v>138</v>
      </c>
      <c r="D797" s="8" t="s">
        <v>138</v>
      </c>
      <c r="E797" s="8" t="s">
        <v>138</v>
      </c>
      <c r="F797" s="8" t="s">
        <v>138</v>
      </c>
      <c r="G797" s="8" t="s">
        <v>138</v>
      </c>
      <c r="H797" s="8" t="s">
        <v>138</v>
      </c>
      <c r="I797" s="8" t="s">
        <v>138</v>
      </c>
      <c r="J797" s="8" t="s">
        <v>138</v>
      </c>
      <c r="K797" s="8" t="s">
        <v>138</v>
      </c>
    </row>
    <row r="798" spans="1:11">
      <c r="A798" s="8" t="s">
        <v>138</v>
      </c>
      <c r="B798" s="8" t="s">
        <v>138</v>
      </c>
      <c r="C798" s="8" t="s">
        <v>138</v>
      </c>
      <c r="D798" s="8" t="s">
        <v>138</v>
      </c>
      <c r="E798" s="8" t="s">
        <v>138</v>
      </c>
      <c r="F798" s="8" t="s">
        <v>138</v>
      </c>
      <c r="G798" s="8" t="s">
        <v>138</v>
      </c>
      <c r="H798" s="8" t="s">
        <v>138</v>
      </c>
      <c r="I798" s="8" t="s">
        <v>138</v>
      </c>
      <c r="J798" s="8" t="s">
        <v>138</v>
      </c>
      <c r="K798" s="8" t="s">
        <v>138</v>
      </c>
    </row>
    <row r="799" spans="1:11">
      <c r="A799" s="8" t="s">
        <v>138</v>
      </c>
      <c r="B799" s="8" t="s">
        <v>138</v>
      </c>
      <c r="C799" s="8" t="s">
        <v>138</v>
      </c>
      <c r="D799" s="8" t="s">
        <v>138</v>
      </c>
      <c r="E799" s="8" t="s">
        <v>138</v>
      </c>
      <c r="F799" s="8" t="s">
        <v>138</v>
      </c>
      <c r="G799" s="8" t="s">
        <v>138</v>
      </c>
      <c r="H799" s="8" t="s">
        <v>138</v>
      </c>
      <c r="I799" s="8" t="s">
        <v>138</v>
      </c>
      <c r="J799" s="8" t="s">
        <v>138</v>
      </c>
      <c r="K799" s="8" t="s">
        <v>138</v>
      </c>
    </row>
    <row r="800" spans="1:11">
      <c r="A800" s="8" t="s">
        <v>138</v>
      </c>
      <c r="B800" s="8" t="s">
        <v>138</v>
      </c>
      <c r="C800" s="8" t="s">
        <v>138</v>
      </c>
      <c r="D800" s="8" t="s">
        <v>138</v>
      </c>
      <c r="E800" s="8" t="s">
        <v>138</v>
      </c>
      <c r="F800" s="8" t="s">
        <v>138</v>
      </c>
      <c r="G800" s="8" t="s">
        <v>138</v>
      </c>
      <c r="H800" s="8" t="s">
        <v>138</v>
      </c>
      <c r="I800" s="8" t="s">
        <v>138</v>
      </c>
      <c r="J800" s="8" t="s">
        <v>138</v>
      </c>
      <c r="K800" s="8" t="s">
        <v>138</v>
      </c>
    </row>
    <row r="801" spans="1:11">
      <c r="A801" s="8" t="s">
        <v>138</v>
      </c>
      <c r="B801" s="8" t="s">
        <v>138</v>
      </c>
      <c r="C801" s="8" t="s">
        <v>138</v>
      </c>
      <c r="D801" s="8" t="s">
        <v>138</v>
      </c>
      <c r="E801" s="8" t="s">
        <v>138</v>
      </c>
      <c r="F801" s="8" t="s">
        <v>138</v>
      </c>
      <c r="G801" s="8" t="s">
        <v>138</v>
      </c>
      <c r="H801" s="8" t="s">
        <v>138</v>
      </c>
      <c r="I801" s="8" t="s">
        <v>138</v>
      </c>
      <c r="J801" s="8" t="s">
        <v>138</v>
      </c>
      <c r="K801" s="8" t="s">
        <v>138</v>
      </c>
    </row>
    <row r="802" spans="1:11">
      <c r="A802" s="8" t="s">
        <v>138</v>
      </c>
      <c r="B802" s="8" t="s">
        <v>138</v>
      </c>
      <c r="C802" s="8" t="s">
        <v>138</v>
      </c>
      <c r="D802" s="8" t="s">
        <v>138</v>
      </c>
      <c r="E802" s="8" t="s">
        <v>138</v>
      </c>
      <c r="F802" s="8" t="s">
        <v>138</v>
      </c>
      <c r="G802" s="8" t="s">
        <v>138</v>
      </c>
      <c r="H802" s="8" t="s">
        <v>138</v>
      </c>
      <c r="I802" s="8" t="s">
        <v>138</v>
      </c>
      <c r="J802" s="8" t="s">
        <v>138</v>
      </c>
      <c r="K802" s="8" t="s">
        <v>138</v>
      </c>
    </row>
    <row r="803" spans="1:11">
      <c r="A803" s="8" t="s">
        <v>138</v>
      </c>
      <c r="B803" s="8" t="s">
        <v>138</v>
      </c>
      <c r="C803" s="8" t="s">
        <v>138</v>
      </c>
      <c r="D803" s="8" t="s">
        <v>138</v>
      </c>
      <c r="E803" s="8" t="s">
        <v>138</v>
      </c>
      <c r="F803" s="8" t="s">
        <v>138</v>
      </c>
      <c r="G803" s="8" t="s">
        <v>138</v>
      </c>
      <c r="H803" s="8" t="s">
        <v>138</v>
      </c>
      <c r="I803" s="8" t="s">
        <v>138</v>
      </c>
      <c r="J803" s="8" t="s">
        <v>138</v>
      </c>
      <c r="K803" s="8" t="s">
        <v>138</v>
      </c>
    </row>
    <row r="804" spans="1:11">
      <c r="A804" s="8" t="s">
        <v>138</v>
      </c>
      <c r="B804" s="8" t="s">
        <v>138</v>
      </c>
      <c r="C804" s="8" t="s">
        <v>138</v>
      </c>
      <c r="D804" s="8" t="s">
        <v>138</v>
      </c>
      <c r="E804" s="8" t="s">
        <v>138</v>
      </c>
      <c r="F804" s="8" t="s">
        <v>138</v>
      </c>
      <c r="G804" s="8" t="s">
        <v>138</v>
      </c>
      <c r="H804" s="8" t="s">
        <v>138</v>
      </c>
      <c r="I804" s="8" t="s">
        <v>138</v>
      </c>
      <c r="J804" s="8" t="s">
        <v>138</v>
      </c>
      <c r="K804" s="8" t="s">
        <v>138</v>
      </c>
    </row>
    <row r="805" spans="1:11">
      <c r="A805" s="8" t="s">
        <v>138</v>
      </c>
      <c r="B805" s="8" t="s">
        <v>138</v>
      </c>
      <c r="C805" s="8" t="s">
        <v>138</v>
      </c>
      <c r="D805" s="8" t="s">
        <v>138</v>
      </c>
      <c r="E805" s="8" t="s">
        <v>138</v>
      </c>
      <c r="F805" s="8" t="s">
        <v>138</v>
      </c>
      <c r="G805" s="8" t="s">
        <v>138</v>
      </c>
      <c r="H805" s="8" t="s">
        <v>138</v>
      </c>
      <c r="I805" s="8" t="s">
        <v>138</v>
      </c>
      <c r="J805" s="8" t="s">
        <v>138</v>
      </c>
      <c r="K805" s="8" t="s">
        <v>138</v>
      </c>
    </row>
    <row r="806" spans="1:11">
      <c r="A806" s="8" t="s">
        <v>138</v>
      </c>
      <c r="B806" s="8" t="s">
        <v>138</v>
      </c>
      <c r="C806" s="8" t="s">
        <v>138</v>
      </c>
      <c r="D806" s="8" t="s">
        <v>138</v>
      </c>
      <c r="E806" s="8" t="s">
        <v>138</v>
      </c>
      <c r="F806" s="8" t="s">
        <v>138</v>
      </c>
      <c r="G806" s="8" t="s">
        <v>138</v>
      </c>
      <c r="H806" s="8" t="s">
        <v>138</v>
      </c>
      <c r="I806" s="8" t="s">
        <v>138</v>
      </c>
      <c r="J806" s="8" t="s">
        <v>138</v>
      </c>
      <c r="K806" s="8" t="s">
        <v>138</v>
      </c>
    </row>
    <row r="807" spans="1:11">
      <c r="A807" s="8" t="s">
        <v>138</v>
      </c>
      <c r="B807" s="8" t="s">
        <v>138</v>
      </c>
      <c r="C807" s="8" t="s">
        <v>138</v>
      </c>
      <c r="D807" s="8" t="s">
        <v>138</v>
      </c>
      <c r="E807" s="8" t="s">
        <v>138</v>
      </c>
      <c r="F807" s="8" t="s">
        <v>138</v>
      </c>
      <c r="G807" s="8" t="s">
        <v>138</v>
      </c>
      <c r="H807" s="8" t="s">
        <v>138</v>
      </c>
      <c r="I807" s="8" t="s">
        <v>138</v>
      </c>
      <c r="J807" s="8" t="s">
        <v>138</v>
      </c>
      <c r="K807" s="8" t="s">
        <v>138</v>
      </c>
    </row>
    <row r="808" spans="1:11">
      <c r="A808" s="8" t="s">
        <v>138</v>
      </c>
      <c r="B808" s="8" t="s">
        <v>138</v>
      </c>
      <c r="C808" s="8" t="s">
        <v>138</v>
      </c>
      <c r="D808" s="8" t="s">
        <v>138</v>
      </c>
      <c r="E808" s="8" t="s">
        <v>138</v>
      </c>
      <c r="F808" s="8" t="s">
        <v>138</v>
      </c>
      <c r="G808" s="8" t="s">
        <v>138</v>
      </c>
      <c r="H808" s="8" t="s">
        <v>138</v>
      </c>
      <c r="I808" s="8" t="s">
        <v>138</v>
      </c>
      <c r="J808" s="8" t="s">
        <v>138</v>
      </c>
      <c r="K808" s="8" t="s">
        <v>138</v>
      </c>
    </row>
    <row r="809" spans="1:11">
      <c r="A809" s="8" t="s">
        <v>138</v>
      </c>
      <c r="B809" s="8" t="s">
        <v>138</v>
      </c>
      <c r="C809" s="8" t="s">
        <v>138</v>
      </c>
      <c r="D809" s="8" t="s">
        <v>138</v>
      </c>
      <c r="E809" s="8" t="s">
        <v>138</v>
      </c>
      <c r="F809" s="8" t="s">
        <v>138</v>
      </c>
      <c r="G809" s="8" t="s">
        <v>138</v>
      </c>
      <c r="H809" s="8" t="s">
        <v>138</v>
      </c>
      <c r="I809" s="8" t="s">
        <v>138</v>
      </c>
      <c r="J809" s="8" t="s">
        <v>138</v>
      </c>
      <c r="K809" s="8" t="s">
        <v>138</v>
      </c>
    </row>
    <row r="810" spans="1:11">
      <c r="A810" s="8" t="s">
        <v>138</v>
      </c>
      <c r="B810" s="8" t="s">
        <v>138</v>
      </c>
      <c r="C810" s="8" t="s">
        <v>138</v>
      </c>
      <c r="D810" s="8" t="s">
        <v>138</v>
      </c>
      <c r="E810" s="8" t="s">
        <v>138</v>
      </c>
      <c r="F810" s="8" t="s">
        <v>138</v>
      </c>
      <c r="G810" s="8" t="s">
        <v>138</v>
      </c>
      <c r="H810" s="8" t="s">
        <v>138</v>
      </c>
      <c r="I810" s="8" t="s">
        <v>138</v>
      </c>
      <c r="J810" s="8" t="s">
        <v>138</v>
      </c>
      <c r="K810" s="8" t="s">
        <v>138</v>
      </c>
    </row>
    <row r="811" spans="1:11">
      <c r="A811" s="8" t="s">
        <v>138</v>
      </c>
      <c r="B811" s="8" t="s">
        <v>138</v>
      </c>
      <c r="C811" s="8" t="s">
        <v>138</v>
      </c>
      <c r="D811" s="8" t="s">
        <v>138</v>
      </c>
      <c r="E811" s="8" t="s">
        <v>138</v>
      </c>
      <c r="F811" s="8" t="s">
        <v>138</v>
      </c>
      <c r="G811" s="8" t="s">
        <v>138</v>
      </c>
      <c r="H811" s="8" t="s">
        <v>138</v>
      </c>
      <c r="I811" s="8" t="s">
        <v>138</v>
      </c>
      <c r="J811" s="8" t="s">
        <v>138</v>
      </c>
      <c r="K811" s="8" t="s">
        <v>138</v>
      </c>
    </row>
    <row r="812" spans="1:11">
      <c r="A812" s="8" t="s">
        <v>138</v>
      </c>
      <c r="B812" s="8" t="s">
        <v>138</v>
      </c>
      <c r="C812" s="8" t="s">
        <v>138</v>
      </c>
      <c r="D812" s="8" t="s">
        <v>138</v>
      </c>
      <c r="E812" s="8" t="s">
        <v>138</v>
      </c>
      <c r="F812" s="8" t="s">
        <v>138</v>
      </c>
      <c r="G812" s="8" t="s">
        <v>138</v>
      </c>
      <c r="H812" s="8" t="s">
        <v>138</v>
      </c>
      <c r="I812" s="8" t="s">
        <v>138</v>
      </c>
      <c r="J812" s="8" t="s">
        <v>138</v>
      </c>
      <c r="K812" s="8" t="s">
        <v>138</v>
      </c>
    </row>
    <row r="813" spans="1:11">
      <c r="A813" s="8" t="s">
        <v>138</v>
      </c>
      <c r="B813" s="8" t="s">
        <v>138</v>
      </c>
      <c r="C813" s="8" t="s">
        <v>138</v>
      </c>
      <c r="D813" s="8" t="s">
        <v>138</v>
      </c>
      <c r="E813" s="8" t="s">
        <v>138</v>
      </c>
      <c r="F813" s="8" t="s">
        <v>138</v>
      </c>
      <c r="G813" s="8" t="s">
        <v>138</v>
      </c>
      <c r="H813" s="8" t="s">
        <v>138</v>
      </c>
      <c r="I813" s="8" t="s">
        <v>138</v>
      </c>
      <c r="J813" s="8" t="s">
        <v>138</v>
      </c>
      <c r="K813" s="8" t="s">
        <v>138</v>
      </c>
    </row>
    <row r="814" spans="1:11">
      <c r="A814" s="8" t="s">
        <v>138</v>
      </c>
      <c r="B814" s="8" t="s">
        <v>138</v>
      </c>
      <c r="C814" s="8" t="s">
        <v>138</v>
      </c>
      <c r="D814" s="8" t="s">
        <v>138</v>
      </c>
      <c r="E814" s="8" t="s">
        <v>138</v>
      </c>
      <c r="F814" s="8" t="s">
        <v>138</v>
      </c>
      <c r="G814" s="8" t="s">
        <v>138</v>
      </c>
      <c r="H814" s="8" t="s">
        <v>138</v>
      </c>
      <c r="I814" s="8" t="s">
        <v>138</v>
      </c>
      <c r="J814" s="8" t="s">
        <v>138</v>
      </c>
      <c r="K814" s="8" t="s">
        <v>138</v>
      </c>
    </row>
    <row r="815" spans="1:11">
      <c r="A815" s="8" t="s">
        <v>138</v>
      </c>
      <c r="B815" s="8" t="s">
        <v>138</v>
      </c>
      <c r="C815" s="8" t="s">
        <v>138</v>
      </c>
      <c r="D815" s="8" t="s">
        <v>138</v>
      </c>
      <c r="E815" s="8" t="s">
        <v>138</v>
      </c>
      <c r="F815" s="8" t="s">
        <v>138</v>
      </c>
      <c r="G815" s="8" t="s">
        <v>138</v>
      </c>
      <c r="H815" s="8" t="s">
        <v>138</v>
      </c>
      <c r="I815" s="8" t="s">
        <v>138</v>
      </c>
      <c r="J815" s="8" t="s">
        <v>138</v>
      </c>
      <c r="K815" s="8" t="s">
        <v>138</v>
      </c>
    </row>
    <row r="816" spans="1:11">
      <c r="A816" s="8" t="s">
        <v>138</v>
      </c>
      <c r="B816" s="8" t="s">
        <v>138</v>
      </c>
      <c r="C816" s="8" t="s">
        <v>138</v>
      </c>
      <c r="D816" s="8" t="s">
        <v>138</v>
      </c>
      <c r="E816" s="8" t="s">
        <v>138</v>
      </c>
      <c r="F816" s="8" t="s">
        <v>138</v>
      </c>
      <c r="G816" s="8" t="s">
        <v>138</v>
      </c>
      <c r="H816" s="8" t="s">
        <v>138</v>
      </c>
      <c r="I816" s="8" t="s">
        <v>138</v>
      </c>
      <c r="J816" s="8" t="s">
        <v>138</v>
      </c>
      <c r="K816" s="8" t="s">
        <v>138</v>
      </c>
    </row>
    <row r="817" spans="1:11">
      <c r="A817" s="8" t="s">
        <v>138</v>
      </c>
      <c r="B817" s="8" t="s">
        <v>138</v>
      </c>
      <c r="C817" s="8" t="s">
        <v>138</v>
      </c>
      <c r="D817" s="8" t="s">
        <v>138</v>
      </c>
      <c r="E817" s="8" t="s">
        <v>138</v>
      </c>
      <c r="F817" s="8" t="s">
        <v>138</v>
      </c>
      <c r="G817" s="8" t="s">
        <v>138</v>
      </c>
      <c r="H817" s="8" t="s">
        <v>138</v>
      </c>
      <c r="I817" s="8" t="s">
        <v>138</v>
      </c>
      <c r="J817" s="8" t="s">
        <v>138</v>
      </c>
      <c r="K817" s="8" t="s">
        <v>138</v>
      </c>
    </row>
    <row r="818" spans="1:11">
      <c r="A818" s="8" t="s">
        <v>138</v>
      </c>
      <c r="B818" s="8" t="s">
        <v>138</v>
      </c>
      <c r="C818" s="8" t="s">
        <v>138</v>
      </c>
      <c r="D818" s="8" t="s">
        <v>138</v>
      </c>
      <c r="E818" s="8" t="s">
        <v>138</v>
      </c>
      <c r="F818" s="8" t="s">
        <v>138</v>
      </c>
      <c r="G818" s="8" t="s">
        <v>138</v>
      </c>
      <c r="H818" s="8" t="s">
        <v>138</v>
      </c>
      <c r="I818" s="8" t="s">
        <v>138</v>
      </c>
      <c r="J818" s="8" t="s">
        <v>138</v>
      </c>
      <c r="K818" s="8" t="s">
        <v>138</v>
      </c>
    </row>
    <row r="819" spans="1:11">
      <c r="A819" s="8" t="s">
        <v>138</v>
      </c>
      <c r="B819" s="8" t="s">
        <v>138</v>
      </c>
      <c r="C819" s="8" t="s">
        <v>138</v>
      </c>
      <c r="D819" s="8" t="s">
        <v>138</v>
      </c>
      <c r="E819" s="8" t="s">
        <v>138</v>
      </c>
      <c r="F819" s="8" t="s">
        <v>138</v>
      </c>
      <c r="G819" s="8" t="s">
        <v>138</v>
      </c>
      <c r="H819" s="8" t="s">
        <v>138</v>
      </c>
      <c r="I819" s="8" t="s">
        <v>138</v>
      </c>
      <c r="J819" s="8" t="s">
        <v>138</v>
      </c>
      <c r="K819" s="8" t="s">
        <v>138</v>
      </c>
    </row>
    <row r="820" spans="1:11">
      <c r="A820" s="8" t="s">
        <v>138</v>
      </c>
      <c r="B820" s="8" t="s">
        <v>138</v>
      </c>
      <c r="C820" s="8" t="s">
        <v>138</v>
      </c>
      <c r="D820" s="8" t="s">
        <v>138</v>
      </c>
      <c r="E820" s="8" t="s">
        <v>138</v>
      </c>
      <c r="F820" s="8" t="s">
        <v>138</v>
      </c>
      <c r="G820" s="8" t="s">
        <v>138</v>
      </c>
      <c r="H820" s="8" t="s">
        <v>138</v>
      </c>
      <c r="I820" s="8" t="s">
        <v>138</v>
      </c>
      <c r="J820" s="8" t="s">
        <v>138</v>
      </c>
      <c r="K820" s="8" t="s">
        <v>138</v>
      </c>
    </row>
    <row r="821" spans="1:11">
      <c r="A821" s="8" t="s">
        <v>138</v>
      </c>
      <c r="B821" s="8" t="s">
        <v>138</v>
      </c>
      <c r="C821" s="8" t="s">
        <v>138</v>
      </c>
      <c r="D821" s="8" t="s">
        <v>138</v>
      </c>
      <c r="E821" s="8" t="s">
        <v>138</v>
      </c>
      <c r="F821" s="8" t="s">
        <v>138</v>
      </c>
      <c r="G821" s="8" t="s">
        <v>138</v>
      </c>
      <c r="H821" s="8" t="s">
        <v>138</v>
      </c>
      <c r="I821" s="8" t="s">
        <v>138</v>
      </c>
      <c r="J821" s="8" t="s">
        <v>138</v>
      </c>
      <c r="K821" s="8" t="s">
        <v>138</v>
      </c>
    </row>
    <row r="822" spans="1:11">
      <c r="A822" s="8" t="s">
        <v>138</v>
      </c>
      <c r="B822" s="8" t="s">
        <v>138</v>
      </c>
      <c r="C822" s="8" t="s">
        <v>138</v>
      </c>
      <c r="D822" s="8" t="s">
        <v>138</v>
      </c>
      <c r="E822" s="8" t="s">
        <v>138</v>
      </c>
      <c r="F822" s="8" t="s">
        <v>138</v>
      </c>
      <c r="G822" s="8" t="s">
        <v>138</v>
      </c>
      <c r="H822" s="8" t="s">
        <v>138</v>
      </c>
      <c r="I822" s="8" t="s">
        <v>138</v>
      </c>
      <c r="J822" s="8" t="s">
        <v>138</v>
      </c>
      <c r="K822" s="8" t="s">
        <v>138</v>
      </c>
    </row>
    <row r="823" spans="1:11">
      <c r="A823" s="8" t="s">
        <v>138</v>
      </c>
      <c r="B823" s="8" t="s">
        <v>138</v>
      </c>
      <c r="C823" s="8" t="s">
        <v>138</v>
      </c>
      <c r="D823" s="8" t="s">
        <v>138</v>
      </c>
      <c r="E823" s="8" t="s">
        <v>138</v>
      </c>
      <c r="F823" s="8" t="s">
        <v>138</v>
      </c>
      <c r="G823" s="8" t="s">
        <v>138</v>
      </c>
      <c r="H823" s="8" t="s">
        <v>138</v>
      </c>
      <c r="I823" s="8" t="s">
        <v>138</v>
      </c>
      <c r="J823" s="8" t="s">
        <v>138</v>
      </c>
      <c r="K823" s="8" t="s">
        <v>138</v>
      </c>
    </row>
    <row r="824" spans="1:11">
      <c r="A824" s="8" t="s">
        <v>138</v>
      </c>
      <c r="B824" s="8" t="s">
        <v>138</v>
      </c>
      <c r="C824" s="8" t="s">
        <v>138</v>
      </c>
      <c r="D824" s="8" t="s">
        <v>138</v>
      </c>
      <c r="E824" s="8" t="s">
        <v>138</v>
      </c>
      <c r="F824" s="8" t="s">
        <v>138</v>
      </c>
      <c r="G824" s="8" t="s">
        <v>138</v>
      </c>
      <c r="H824" s="8" t="s">
        <v>138</v>
      </c>
      <c r="I824" s="8" t="s">
        <v>138</v>
      </c>
      <c r="J824" s="8" t="s">
        <v>138</v>
      </c>
      <c r="K824" s="8" t="s">
        <v>138</v>
      </c>
    </row>
    <row r="825" spans="1:11">
      <c r="A825" s="8" t="s">
        <v>138</v>
      </c>
      <c r="B825" s="8" t="s">
        <v>138</v>
      </c>
      <c r="C825" s="8" t="s">
        <v>138</v>
      </c>
      <c r="D825" s="8" t="s">
        <v>138</v>
      </c>
      <c r="E825" s="8" t="s">
        <v>138</v>
      </c>
      <c r="F825" s="8" t="s">
        <v>138</v>
      </c>
      <c r="G825" s="8" t="s">
        <v>138</v>
      </c>
      <c r="H825" s="8" t="s">
        <v>138</v>
      </c>
      <c r="I825" s="8" t="s">
        <v>138</v>
      </c>
      <c r="J825" s="8" t="s">
        <v>138</v>
      </c>
      <c r="K825" s="8" t="s">
        <v>138</v>
      </c>
    </row>
    <row r="826" spans="1:11">
      <c r="A826" s="8" t="s">
        <v>138</v>
      </c>
      <c r="B826" s="8" t="s">
        <v>138</v>
      </c>
      <c r="C826" s="8" t="s">
        <v>138</v>
      </c>
      <c r="D826" s="8" t="s">
        <v>138</v>
      </c>
      <c r="E826" s="8" t="s">
        <v>138</v>
      </c>
      <c r="F826" s="8" t="s">
        <v>138</v>
      </c>
      <c r="G826" s="8" t="s">
        <v>138</v>
      </c>
      <c r="H826" s="8" t="s">
        <v>138</v>
      </c>
      <c r="I826" s="8" t="s">
        <v>138</v>
      </c>
      <c r="J826" s="8" t="s">
        <v>138</v>
      </c>
      <c r="K826" s="8" t="s">
        <v>138</v>
      </c>
    </row>
    <row r="827" spans="1:11">
      <c r="A827" s="8" t="s">
        <v>138</v>
      </c>
      <c r="B827" s="8" t="s">
        <v>138</v>
      </c>
      <c r="C827" s="8" t="s">
        <v>138</v>
      </c>
      <c r="D827" s="8" t="s">
        <v>138</v>
      </c>
      <c r="E827" s="8" t="s">
        <v>138</v>
      </c>
      <c r="F827" s="8" t="s">
        <v>138</v>
      </c>
      <c r="G827" s="8" t="s">
        <v>138</v>
      </c>
      <c r="H827" s="8" t="s">
        <v>138</v>
      </c>
      <c r="I827" s="8" t="s">
        <v>138</v>
      </c>
      <c r="J827" s="8" t="s">
        <v>138</v>
      </c>
      <c r="K827" s="8" t="s">
        <v>138</v>
      </c>
    </row>
    <row r="828" spans="1:11">
      <c r="A828" s="8" t="s">
        <v>138</v>
      </c>
      <c r="B828" s="8" t="s">
        <v>138</v>
      </c>
      <c r="C828" s="8" t="s">
        <v>138</v>
      </c>
      <c r="D828" s="8" t="s">
        <v>138</v>
      </c>
      <c r="E828" s="8" t="s">
        <v>138</v>
      </c>
      <c r="F828" s="8" t="s">
        <v>138</v>
      </c>
      <c r="G828" s="8" t="s">
        <v>138</v>
      </c>
      <c r="H828" s="8" t="s">
        <v>138</v>
      </c>
      <c r="I828" s="8" t="s">
        <v>138</v>
      </c>
      <c r="J828" s="8" t="s">
        <v>138</v>
      </c>
      <c r="K828" s="8" t="s">
        <v>138</v>
      </c>
    </row>
    <row r="829" spans="1:11">
      <c r="A829" s="8" t="s">
        <v>138</v>
      </c>
      <c r="B829" s="8" t="s">
        <v>138</v>
      </c>
      <c r="C829" s="8" t="s">
        <v>138</v>
      </c>
      <c r="D829" s="8" t="s">
        <v>138</v>
      </c>
      <c r="E829" s="8" t="s">
        <v>138</v>
      </c>
      <c r="F829" s="8" t="s">
        <v>138</v>
      </c>
      <c r="G829" s="8" t="s">
        <v>138</v>
      </c>
      <c r="H829" s="8" t="s">
        <v>138</v>
      </c>
      <c r="I829" s="8" t="s">
        <v>138</v>
      </c>
      <c r="J829" s="8" t="s">
        <v>138</v>
      </c>
      <c r="K829" s="8" t="s">
        <v>138</v>
      </c>
    </row>
    <row r="830" spans="1:11">
      <c r="A830" s="8" t="s">
        <v>138</v>
      </c>
      <c r="B830" s="8" t="s">
        <v>138</v>
      </c>
      <c r="C830" s="8" t="s">
        <v>138</v>
      </c>
      <c r="D830" s="8" t="s">
        <v>138</v>
      </c>
      <c r="E830" s="8" t="s">
        <v>138</v>
      </c>
      <c r="F830" s="8" t="s">
        <v>138</v>
      </c>
      <c r="G830" s="8" t="s">
        <v>138</v>
      </c>
      <c r="H830" s="8" t="s">
        <v>138</v>
      </c>
      <c r="I830" s="8" t="s">
        <v>138</v>
      </c>
      <c r="J830" s="8" t="s">
        <v>138</v>
      </c>
      <c r="K830" s="8" t="s">
        <v>138</v>
      </c>
    </row>
    <row r="831" spans="1:11">
      <c r="A831" s="8" t="s">
        <v>138</v>
      </c>
      <c r="B831" s="8" t="s">
        <v>138</v>
      </c>
      <c r="C831" s="8" t="s">
        <v>138</v>
      </c>
      <c r="D831" s="8" t="s">
        <v>138</v>
      </c>
      <c r="E831" s="8" t="s">
        <v>138</v>
      </c>
      <c r="F831" s="8" t="s">
        <v>138</v>
      </c>
      <c r="G831" s="8" t="s">
        <v>138</v>
      </c>
      <c r="H831" s="8" t="s">
        <v>138</v>
      </c>
      <c r="I831" s="8" t="s">
        <v>138</v>
      </c>
      <c r="J831" s="8" t="s">
        <v>138</v>
      </c>
      <c r="K831" s="8" t="s">
        <v>138</v>
      </c>
    </row>
    <row r="832" spans="1:11">
      <c r="A832" s="8" t="s">
        <v>138</v>
      </c>
      <c r="B832" s="8" t="s">
        <v>138</v>
      </c>
      <c r="C832" s="8" t="s">
        <v>138</v>
      </c>
      <c r="D832" s="8" t="s">
        <v>138</v>
      </c>
      <c r="E832" s="8" t="s">
        <v>138</v>
      </c>
      <c r="F832" s="8" t="s">
        <v>138</v>
      </c>
      <c r="G832" s="8" t="s">
        <v>138</v>
      </c>
      <c r="H832" s="8" t="s">
        <v>138</v>
      </c>
      <c r="I832" s="8" t="s">
        <v>138</v>
      </c>
      <c r="J832" s="8" t="s">
        <v>138</v>
      </c>
      <c r="K832" s="8" t="s">
        <v>138</v>
      </c>
    </row>
    <row r="833" spans="1:11">
      <c r="A833" s="8" t="s">
        <v>138</v>
      </c>
      <c r="B833" s="8" t="s">
        <v>138</v>
      </c>
      <c r="C833" s="8" t="s">
        <v>138</v>
      </c>
      <c r="D833" s="8" t="s">
        <v>138</v>
      </c>
      <c r="E833" s="8" t="s">
        <v>138</v>
      </c>
      <c r="F833" s="8" t="s">
        <v>138</v>
      </c>
      <c r="G833" s="8" t="s">
        <v>138</v>
      </c>
      <c r="H833" s="8" t="s">
        <v>138</v>
      </c>
      <c r="I833" s="8" t="s">
        <v>138</v>
      </c>
      <c r="J833" s="8" t="s">
        <v>138</v>
      </c>
      <c r="K833" s="8" t="s">
        <v>138</v>
      </c>
    </row>
    <row r="834" spans="1:11">
      <c r="A834" s="8" t="s">
        <v>138</v>
      </c>
      <c r="B834" s="8" t="s">
        <v>138</v>
      </c>
      <c r="C834" s="8" t="s">
        <v>138</v>
      </c>
      <c r="D834" s="8" t="s">
        <v>138</v>
      </c>
      <c r="E834" s="8" t="s">
        <v>138</v>
      </c>
      <c r="F834" s="8" t="s">
        <v>138</v>
      </c>
      <c r="G834" s="8" t="s">
        <v>138</v>
      </c>
      <c r="H834" s="8" t="s">
        <v>138</v>
      </c>
      <c r="I834" s="8" t="s">
        <v>138</v>
      </c>
      <c r="J834" s="8" t="s">
        <v>138</v>
      </c>
      <c r="K834" s="8" t="s">
        <v>138</v>
      </c>
    </row>
    <row r="835" spans="1:11">
      <c r="A835" s="8" t="s">
        <v>138</v>
      </c>
      <c r="B835" s="8" t="s">
        <v>138</v>
      </c>
      <c r="C835" s="8" t="s">
        <v>138</v>
      </c>
      <c r="D835" s="8" t="s">
        <v>138</v>
      </c>
      <c r="E835" s="8" t="s">
        <v>138</v>
      </c>
      <c r="F835" s="8" t="s">
        <v>138</v>
      </c>
      <c r="G835" s="8" t="s">
        <v>138</v>
      </c>
      <c r="H835" s="8" t="s">
        <v>138</v>
      </c>
      <c r="I835" s="8" t="s">
        <v>138</v>
      </c>
      <c r="J835" s="8" t="s">
        <v>138</v>
      </c>
      <c r="K835" s="8" t="s">
        <v>138</v>
      </c>
    </row>
    <row r="836" spans="1:11">
      <c r="A836" s="8" t="s">
        <v>138</v>
      </c>
      <c r="B836" s="8" t="s">
        <v>138</v>
      </c>
      <c r="C836" s="8" t="s">
        <v>138</v>
      </c>
      <c r="D836" s="8" t="s">
        <v>138</v>
      </c>
      <c r="E836" s="8" t="s">
        <v>138</v>
      </c>
      <c r="F836" s="8" t="s">
        <v>138</v>
      </c>
      <c r="G836" s="8" t="s">
        <v>138</v>
      </c>
      <c r="H836" s="8" t="s">
        <v>138</v>
      </c>
      <c r="I836" s="8" t="s">
        <v>138</v>
      </c>
      <c r="J836" s="8" t="s">
        <v>138</v>
      </c>
      <c r="K836" s="8" t="s">
        <v>138</v>
      </c>
    </row>
    <row r="837" spans="1:11">
      <c r="A837" s="8" t="s">
        <v>138</v>
      </c>
      <c r="B837" s="8" t="s">
        <v>138</v>
      </c>
      <c r="C837" s="8" t="s">
        <v>138</v>
      </c>
      <c r="D837" s="8" t="s">
        <v>138</v>
      </c>
      <c r="E837" s="8" t="s">
        <v>138</v>
      </c>
      <c r="F837" s="8" t="s">
        <v>138</v>
      </c>
      <c r="G837" s="8" t="s">
        <v>138</v>
      </c>
      <c r="H837" s="8" t="s">
        <v>138</v>
      </c>
      <c r="I837" s="8" t="s">
        <v>138</v>
      </c>
      <c r="J837" s="8" t="s">
        <v>138</v>
      </c>
      <c r="K837" s="8" t="s">
        <v>138</v>
      </c>
    </row>
    <row r="838" spans="1:11">
      <c r="A838" s="8" t="s">
        <v>138</v>
      </c>
      <c r="B838" s="8" t="s">
        <v>138</v>
      </c>
      <c r="C838" s="8" t="s">
        <v>138</v>
      </c>
      <c r="D838" s="8" t="s">
        <v>138</v>
      </c>
      <c r="E838" s="8" t="s">
        <v>138</v>
      </c>
      <c r="F838" s="8" t="s">
        <v>138</v>
      </c>
      <c r="G838" s="8" t="s">
        <v>138</v>
      </c>
      <c r="H838" s="8" t="s">
        <v>138</v>
      </c>
      <c r="I838" s="8" t="s">
        <v>138</v>
      </c>
      <c r="J838" s="8" t="s">
        <v>138</v>
      </c>
      <c r="K838" s="8" t="s">
        <v>138</v>
      </c>
    </row>
    <row r="839" spans="1:11">
      <c r="A839" s="8" t="s">
        <v>138</v>
      </c>
      <c r="B839" s="8" t="s">
        <v>138</v>
      </c>
      <c r="C839" s="8" t="s">
        <v>138</v>
      </c>
      <c r="D839" s="8" t="s">
        <v>138</v>
      </c>
      <c r="E839" s="8" t="s">
        <v>138</v>
      </c>
      <c r="F839" s="8" t="s">
        <v>138</v>
      </c>
      <c r="G839" s="8" t="s">
        <v>138</v>
      </c>
      <c r="H839" s="8" t="s">
        <v>138</v>
      </c>
      <c r="I839" s="8" t="s">
        <v>138</v>
      </c>
      <c r="J839" s="8" t="s">
        <v>138</v>
      </c>
      <c r="K839" s="8" t="s">
        <v>138</v>
      </c>
    </row>
    <row r="840" spans="1:11">
      <c r="A840" s="8" t="s">
        <v>138</v>
      </c>
      <c r="B840" s="8" t="s">
        <v>138</v>
      </c>
      <c r="C840" s="8" t="s">
        <v>138</v>
      </c>
      <c r="D840" s="8" t="s">
        <v>138</v>
      </c>
      <c r="E840" s="8" t="s">
        <v>138</v>
      </c>
      <c r="F840" s="8" t="s">
        <v>138</v>
      </c>
      <c r="G840" s="8" t="s">
        <v>138</v>
      </c>
      <c r="H840" s="8" t="s">
        <v>138</v>
      </c>
      <c r="I840" s="8" t="s">
        <v>138</v>
      </c>
      <c r="J840" s="8" t="s">
        <v>138</v>
      </c>
      <c r="K840" s="8" t="s">
        <v>138</v>
      </c>
    </row>
    <row r="841" spans="1:11">
      <c r="A841" s="8" t="s">
        <v>138</v>
      </c>
      <c r="B841" s="8" t="s">
        <v>138</v>
      </c>
      <c r="C841" s="8" t="s">
        <v>138</v>
      </c>
      <c r="D841" s="8" t="s">
        <v>138</v>
      </c>
      <c r="E841" s="8" t="s">
        <v>138</v>
      </c>
      <c r="F841" s="8" t="s">
        <v>138</v>
      </c>
      <c r="G841" s="8" t="s">
        <v>138</v>
      </c>
      <c r="H841" s="8" t="s">
        <v>138</v>
      </c>
      <c r="I841" s="8" t="s">
        <v>138</v>
      </c>
      <c r="J841" s="8" t="s">
        <v>138</v>
      </c>
      <c r="K841" s="8" t="s">
        <v>138</v>
      </c>
    </row>
    <row r="842" spans="1:11">
      <c r="A842" s="8" t="s">
        <v>138</v>
      </c>
      <c r="B842" s="8" t="s">
        <v>138</v>
      </c>
      <c r="C842" s="8" t="s">
        <v>138</v>
      </c>
      <c r="D842" s="8" t="s">
        <v>138</v>
      </c>
      <c r="E842" s="8" t="s">
        <v>138</v>
      </c>
      <c r="F842" s="8" t="s">
        <v>138</v>
      </c>
      <c r="G842" s="8" t="s">
        <v>138</v>
      </c>
      <c r="H842" s="8" t="s">
        <v>138</v>
      </c>
      <c r="I842" s="8" t="s">
        <v>138</v>
      </c>
      <c r="J842" s="8" t="s">
        <v>138</v>
      </c>
      <c r="K842" s="8" t="s">
        <v>138</v>
      </c>
    </row>
    <row r="843" spans="1:11">
      <c r="A843" s="8" t="s">
        <v>138</v>
      </c>
      <c r="B843" s="8" t="s">
        <v>138</v>
      </c>
      <c r="C843" s="8" t="s">
        <v>138</v>
      </c>
      <c r="D843" s="8" t="s">
        <v>138</v>
      </c>
      <c r="E843" s="8" t="s">
        <v>138</v>
      </c>
      <c r="F843" s="8" t="s">
        <v>138</v>
      </c>
      <c r="G843" s="8" t="s">
        <v>138</v>
      </c>
      <c r="H843" s="8" t="s">
        <v>138</v>
      </c>
      <c r="I843" s="8" t="s">
        <v>138</v>
      </c>
      <c r="J843" s="8" t="s">
        <v>138</v>
      </c>
      <c r="K843" s="8" t="s">
        <v>138</v>
      </c>
    </row>
    <row r="844" spans="1:11">
      <c r="A844" s="8" t="s">
        <v>138</v>
      </c>
      <c r="B844" s="8" t="s">
        <v>138</v>
      </c>
      <c r="C844" s="8" t="s">
        <v>138</v>
      </c>
      <c r="D844" s="8" t="s">
        <v>138</v>
      </c>
      <c r="E844" s="8" t="s">
        <v>138</v>
      </c>
      <c r="F844" s="8" t="s">
        <v>138</v>
      </c>
      <c r="G844" s="8" t="s">
        <v>138</v>
      </c>
      <c r="H844" s="8" t="s">
        <v>138</v>
      </c>
      <c r="I844" s="8" t="s">
        <v>138</v>
      </c>
      <c r="J844" s="8" t="s">
        <v>138</v>
      </c>
      <c r="K844" s="8" t="s">
        <v>138</v>
      </c>
    </row>
    <row r="845" spans="1:11">
      <c r="A845" s="8" t="s">
        <v>138</v>
      </c>
      <c r="B845" s="8" t="s">
        <v>138</v>
      </c>
      <c r="C845" s="8" t="s">
        <v>138</v>
      </c>
      <c r="D845" s="8" t="s">
        <v>138</v>
      </c>
      <c r="E845" s="8" t="s">
        <v>138</v>
      </c>
      <c r="F845" s="8" t="s">
        <v>138</v>
      </c>
      <c r="G845" s="8" t="s">
        <v>138</v>
      </c>
      <c r="H845" s="8" t="s">
        <v>138</v>
      </c>
      <c r="I845" s="8" t="s">
        <v>138</v>
      </c>
      <c r="J845" s="8" t="s">
        <v>138</v>
      </c>
      <c r="K845" s="8" t="s">
        <v>138</v>
      </c>
    </row>
    <row r="846" spans="1:11">
      <c r="A846" s="8" t="s">
        <v>138</v>
      </c>
      <c r="B846" s="8" t="s">
        <v>138</v>
      </c>
      <c r="C846" s="8" t="s">
        <v>138</v>
      </c>
      <c r="D846" s="8" t="s">
        <v>138</v>
      </c>
      <c r="E846" s="8" t="s">
        <v>138</v>
      </c>
      <c r="F846" s="8" t="s">
        <v>138</v>
      </c>
      <c r="G846" s="8" t="s">
        <v>138</v>
      </c>
      <c r="H846" s="8" t="s">
        <v>138</v>
      </c>
      <c r="I846" s="8" t="s">
        <v>138</v>
      </c>
      <c r="J846" s="8" t="s">
        <v>138</v>
      </c>
      <c r="K846" s="8" t="s">
        <v>138</v>
      </c>
    </row>
    <row r="847" spans="1:11">
      <c r="A847" s="8" t="s">
        <v>138</v>
      </c>
      <c r="B847" s="8" t="s">
        <v>138</v>
      </c>
      <c r="C847" s="8" t="s">
        <v>138</v>
      </c>
      <c r="D847" s="8" t="s">
        <v>138</v>
      </c>
      <c r="E847" s="8" t="s">
        <v>138</v>
      </c>
      <c r="F847" s="8" t="s">
        <v>138</v>
      </c>
      <c r="G847" s="8" t="s">
        <v>138</v>
      </c>
      <c r="H847" s="8" t="s">
        <v>138</v>
      </c>
      <c r="I847" s="8" t="s">
        <v>138</v>
      </c>
      <c r="J847" s="8" t="s">
        <v>138</v>
      </c>
      <c r="K847" s="8" t="s">
        <v>138</v>
      </c>
    </row>
    <row r="848" spans="1:11">
      <c r="A848" s="8" t="s">
        <v>138</v>
      </c>
      <c r="B848" s="8" t="s">
        <v>138</v>
      </c>
      <c r="C848" s="8" t="s">
        <v>138</v>
      </c>
      <c r="D848" s="8" t="s">
        <v>138</v>
      </c>
      <c r="E848" s="8" t="s">
        <v>138</v>
      </c>
      <c r="F848" s="8" t="s">
        <v>138</v>
      </c>
      <c r="G848" s="8" t="s">
        <v>138</v>
      </c>
      <c r="H848" s="8" t="s">
        <v>138</v>
      </c>
      <c r="I848" s="8" t="s">
        <v>138</v>
      </c>
      <c r="J848" s="8" t="s">
        <v>138</v>
      </c>
      <c r="K848" s="8" t="s">
        <v>138</v>
      </c>
    </row>
    <row r="849" spans="1:11">
      <c r="A849" s="8" t="s">
        <v>138</v>
      </c>
      <c r="B849" s="8" t="s">
        <v>138</v>
      </c>
      <c r="C849" s="8" t="s">
        <v>138</v>
      </c>
      <c r="D849" s="8" t="s">
        <v>138</v>
      </c>
      <c r="E849" s="8" t="s">
        <v>138</v>
      </c>
      <c r="F849" s="8" t="s">
        <v>138</v>
      </c>
      <c r="G849" s="8" t="s">
        <v>138</v>
      </c>
      <c r="H849" s="8" t="s">
        <v>138</v>
      </c>
      <c r="I849" s="8" t="s">
        <v>138</v>
      </c>
      <c r="J849" s="8" t="s">
        <v>138</v>
      </c>
      <c r="K849" s="8" t="s">
        <v>138</v>
      </c>
    </row>
    <row r="850" spans="1:11">
      <c r="A850" s="8" t="s">
        <v>138</v>
      </c>
      <c r="B850" s="8" t="s">
        <v>138</v>
      </c>
      <c r="C850" s="8" t="s">
        <v>138</v>
      </c>
      <c r="D850" s="8" t="s">
        <v>138</v>
      </c>
      <c r="E850" s="8" t="s">
        <v>138</v>
      </c>
      <c r="F850" s="8" t="s">
        <v>138</v>
      </c>
      <c r="G850" s="8" t="s">
        <v>138</v>
      </c>
      <c r="H850" s="8" t="s">
        <v>138</v>
      </c>
      <c r="I850" s="8" t="s">
        <v>138</v>
      </c>
      <c r="J850" s="8" t="s">
        <v>138</v>
      </c>
      <c r="K850" s="8" t="s">
        <v>138</v>
      </c>
    </row>
    <row r="851" spans="1:11">
      <c r="A851" s="8" t="s">
        <v>138</v>
      </c>
      <c r="B851" s="8" t="s">
        <v>138</v>
      </c>
      <c r="C851" s="8" t="s">
        <v>138</v>
      </c>
      <c r="D851" s="8" t="s">
        <v>138</v>
      </c>
      <c r="E851" s="8" t="s">
        <v>138</v>
      </c>
      <c r="F851" s="8" t="s">
        <v>138</v>
      </c>
      <c r="G851" s="8" t="s">
        <v>138</v>
      </c>
      <c r="H851" s="8" t="s">
        <v>138</v>
      </c>
      <c r="I851" s="8" t="s">
        <v>138</v>
      </c>
      <c r="J851" s="8" t="s">
        <v>138</v>
      </c>
      <c r="K851" s="8" t="s">
        <v>138</v>
      </c>
    </row>
    <row r="852" spans="1:11">
      <c r="A852" s="8" t="s">
        <v>138</v>
      </c>
      <c r="B852" s="8" t="s">
        <v>138</v>
      </c>
      <c r="C852" s="8" t="s">
        <v>138</v>
      </c>
      <c r="D852" s="8" t="s">
        <v>138</v>
      </c>
      <c r="E852" s="8" t="s">
        <v>138</v>
      </c>
      <c r="F852" s="8" t="s">
        <v>138</v>
      </c>
      <c r="G852" s="8" t="s">
        <v>138</v>
      </c>
      <c r="H852" s="8" t="s">
        <v>138</v>
      </c>
      <c r="I852" s="8" t="s">
        <v>138</v>
      </c>
      <c r="J852" s="8" t="s">
        <v>138</v>
      </c>
      <c r="K852" s="8" t="s">
        <v>138</v>
      </c>
    </row>
    <row r="853" spans="1:11">
      <c r="A853" s="8" t="s">
        <v>138</v>
      </c>
      <c r="B853" s="8" t="s">
        <v>138</v>
      </c>
      <c r="C853" s="8" t="s">
        <v>138</v>
      </c>
      <c r="D853" s="8" t="s">
        <v>138</v>
      </c>
      <c r="E853" s="8" t="s">
        <v>138</v>
      </c>
      <c r="F853" s="8" t="s">
        <v>138</v>
      </c>
      <c r="G853" s="8" t="s">
        <v>138</v>
      </c>
      <c r="H853" s="8" t="s">
        <v>138</v>
      </c>
      <c r="I853" s="8" t="s">
        <v>138</v>
      </c>
      <c r="J853" s="8" t="s">
        <v>138</v>
      </c>
      <c r="K853" s="8" t="s">
        <v>138</v>
      </c>
    </row>
    <row r="854" spans="1:11">
      <c r="A854" s="8" t="s">
        <v>138</v>
      </c>
      <c r="B854" s="8" t="s">
        <v>138</v>
      </c>
      <c r="C854" s="8" t="s">
        <v>138</v>
      </c>
      <c r="D854" s="8" t="s">
        <v>138</v>
      </c>
      <c r="E854" s="8" t="s">
        <v>138</v>
      </c>
      <c r="F854" s="8" t="s">
        <v>138</v>
      </c>
      <c r="G854" s="8" t="s">
        <v>138</v>
      </c>
      <c r="H854" s="8" t="s">
        <v>138</v>
      </c>
      <c r="I854" s="8" t="s">
        <v>138</v>
      </c>
      <c r="J854" s="8" t="s">
        <v>138</v>
      </c>
      <c r="K854" s="8" t="s">
        <v>138</v>
      </c>
    </row>
    <row r="855" spans="1:11">
      <c r="A855" s="8" t="s">
        <v>138</v>
      </c>
      <c r="B855" s="8" t="s">
        <v>138</v>
      </c>
      <c r="C855" s="8" t="s">
        <v>138</v>
      </c>
      <c r="D855" s="8" t="s">
        <v>138</v>
      </c>
      <c r="E855" s="8" t="s">
        <v>138</v>
      </c>
      <c r="F855" s="8" t="s">
        <v>138</v>
      </c>
      <c r="G855" s="8" t="s">
        <v>138</v>
      </c>
      <c r="H855" s="8" t="s">
        <v>138</v>
      </c>
      <c r="I855" s="8" t="s">
        <v>138</v>
      </c>
      <c r="J855" s="8" t="s">
        <v>138</v>
      </c>
      <c r="K855" s="8" t="s">
        <v>138</v>
      </c>
    </row>
    <row r="856" spans="1:11">
      <c r="A856" s="8" t="s">
        <v>138</v>
      </c>
      <c r="B856" s="8" t="s">
        <v>138</v>
      </c>
      <c r="C856" s="8" t="s">
        <v>138</v>
      </c>
      <c r="D856" s="8" t="s">
        <v>138</v>
      </c>
      <c r="E856" s="8" t="s">
        <v>138</v>
      </c>
      <c r="F856" s="8" t="s">
        <v>138</v>
      </c>
      <c r="G856" s="8" t="s">
        <v>138</v>
      </c>
      <c r="H856" s="8" t="s">
        <v>138</v>
      </c>
      <c r="I856" s="8" t="s">
        <v>138</v>
      </c>
      <c r="J856" s="8" t="s">
        <v>138</v>
      </c>
      <c r="K856" s="8" t="s">
        <v>138</v>
      </c>
    </row>
    <row r="857" spans="1:11">
      <c r="A857" s="8" t="s">
        <v>138</v>
      </c>
      <c r="B857" s="8" t="s">
        <v>138</v>
      </c>
      <c r="C857" s="8" t="s">
        <v>138</v>
      </c>
      <c r="D857" s="8" t="s">
        <v>138</v>
      </c>
      <c r="E857" s="8" t="s">
        <v>138</v>
      </c>
      <c r="F857" s="8" t="s">
        <v>138</v>
      </c>
      <c r="G857" s="8" t="s">
        <v>138</v>
      </c>
      <c r="H857" s="8" t="s">
        <v>138</v>
      </c>
      <c r="I857" s="8" t="s">
        <v>138</v>
      </c>
      <c r="J857" s="8" t="s">
        <v>138</v>
      </c>
      <c r="K857" s="8" t="s">
        <v>138</v>
      </c>
    </row>
    <row r="858" spans="1:11">
      <c r="A858" s="8" t="s">
        <v>138</v>
      </c>
      <c r="B858" s="8" t="s">
        <v>138</v>
      </c>
      <c r="C858" s="8" t="s">
        <v>138</v>
      </c>
      <c r="D858" s="8" t="s">
        <v>138</v>
      </c>
      <c r="E858" s="8" t="s">
        <v>138</v>
      </c>
      <c r="F858" s="8" t="s">
        <v>138</v>
      </c>
      <c r="G858" s="8" t="s">
        <v>138</v>
      </c>
      <c r="H858" s="8" t="s">
        <v>138</v>
      </c>
      <c r="I858" s="8" t="s">
        <v>138</v>
      </c>
      <c r="J858" s="8" t="s">
        <v>138</v>
      </c>
      <c r="K858" s="8" t="s">
        <v>138</v>
      </c>
    </row>
    <row r="859" spans="1:11">
      <c r="A859" s="8" t="s">
        <v>138</v>
      </c>
      <c r="B859" s="8" t="s">
        <v>138</v>
      </c>
      <c r="C859" s="8" t="s">
        <v>138</v>
      </c>
      <c r="D859" s="8" t="s">
        <v>138</v>
      </c>
      <c r="E859" s="8" t="s">
        <v>138</v>
      </c>
      <c r="F859" s="8" t="s">
        <v>138</v>
      </c>
      <c r="G859" s="8" t="s">
        <v>138</v>
      </c>
      <c r="H859" s="8" t="s">
        <v>138</v>
      </c>
      <c r="I859" s="8" t="s">
        <v>138</v>
      </c>
      <c r="J859" s="8" t="s">
        <v>138</v>
      </c>
      <c r="K859" s="8" t="s">
        <v>138</v>
      </c>
    </row>
    <row r="860" spans="1:11">
      <c r="A860" s="8" t="s">
        <v>138</v>
      </c>
      <c r="B860" s="8" t="s">
        <v>138</v>
      </c>
      <c r="C860" s="8" t="s">
        <v>138</v>
      </c>
      <c r="D860" s="8" t="s">
        <v>138</v>
      </c>
      <c r="E860" s="8" t="s">
        <v>138</v>
      </c>
      <c r="F860" s="8" t="s">
        <v>138</v>
      </c>
      <c r="G860" s="8" t="s">
        <v>138</v>
      </c>
      <c r="H860" s="8" t="s">
        <v>138</v>
      </c>
      <c r="I860" s="8" t="s">
        <v>138</v>
      </c>
      <c r="J860" s="8" t="s">
        <v>138</v>
      </c>
      <c r="K860" s="8" t="s">
        <v>138</v>
      </c>
    </row>
    <row r="861" spans="1:11">
      <c r="A861" s="8" t="s">
        <v>138</v>
      </c>
      <c r="B861" s="8" t="s">
        <v>138</v>
      </c>
      <c r="C861" s="8" t="s">
        <v>138</v>
      </c>
      <c r="D861" s="8" t="s">
        <v>138</v>
      </c>
      <c r="E861" s="8" t="s">
        <v>138</v>
      </c>
      <c r="F861" s="8" t="s">
        <v>138</v>
      </c>
      <c r="G861" s="8" t="s">
        <v>138</v>
      </c>
      <c r="H861" s="8" t="s">
        <v>138</v>
      </c>
      <c r="I861" s="8" t="s">
        <v>138</v>
      </c>
      <c r="J861" s="8" t="s">
        <v>138</v>
      </c>
      <c r="K861" s="8" t="s">
        <v>138</v>
      </c>
    </row>
    <row r="862" spans="1:11">
      <c r="A862" s="8" t="s">
        <v>138</v>
      </c>
      <c r="B862" s="8" t="s">
        <v>138</v>
      </c>
      <c r="C862" s="8" t="s">
        <v>138</v>
      </c>
      <c r="D862" s="8" t="s">
        <v>138</v>
      </c>
      <c r="E862" s="8" t="s">
        <v>138</v>
      </c>
      <c r="F862" s="8" t="s">
        <v>138</v>
      </c>
      <c r="G862" s="8" t="s">
        <v>138</v>
      </c>
      <c r="H862" s="8" t="s">
        <v>138</v>
      </c>
      <c r="I862" s="8" t="s">
        <v>138</v>
      </c>
      <c r="J862" s="8" t="s">
        <v>138</v>
      </c>
      <c r="K862" s="8" t="s">
        <v>138</v>
      </c>
    </row>
    <row r="863" spans="1:11">
      <c r="A863" s="8" t="s">
        <v>138</v>
      </c>
      <c r="B863" s="8" t="s">
        <v>138</v>
      </c>
      <c r="C863" s="8" t="s">
        <v>138</v>
      </c>
      <c r="D863" s="8" t="s">
        <v>138</v>
      </c>
      <c r="E863" s="8" t="s">
        <v>138</v>
      </c>
      <c r="F863" s="8" t="s">
        <v>138</v>
      </c>
      <c r="G863" s="8" t="s">
        <v>138</v>
      </c>
      <c r="H863" s="8" t="s">
        <v>138</v>
      </c>
      <c r="I863" s="8" t="s">
        <v>138</v>
      </c>
      <c r="J863" s="8" t="s">
        <v>138</v>
      </c>
      <c r="K863" s="8" t="s">
        <v>138</v>
      </c>
    </row>
    <row r="864" spans="1:11">
      <c r="A864" s="8" t="s">
        <v>138</v>
      </c>
      <c r="B864" s="8" t="s">
        <v>138</v>
      </c>
      <c r="C864" s="8" t="s">
        <v>138</v>
      </c>
      <c r="D864" s="8" t="s">
        <v>138</v>
      </c>
      <c r="E864" s="8" t="s">
        <v>138</v>
      </c>
      <c r="F864" s="8" t="s">
        <v>138</v>
      </c>
      <c r="G864" s="8" t="s">
        <v>138</v>
      </c>
      <c r="H864" s="8" t="s">
        <v>138</v>
      </c>
      <c r="I864" s="8" t="s">
        <v>138</v>
      </c>
      <c r="J864" s="8" t="s">
        <v>138</v>
      </c>
      <c r="K864" s="8" t="s">
        <v>138</v>
      </c>
    </row>
    <row r="865" spans="1:11">
      <c r="A865" s="8" t="s">
        <v>138</v>
      </c>
      <c r="B865" s="8" t="s">
        <v>138</v>
      </c>
      <c r="C865" s="8" t="s">
        <v>138</v>
      </c>
      <c r="D865" s="8" t="s">
        <v>138</v>
      </c>
      <c r="E865" s="8" t="s">
        <v>138</v>
      </c>
      <c r="F865" s="8" t="s">
        <v>138</v>
      </c>
      <c r="G865" s="8" t="s">
        <v>138</v>
      </c>
      <c r="H865" s="8" t="s">
        <v>138</v>
      </c>
      <c r="I865" s="8" t="s">
        <v>138</v>
      </c>
      <c r="J865" s="8" t="s">
        <v>138</v>
      </c>
      <c r="K865" s="8" t="s">
        <v>138</v>
      </c>
    </row>
    <row r="866" spans="1:11">
      <c r="A866" s="8" t="s">
        <v>138</v>
      </c>
      <c r="B866" s="8" t="s">
        <v>138</v>
      </c>
      <c r="C866" s="8" t="s">
        <v>138</v>
      </c>
      <c r="D866" s="8" t="s">
        <v>138</v>
      </c>
      <c r="E866" s="8" t="s">
        <v>138</v>
      </c>
      <c r="F866" s="8" t="s">
        <v>138</v>
      </c>
      <c r="G866" s="8" t="s">
        <v>138</v>
      </c>
      <c r="H866" s="8" t="s">
        <v>138</v>
      </c>
      <c r="I866" s="8" t="s">
        <v>138</v>
      </c>
      <c r="J866" s="8" t="s">
        <v>138</v>
      </c>
      <c r="K866" s="8" t="s">
        <v>138</v>
      </c>
    </row>
    <row r="867" spans="1:11">
      <c r="A867" s="8" t="s">
        <v>138</v>
      </c>
      <c r="B867" s="8" t="s">
        <v>138</v>
      </c>
      <c r="C867" s="8" t="s">
        <v>138</v>
      </c>
      <c r="D867" s="8" t="s">
        <v>138</v>
      </c>
      <c r="E867" s="8" t="s">
        <v>138</v>
      </c>
      <c r="F867" s="8" t="s">
        <v>138</v>
      </c>
      <c r="G867" s="8" t="s">
        <v>138</v>
      </c>
      <c r="H867" s="8" t="s">
        <v>138</v>
      </c>
      <c r="I867" s="8" t="s">
        <v>138</v>
      </c>
      <c r="J867" s="8" t="s">
        <v>138</v>
      </c>
      <c r="K867" s="8" t="s">
        <v>138</v>
      </c>
    </row>
    <row r="868" spans="1:11">
      <c r="A868" s="8" t="s">
        <v>138</v>
      </c>
      <c r="B868" s="8" t="s">
        <v>138</v>
      </c>
      <c r="C868" s="8" t="s">
        <v>138</v>
      </c>
      <c r="D868" s="8" t="s">
        <v>138</v>
      </c>
      <c r="E868" s="8" t="s">
        <v>138</v>
      </c>
      <c r="F868" s="8" t="s">
        <v>138</v>
      </c>
      <c r="G868" s="8" t="s">
        <v>138</v>
      </c>
      <c r="H868" s="8" t="s">
        <v>138</v>
      </c>
      <c r="I868" s="8" t="s">
        <v>138</v>
      </c>
      <c r="J868" s="8" t="s">
        <v>138</v>
      </c>
      <c r="K868" s="8" t="s">
        <v>138</v>
      </c>
    </row>
    <row r="869" spans="1:11">
      <c r="A869" s="8" t="s">
        <v>138</v>
      </c>
      <c r="B869" s="8" t="s">
        <v>138</v>
      </c>
      <c r="C869" s="8" t="s">
        <v>138</v>
      </c>
      <c r="D869" s="8" t="s">
        <v>138</v>
      </c>
      <c r="E869" s="8" t="s">
        <v>138</v>
      </c>
      <c r="F869" s="8" t="s">
        <v>138</v>
      </c>
      <c r="G869" s="8" t="s">
        <v>138</v>
      </c>
      <c r="H869" s="8" t="s">
        <v>138</v>
      </c>
      <c r="I869" s="8" t="s">
        <v>138</v>
      </c>
      <c r="J869" s="8" t="s">
        <v>138</v>
      </c>
      <c r="K869" s="8" t="s">
        <v>138</v>
      </c>
    </row>
    <row r="870" spans="1:11">
      <c r="A870" s="8" t="s">
        <v>138</v>
      </c>
      <c r="B870" s="8" t="s">
        <v>138</v>
      </c>
      <c r="C870" s="8" t="s">
        <v>138</v>
      </c>
      <c r="D870" s="8" t="s">
        <v>138</v>
      </c>
      <c r="E870" s="8" t="s">
        <v>138</v>
      </c>
      <c r="F870" s="8" t="s">
        <v>138</v>
      </c>
      <c r="G870" s="8" t="s">
        <v>138</v>
      </c>
      <c r="H870" s="8" t="s">
        <v>138</v>
      </c>
      <c r="I870" s="8" t="s">
        <v>138</v>
      </c>
      <c r="J870" s="8" t="s">
        <v>138</v>
      </c>
      <c r="K870" s="8" t="s">
        <v>138</v>
      </c>
    </row>
    <row r="871" spans="1:11">
      <c r="A871" s="8" t="s">
        <v>138</v>
      </c>
      <c r="B871" s="8" t="s">
        <v>138</v>
      </c>
      <c r="C871" s="8" t="s">
        <v>138</v>
      </c>
      <c r="D871" s="8" t="s">
        <v>138</v>
      </c>
      <c r="E871" s="8" t="s">
        <v>138</v>
      </c>
      <c r="F871" s="8" t="s">
        <v>138</v>
      </c>
      <c r="G871" s="8" t="s">
        <v>138</v>
      </c>
      <c r="H871" s="8" t="s">
        <v>138</v>
      </c>
      <c r="I871" s="8" t="s">
        <v>138</v>
      </c>
      <c r="J871" s="8" t="s">
        <v>138</v>
      </c>
      <c r="K871" s="8" t="s">
        <v>138</v>
      </c>
    </row>
    <row r="872" spans="1:11">
      <c r="A872" s="8" t="s">
        <v>138</v>
      </c>
      <c r="B872" s="8" t="s">
        <v>138</v>
      </c>
      <c r="C872" s="8" t="s">
        <v>138</v>
      </c>
      <c r="D872" s="8" t="s">
        <v>138</v>
      </c>
      <c r="E872" s="8" t="s">
        <v>138</v>
      </c>
      <c r="F872" s="8" t="s">
        <v>138</v>
      </c>
      <c r="G872" s="8" t="s">
        <v>138</v>
      </c>
      <c r="H872" s="8" t="s">
        <v>138</v>
      </c>
      <c r="I872" s="8" t="s">
        <v>138</v>
      </c>
      <c r="J872" s="8" t="s">
        <v>138</v>
      </c>
      <c r="K872" s="8" t="s">
        <v>138</v>
      </c>
    </row>
    <row r="873" spans="1:11">
      <c r="A873" s="8" t="s">
        <v>138</v>
      </c>
      <c r="B873" s="8" t="s">
        <v>138</v>
      </c>
      <c r="C873" s="8" t="s">
        <v>138</v>
      </c>
      <c r="D873" s="8" t="s">
        <v>138</v>
      </c>
      <c r="E873" s="8" t="s">
        <v>138</v>
      </c>
      <c r="F873" s="8" t="s">
        <v>138</v>
      </c>
      <c r="G873" s="8" t="s">
        <v>138</v>
      </c>
      <c r="H873" s="8" t="s">
        <v>138</v>
      </c>
      <c r="I873" s="8" t="s">
        <v>138</v>
      </c>
      <c r="J873" s="8" t="s">
        <v>138</v>
      </c>
      <c r="K873" s="8" t="s">
        <v>138</v>
      </c>
    </row>
    <row r="874" spans="1:11">
      <c r="A874" s="8" t="s">
        <v>138</v>
      </c>
      <c r="B874" s="8" t="s">
        <v>138</v>
      </c>
      <c r="C874" s="8" t="s">
        <v>138</v>
      </c>
      <c r="D874" s="8" t="s">
        <v>138</v>
      </c>
      <c r="E874" s="8" t="s">
        <v>138</v>
      </c>
      <c r="F874" s="8" t="s">
        <v>138</v>
      </c>
      <c r="G874" s="8" t="s">
        <v>138</v>
      </c>
      <c r="H874" s="8" t="s">
        <v>138</v>
      </c>
      <c r="I874" s="8" t="s">
        <v>138</v>
      </c>
      <c r="J874" s="8" t="s">
        <v>138</v>
      </c>
      <c r="K874" s="8" t="s">
        <v>138</v>
      </c>
    </row>
    <row r="875" spans="1:11">
      <c r="A875" s="8" t="s">
        <v>138</v>
      </c>
      <c r="B875" s="8" t="s">
        <v>138</v>
      </c>
      <c r="C875" s="8" t="s">
        <v>138</v>
      </c>
      <c r="D875" s="8" t="s">
        <v>138</v>
      </c>
      <c r="E875" s="8" t="s">
        <v>138</v>
      </c>
      <c r="F875" s="8" t="s">
        <v>138</v>
      </c>
      <c r="G875" s="8" t="s">
        <v>138</v>
      </c>
      <c r="H875" s="8" t="s">
        <v>138</v>
      </c>
      <c r="I875" s="8" t="s">
        <v>138</v>
      </c>
      <c r="J875" s="8" t="s">
        <v>138</v>
      </c>
      <c r="K875" s="8" t="s">
        <v>138</v>
      </c>
    </row>
    <row r="876" spans="1:11">
      <c r="A876" s="8" t="s">
        <v>138</v>
      </c>
      <c r="B876" s="8" t="s">
        <v>138</v>
      </c>
      <c r="C876" s="8" t="s">
        <v>138</v>
      </c>
      <c r="D876" s="8" t="s">
        <v>138</v>
      </c>
      <c r="E876" s="8" t="s">
        <v>138</v>
      </c>
      <c r="F876" s="8" t="s">
        <v>138</v>
      </c>
      <c r="G876" s="8" t="s">
        <v>138</v>
      </c>
      <c r="H876" s="8" t="s">
        <v>138</v>
      </c>
      <c r="I876" s="8" t="s">
        <v>138</v>
      </c>
      <c r="J876" s="8" t="s">
        <v>138</v>
      </c>
      <c r="K876" s="8" t="s">
        <v>138</v>
      </c>
    </row>
    <row r="877" spans="1:11">
      <c r="A877" s="8" t="s">
        <v>138</v>
      </c>
      <c r="B877" s="8" t="s">
        <v>138</v>
      </c>
      <c r="C877" s="8" t="s">
        <v>138</v>
      </c>
      <c r="D877" s="8" t="s">
        <v>138</v>
      </c>
      <c r="E877" s="8" t="s">
        <v>138</v>
      </c>
      <c r="F877" s="8" t="s">
        <v>138</v>
      </c>
      <c r="G877" s="8" t="s">
        <v>138</v>
      </c>
      <c r="H877" s="8" t="s">
        <v>138</v>
      </c>
      <c r="I877" s="8" t="s">
        <v>138</v>
      </c>
      <c r="J877" s="8" t="s">
        <v>138</v>
      </c>
      <c r="K877" s="8" t="s">
        <v>138</v>
      </c>
    </row>
    <row r="878" spans="1:11">
      <c r="A878" s="8" t="s">
        <v>138</v>
      </c>
      <c r="B878" s="8" t="s">
        <v>138</v>
      </c>
      <c r="C878" s="8" t="s">
        <v>138</v>
      </c>
      <c r="D878" s="8" t="s">
        <v>138</v>
      </c>
      <c r="E878" s="8" t="s">
        <v>138</v>
      </c>
      <c r="F878" s="8" t="s">
        <v>138</v>
      </c>
      <c r="G878" s="8" t="s">
        <v>138</v>
      </c>
      <c r="H878" s="8" t="s">
        <v>138</v>
      </c>
      <c r="I878" s="8" t="s">
        <v>138</v>
      </c>
      <c r="J878" s="8" t="s">
        <v>138</v>
      </c>
      <c r="K878" s="8" t="s">
        <v>138</v>
      </c>
    </row>
    <row r="879" spans="1:11">
      <c r="A879" s="8" t="s">
        <v>138</v>
      </c>
      <c r="B879" s="8" t="s">
        <v>138</v>
      </c>
      <c r="C879" s="8" t="s">
        <v>138</v>
      </c>
      <c r="D879" s="8" t="s">
        <v>138</v>
      </c>
      <c r="E879" s="8" t="s">
        <v>138</v>
      </c>
      <c r="F879" s="8" t="s">
        <v>138</v>
      </c>
      <c r="G879" s="8" t="s">
        <v>138</v>
      </c>
      <c r="H879" s="8" t="s">
        <v>138</v>
      </c>
      <c r="I879" s="8" t="s">
        <v>138</v>
      </c>
      <c r="J879" s="8" t="s">
        <v>138</v>
      </c>
      <c r="K879" s="8" t="s">
        <v>138</v>
      </c>
    </row>
    <row r="880" spans="1:11">
      <c r="A880" s="8" t="s">
        <v>138</v>
      </c>
      <c r="B880" s="8" t="s">
        <v>138</v>
      </c>
      <c r="C880" s="8" t="s">
        <v>138</v>
      </c>
      <c r="D880" s="8" t="s">
        <v>138</v>
      </c>
      <c r="E880" s="8" t="s">
        <v>138</v>
      </c>
      <c r="F880" s="8" t="s">
        <v>138</v>
      </c>
      <c r="G880" s="8" t="s">
        <v>138</v>
      </c>
      <c r="H880" s="8" t="s">
        <v>138</v>
      </c>
      <c r="I880" s="8" t="s">
        <v>138</v>
      </c>
      <c r="J880" s="8" t="s">
        <v>138</v>
      </c>
      <c r="K880" s="8" t="s">
        <v>138</v>
      </c>
    </row>
    <row r="881" spans="1:11">
      <c r="A881" s="8" t="s">
        <v>138</v>
      </c>
      <c r="B881" s="8" t="s">
        <v>138</v>
      </c>
      <c r="C881" s="8" t="s">
        <v>138</v>
      </c>
      <c r="D881" s="8" t="s">
        <v>138</v>
      </c>
      <c r="E881" s="8" t="s">
        <v>138</v>
      </c>
      <c r="F881" s="8" t="s">
        <v>138</v>
      </c>
      <c r="G881" s="8" t="s">
        <v>138</v>
      </c>
      <c r="H881" s="8" t="s">
        <v>138</v>
      </c>
      <c r="I881" s="8" t="s">
        <v>138</v>
      </c>
      <c r="J881" s="8" t="s">
        <v>138</v>
      </c>
      <c r="K881" s="8" t="s">
        <v>138</v>
      </c>
    </row>
    <row r="882" spans="1:11">
      <c r="A882" s="8" t="s">
        <v>138</v>
      </c>
      <c r="B882" s="8" t="s">
        <v>138</v>
      </c>
      <c r="C882" s="8" t="s">
        <v>138</v>
      </c>
      <c r="D882" s="8" t="s">
        <v>138</v>
      </c>
      <c r="E882" s="8" t="s">
        <v>138</v>
      </c>
      <c r="F882" s="8" t="s">
        <v>138</v>
      </c>
      <c r="G882" s="8" t="s">
        <v>138</v>
      </c>
      <c r="H882" s="8" t="s">
        <v>138</v>
      </c>
      <c r="I882" s="8" t="s">
        <v>138</v>
      </c>
      <c r="J882" s="8" t="s">
        <v>138</v>
      </c>
      <c r="K882" s="8" t="s">
        <v>138</v>
      </c>
    </row>
    <row r="883" spans="1:11">
      <c r="A883" s="8" t="s">
        <v>138</v>
      </c>
      <c r="B883" s="8" t="s">
        <v>138</v>
      </c>
      <c r="C883" s="8" t="s">
        <v>138</v>
      </c>
      <c r="D883" s="8" t="s">
        <v>138</v>
      </c>
      <c r="E883" s="8" t="s">
        <v>138</v>
      </c>
      <c r="F883" s="8" t="s">
        <v>138</v>
      </c>
      <c r="G883" s="8" t="s">
        <v>138</v>
      </c>
      <c r="H883" s="8" t="s">
        <v>138</v>
      </c>
      <c r="I883" s="8" t="s">
        <v>138</v>
      </c>
      <c r="J883" s="8" t="s">
        <v>138</v>
      </c>
      <c r="K883" s="8" t="s">
        <v>138</v>
      </c>
    </row>
    <row r="884" spans="1:11">
      <c r="A884" s="8" t="s">
        <v>138</v>
      </c>
      <c r="B884" s="8" t="s">
        <v>138</v>
      </c>
      <c r="C884" s="8" t="s">
        <v>138</v>
      </c>
      <c r="D884" s="8" t="s">
        <v>138</v>
      </c>
      <c r="E884" s="8" t="s">
        <v>138</v>
      </c>
      <c r="F884" s="8" t="s">
        <v>138</v>
      </c>
      <c r="G884" s="8" t="s">
        <v>138</v>
      </c>
      <c r="H884" s="8" t="s">
        <v>138</v>
      </c>
      <c r="I884" s="8" t="s">
        <v>138</v>
      </c>
      <c r="J884" s="8" t="s">
        <v>138</v>
      </c>
      <c r="K884" s="8" t="s">
        <v>138</v>
      </c>
    </row>
    <row r="885" spans="1:11">
      <c r="A885" s="8" t="s">
        <v>138</v>
      </c>
      <c r="B885" s="8" t="s">
        <v>138</v>
      </c>
      <c r="C885" s="8" t="s">
        <v>138</v>
      </c>
      <c r="D885" s="8" t="s">
        <v>138</v>
      </c>
      <c r="E885" s="8" t="s">
        <v>138</v>
      </c>
      <c r="F885" s="8" t="s">
        <v>138</v>
      </c>
      <c r="G885" s="8" t="s">
        <v>138</v>
      </c>
      <c r="H885" s="8" t="s">
        <v>138</v>
      </c>
      <c r="I885" s="8" t="s">
        <v>138</v>
      </c>
      <c r="J885" s="8" t="s">
        <v>138</v>
      </c>
      <c r="K885" s="8" t="s">
        <v>138</v>
      </c>
    </row>
    <row r="886" spans="1:11">
      <c r="A886" s="8" t="s">
        <v>138</v>
      </c>
      <c r="B886" s="8" t="s">
        <v>138</v>
      </c>
      <c r="C886" s="8" t="s">
        <v>138</v>
      </c>
      <c r="D886" s="8" t="s">
        <v>138</v>
      </c>
      <c r="E886" s="8" t="s">
        <v>138</v>
      </c>
      <c r="F886" s="8" t="s">
        <v>138</v>
      </c>
      <c r="G886" s="8" t="s">
        <v>138</v>
      </c>
      <c r="H886" s="8" t="s">
        <v>138</v>
      </c>
      <c r="I886" s="8" t="s">
        <v>138</v>
      </c>
      <c r="J886" s="8" t="s">
        <v>138</v>
      </c>
      <c r="K886" s="8" t="s">
        <v>138</v>
      </c>
    </row>
    <row r="887" spans="1:11">
      <c r="A887" s="8" t="s">
        <v>138</v>
      </c>
      <c r="B887" s="8" t="s">
        <v>138</v>
      </c>
      <c r="C887" s="8" t="s">
        <v>138</v>
      </c>
      <c r="D887" s="8" t="s">
        <v>138</v>
      </c>
      <c r="E887" s="8" t="s">
        <v>138</v>
      </c>
      <c r="F887" s="8" t="s">
        <v>138</v>
      </c>
      <c r="G887" s="8" t="s">
        <v>138</v>
      </c>
      <c r="H887" s="8" t="s">
        <v>138</v>
      </c>
      <c r="I887" s="8" t="s">
        <v>138</v>
      </c>
      <c r="J887" s="8" t="s">
        <v>138</v>
      </c>
      <c r="K887" s="8" t="s">
        <v>138</v>
      </c>
    </row>
    <row r="888" spans="1:11">
      <c r="A888" s="8" t="s">
        <v>138</v>
      </c>
      <c r="B888" s="8" t="s">
        <v>138</v>
      </c>
      <c r="C888" s="8" t="s">
        <v>138</v>
      </c>
      <c r="D888" s="8" t="s">
        <v>138</v>
      </c>
      <c r="E888" s="8" t="s">
        <v>138</v>
      </c>
      <c r="F888" s="8" t="s">
        <v>138</v>
      </c>
      <c r="G888" s="8" t="s">
        <v>138</v>
      </c>
      <c r="H888" s="8" t="s">
        <v>138</v>
      </c>
      <c r="I888" s="8" t="s">
        <v>138</v>
      </c>
      <c r="J888" s="8" t="s">
        <v>138</v>
      </c>
      <c r="K888" s="8" t="s">
        <v>138</v>
      </c>
    </row>
    <row r="889" spans="1:11">
      <c r="A889" s="8" t="s">
        <v>138</v>
      </c>
      <c r="B889" s="8" t="s">
        <v>138</v>
      </c>
      <c r="C889" s="8" t="s">
        <v>138</v>
      </c>
      <c r="D889" s="8" t="s">
        <v>138</v>
      </c>
      <c r="E889" s="8" t="s">
        <v>138</v>
      </c>
      <c r="F889" s="8" t="s">
        <v>138</v>
      </c>
      <c r="G889" s="8" t="s">
        <v>138</v>
      </c>
      <c r="H889" s="8" t="s">
        <v>138</v>
      </c>
      <c r="I889" s="8" t="s">
        <v>138</v>
      </c>
      <c r="J889" s="8" t="s">
        <v>138</v>
      </c>
      <c r="K889" s="8" t="s">
        <v>138</v>
      </c>
    </row>
    <row r="890" spans="1:11">
      <c r="A890" s="8" t="s">
        <v>138</v>
      </c>
      <c r="B890" s="8" t="s">
        <v>138</v>
      </c>
      <c r="C890" s="8" t="s">
        <v>138</v>
      </c>
      <c r="D890" s="8" t="s">
        <v>138</v>
      </c>
      <c r="E890" s="8" t="s">
        <v>138</v>
      </c>
      <c r="F890" s="8" t="s">
        <v>138</v>
      </c>
      <c r="G890" s="8" t="s">
        <v>138</v>
      </c>
      <c r="H890" s="8" t="s">
        <v>138</v>
      </c>
      <c r="I890" s="8" t="s">
        <v>138</v>
      </c>
      <c r="J890" s="8" t="s">
        <v>138</v>
      </c>
      <c r="K890" s="8" t="s">
        <v>138</v>
      </c>
    </row>
    <row r="891" spans="1:11">
      <c r="A891" s="8" t="s">
        <v>138</v>
      </c>
      <c r="B891" s="8" t="s">
        <v>138</v>
      </c>
      <c r="C891" s="8" t="s">
        <v>138</v>
      </c>
      <c r="D891" s="8" t="s">
        <v>138</v>
      </c>
      <c r="E891" s="8" t="s">
        <v>138</v>
      </c>
      <c r="F891" s="8" t="s">
        <v>138</v>
      </c>
      <c r="G891" s="8" t="s">
        <v>138</v>
      </c>
      <c r="H891" s="8" t="s">
        <v>138</v>
      </c>
      <c r="I891" s="8" t="s">
        <v>138</v>
      </c>
      <c r="J891" s="8" t="s">
        <v>138</v>
      </c>
      <c r="K891" s="8" t="s">
        <v>138</v>
      </c>
    </row>
    <row r="892" spans="1:11">
      <c r="A892" s="8" t="s">
        <v>138</v>
      </c>
      <c r="B892" s="8" t="s">
        <v>138</v>
      </c>
      <c r="C892" s="8" t="s">
        <v>138</v>
      </c>
      <c r="D892" s="8" t="s">
        <v>138</v>
      </c>
      <c r="E892" s="8" t="s">
        <v>138</v>
      </c>
      <c r="F892" s="8" t="s">
        <v>138</v>
      </c>
      <c r="G892" s="8" t="s">
        <v>138</v>
      </c>
      <c r="H892" s="8" t="s">
        <v>138</v>
      </c>
      <c r="I892" s="8" t="s">
        <v>138</v>
      </c>
      <c r="J892" s="8" t="s">
        <v>138</v>
      </c>
      <c r="K892" s="8" t="s">
        <v>138</v>
      </c>
    </row>
    <row r="893" spans="1:11">
      <c r="A893" s="8" t="s">
        <v>138</v>
      </c>
      <c r="B893" s="8" t="s">
        <v>138</v>
      </c>
      <c r="C893" s="8" t="s">
        <v>138</v>
      </c>
      <c r="D893" s="8" t="s">
        <v>138</v>
      </c>
      <c r="E893" s="8" t="s">
        <v>138</v>
      </c>
      <c r="F893" s="8" t="s">
        <v>138</v>
      </c>
      <c r="G893" s="8" t="s">
        <v>138</v>
      </c>
      <c r="H893" s="8" t="s">
        <v>138</v>
      </c>
      <c r="I893" s="8" t="s">
        <v>138</v>
      </c>
      <c r="J893" s="8" t="s">
        <v>138</v>
      </c>
      <c r="K893" s="8" t="s">
        <v>138</v>
      </c>
    </row>
    <row r="894" spans="1:11">
      <c r="A894" s="8" t="s">
        <v>138</v>
      </c>
      <c r="B894" s="8" t="s">
        <v>138</v>
      </c>
      <c r="C894" s="8" t="s">
        <v>138</v>
      </c>
      <c r="D894" s="8" t="s">
        <v>138</v>
      </c>
      <c r="E894" s="8" t="s">
        <v>138</v>
      </c>
      <c r="F894" s="8" t="s">
        <v>138</v>
      </c>
      <c r="G894" s="8" t="s">
        <v>138</v>
      </c>
      <c r="H894" s="8" t="s">
        <v>138</v>
      </c>
      <c r="I894" s="8" t="s">
        <v>138</v>
      </c>
      <c r="J894" s="8" t="s">
        <v>138</v>
      </c>
      <c r="K894" s="8" t="s">
        <v>138</v>
      </c>
    </row>
    <row r="895" spans="1:11">
      <c r="A895" s="8" t="s">
        <v>138</v>
      </c>
      <c r="B895" s="8" t="s">
        <v>138</v>
      </c>
      <c r="C895" s="8" t="s">
        <v>138</v>
      </c>
      <c r="D895" s="8" t="s">
        <v>138</v>
      </c>
      <c r="E895" s="8" t="s">
        <v>138</v>
      </c>
      <c r="F895" s="8" t="s">
        <v>138</v>
      </c>
      <c r="G895" s="8" t="s">
        <v>138</v>
      </c>
      <c r="H895" s="8" t="s">
        <v>138</v>
      </c>
      <c r="I895" s="8" t="s">
        <v>138</v>
      </c>
      <c r="J895" s="8" t="s">
        <v>138</v>
      </c>
      <c r="K895" s="8" t="s">
        <v>138</v>
      </c>
    </row>
    <row r="896" spans="1:11">
      <c r="A896" s="8" t="s">
        <v>138</v>
      </c>
      <c r="B896" s="8" t="s">
        <v>138</v>
      </c>
      <c r="C896" s="8" t="s">
        <v>138</v>
      </c>
      <c r="D896" s="8" t="s">
        <v>138</v>
      </c>
      <c r="E896" s="8" t="s">
        <v>138</v>
      </c>
      <c r="F896" s="8" t="s">
        <v>138</v>
      </c>
      <c r="G896" s="8" t="s">
        <v>138</v>
      </c>
      <c r="H896" s="8" t="s">
        <v>138</v>
      </c>
      <c r="I896" s="8" t="s">
        <v>138</v>
      </c>
      <c r="J896" s="8" t="s">
        <v>138</v>
      </c>
      <c r="K896" s="8" t="s">
        <v>138</v>
      </c>
    </row>
    <row r="897" spans="1:11">
      <c r="A897" s="8" t="s">
        <v>138</v>
      </c>
      <c r="B897" s="8" t="s">
        <v>138</v>
      </c>
      <c r="C897" s="8" t="s">
        <v>138</v>
      </c>
      <c r="D897" s="8" t="s">
        <v>138</v>
      </c>
      <c r="E897" s="8" t="s">
        <v>138</v>
      </c>
      <c r="F897" s="8" t="s">
        <v>138</v>
      </c>
      <c r="G897" s="8" t="s">
        <v>138</v>
      </c>
      <c r="H897" s="8" t="s">
        <v>138</v>
      </c>
      <c r="I897" s="8" t="s">
        <v>138</v>
      </c>
      <c r="J897" s="8" t="s">
        <v>138</v>
      </c>
      <c r="K897" s="8" t="s">
        <v>138</v>
      </c>
    </row>
    <row r="898" spans="1:11">
      <c r="A898" s="8" t="s">
        <v>138</v>
      </c>
      <c r="B898" s="8" t="s">
        <v>138</v>
      </c>
      <c r="C898" s="8" t="s">
        <v>138</v>
      </c>
      <c r="D898" s="8" t="s">
        <v>138</v>
      </c>
      <c r="E898" s="8" t="s">
        <v>138</v>
      </c>
      <c r="F898" s="8" t="s">
        <v>138</v>
      </c>
      <c r="G898" s="8" t="s">
        <v>138</v>
      </c>
      <c r="H898" s="8" t="s">
        <v>138</v>
      </c>
      <c r="I898" s="8" t="s">
        <v>138</v>
      </c>
      <c r="J898" s="8" t="s">
        <v>138</v>
      </c>
      <c r="K898" s="8" t="s">
        <v>138</v>
      </c>
    </row>
    <row r="899" spans="1:11">
      <c r="A899" s="8" t="s">
        <v>138</v>
      </c>
      <c r="B899" s="8" t="s">
        <v>138</v>
      </c>
      <c r="C899" s="8" t="s">
        <v>138</v>
      </c>
      <c r="D899" s="8" t="s">
        <v>138</v>
      </c>
      <c r="E899" s="8" t="s">
        <v>138</v>
      </c>
      <c r="F899" s="8" t="s">
        <v>138</v>
      </c>
      <c r="G899" s="8" t="s">
        <v>138</v>
      </c>
      <c r="H899" s="8" t="s">
        <v>138</v>
      </c>
      <c r="I899" s="8" t="s">
        <v>138</v>
      </c>
      <c r="J899" s="8" t="s">
        <v>138</v>
      </c>
      <c r="K899" s="8" t="s">
        <v>138</v>
      </c>
    </row>
    <row r="900" spans="1:11">
      <c r="A900" s="8" t="s">
        <v>138</v>
      </c>
      <c r="B900" s="8" t="s">
        <v>138</v>
      </c>
      <c r="C900" s="8" t="s">
        <v>138</v>
      </c>
      <c r="D900" s="8" t="s">
        <v>138</v>
      </c>
      <c r="E900" s="8" t="s">
        <v>138</v>
      </c>
      <c r="F900" s="8" t="s">
        <v>138</v>
      </c>
      <c r="G900" s="8" t="s">
        <v>138</v>
      </c>
      <c r="H900" s="8" t="s">
        <v>138</v>
      </c>
      <c r="I900" s="8" t="s">
        <v>138</v>
      </c>
      <c r="J900" s="8" t="s">
        <v>138</v>
      </c>
      <c r="K900" s="8" t="s">
        <v>138</v>
      </c>
    </row>
    <row r="901" spans="1:11">
      <c r="A901" s="8" t="s">
        <v>138</v>
      </c>
      <c r="B901" s="8" t="s">
        <v>138</v>
      </c>
      <c r="C901" s="8" t="s">
        <v>138</v>
      </c>
      <c r="D901" s="8" t="s">
        <v>138</v>
      </c>
      <c r="E901" s="8" t="s">
        <v>138</v>
      </c>
      <c r="F901" s="8" t="s">
        <v>138</v>
      </c>
      <c r="G901" s="8" t="s">
        <v>138</v>
      </c>
      <c r="H901" s="8" t="s">
        <v>138</v>
      </c>
      <c r="I901" s="8" t="s">
        <v>138</v>
      </c>
      <c r="J901" s="8" t="s">
        <v>138</v>
      </c>
      <c r="K901" s="8" t="s">
        <v>138</v>
      </c>
    </row>
    <row r="902" spans="1:11">
      <c r="A902" s="8" t="s">
        <v>138</v>
      </c>
      <c r="B902" s="8" t="s">
        <v>138</v>
      </c>
      <c r="C902" s="8" t="s">
        <v>138</v>
      </c>
      <c r="D902" s="8" t="s">
        <v>138</v>
      </c>
      <c r="E902" s="8" t="s">
        <v>138</v>
      </c>
      <c r="F902" s="8" t="s">
        <v>138</v>
      </c>
      <c r="G902" s="8" t="s">
        <v>138</v>
      </c>
      <c r="H902" s="8" t="s">
        <v>138</v>
      </c>
      <c r="I902" s="8" t="s">
        <v>138</v>
      </c>
      <c r="J902" s="8" t="s">
        <v>138</v>
      </c>
      <c r="K902" s="8" t="s">
        <v>138</v>
      </c>
    </row>
    <row r="903" spans="1:11">
      <c r="A903" s="8" t="s">
        <v>138</v>
      </c>
      <c r="B903" s="8" t="s">
        <v>138</v>
      </c>
      <c r="C903" s="8" t="s">
        <v>138</v>
      </c>
      <c r="D903" s="8" t="s">
        <v>138</v>
      </c>
      <c r="E903" s="8" t="s">
        <v>138</v>
      </c>
      <c r="F903" s="8" t="s">
        <v>138</v>
      </c>
      <c r="G903" s="8" t="s">
        <v>138</v>
      </c>
      <c r="H903" s="8" t="s">
        <v>138</v>
      </c>
      <c r="I903" s="8" t="s">
        <v>138</v>
      </c>
      <c r="J903" s="8" t="s">
        <v>138</v>
      </c>
      <c r="K903" s="8" t="s">
        <v>138</v>
      </c>
    </row>
    <row r="904" spans="1:11">
      <c r="A904" s="8" t="s">
        <v>138</v>
      </c>
      <c r="B904" s="8" t="s">
        <v>138</v>
      </c>
      <c r="C904" s="8" t="s">
        <v>138</v>
      </c>
      <c r="D904" s="8" t="s">
        <v>138</v>
      </c>
      <c r="E904" s="8" t="s">
        <v>138</v>
      </c>
      <c r="F904" s="8" t="s">
        <v>138</v>
      </c>
      <c r="G904" s="8" t="s">
        <v>138</v>
      </c>
      <c r="H904" s="8" t="s">
        <v>138</v>
      </c>
      <c r="I904" s="8" t="s">
        <v>138</v>
      </c>
      <c r="J904" s="8" t="s">
        <v>138</v>
      </c>
      <c r="K904" s="8" t="s">
        <v>138</v>
      </c>
    </row>
    <row r="905" spans="1:11">
      <c r="A905" s="8" t="s">
        <v>138</v>
      </c>
      <c r="B905" s="8" t="s">
        <v>138</v>
      </c>
      <c r="C905" s="8" t="s">
        <v>138</v>
      </c>
      <c r="D905" s="8" t="s">
        <v>138</v>
      </c>
      <c r="E905" s="8" t="s">
        <v>138</v>
      </c>
      <c r="F905" s="8" t="s">
        <v>138</v>
      </c>
      <c r="G905" s="8" t="s">
        <v>138</v>
      </c>
      <c r="H905" s="8" t="s">
        <v>138</v>
      </c>
      <c r="I905" s="8" t="s">
        <v>138</v>
      </c>
      <c r="J905" s="8" t="s">
        <v>138</v>
      </c>
      <c r="K905" s="8" t="s">
        <v>138</v>
      </c>
    </row>
    <row r="906" spans="1:11">
      <c r="A906" s="8" t="s">
        <v>138</v>
      </c>
      <c r="B906" s="8" t="s">
        <v>138</v>
      </c>
      <c r="C906" s="8" t="s">
        <v>138</v>
      </c>
      <c r="D906" s="8" t="s">
        <v>138</v>
      </c>
      <c r="E906" s="8" t="s">
        <v>138</v>
      </c>
      <c r="F906" s="8" t="s">
        <v>138</v>
      </c>
      <c r="G906" s="8" t="s">
        <v>138</v>
      </c>
      <c r="H906" s="8" t="s">
        <v>138</v>
      </c>
      <c r="I906" s="8" t="s">
        <v>138</v>
      </c>
      <c r="J906" s="8" t="s">
        <v>138</v>
      </c>
      <c r="K906" s="8" t="s">
        <v>138</v>
      </c>
    </row>
    <row r="907" spans="1:11">
      <c r="A907" s="8" t="s">
        <v>138</v>
      </c>
      <c r="B907" s="8" t="s">
        <v>138</v>
      </c>
      <c r="C907" s="8" t="s">
        <v>138</v>
      </c>
      <c r="D907" s="8" t="s">
        <v>138</v>
      </c>
      <c r="E907" s="8" t="s">
        <v>138</v>
      </c>
      <c r="F907" s="8" t="s">
        <v>138</v>
      </c>
      <c r="G907" s="8" t="s">
        <v>138</v>
      </c>
      <c r="H907" s="8" t="s">
        <v>138</v>
      </c>
      <c r="I907" s="8" t="s">
        <v>138</v>
      </c>
      <c r="J907" s="8" t="s">
        <v>138</v>
      </c>
      <c r="K907" s="8" t="s">
        <v>138</v>
      </c>
    </row>
    <row r="908" spans="1:11">
      <c r="A908" s="8" t="s">
        <v>138</v>
      </c>
      <c r="B908" s="8" t="s">
        <v>138</v>
      </c>
      <c r="C908" s="8" t="s">
        <v>138</v>
      </c>
      <c r="D908" s="8" t="s">
        <v>138</v>
      </c>
      <c r="E908" s="8" t="s">
        <v>138</v>
      </c>
      <c r="F908" s="8" t="s">
        <v>138</v>
      </c>
      <c r="G908" s="8" t="s">
        <v>138</v>
      </c>
      <c r="H908" s="8" t="s">
        <v>138</v>
      </c>
      <c r="I908" s="8" t="s">
        <v>138</v>
      </c>
      <c r="J908" s="8" t="s">
        <v>138</v>
      </c>
      <c r="K908" s="8" t="s">
        <v>138</v>
      </c>
    </row>
    <row r="909" spans="1:11">
      <c r="A909" s="8" t="s">
        <v>138</v>
      </c>
      <c r="B909" s="8" t="s">
        <v>138</v>
      </c>
      <c r="C909" s="8" t="s">
        <v>138</v>
      </c>
      <c r="D909" s="8" t="s">
        <v>138</v>
      </c>
      <c r="E909" s="8" t="s">
        <v>138</v>
      </c>
      <c r="F909" s="8" t="s">
        <v>138</v>
      </c>
      <c r="G909" s="8" t="s">
        <v>138</v>
      </c>
      <c r="H909" s="8" t="s">
        <v>138</v>
      </c>
      <c r="I909" s="8" t="s">
        <v>138</v>
      </c>
      <c r="J909" s="8" t="s">
        <v>138</v>
      </c>
      <c r="K909" s="8" t="s">
        <v>138</v>
      </c>
    </row>
    <row r="910" spans="1:11">
      <c r="A910" s="8" t="s">
        <v>138</v>
      </c>
      <c r="B910" s="8" t="s">
        <v>138</v>
      </c>
      <c r="C910" s="8" t="s">
        <v>138</v>
      </c>
      <c r="D910" s="8" t="s">
        <v>138</v>
      </c>
      <c r="E910" s="8" t="s">
        <v>138</v>
      </c>
      <c r="F910" s="8" t="s">
        <v>138</v>
      </c>
      <c r="G910" s="8" t="s">
        <v>138</v>
      </c>
      <c r="H910" s="8" t="s">
        <v>138</v>
      </c>
      <c r="I910" s="8" t="s">
        <v>138</v>
      </c>
      <c r="J910" s="8" t="s">
        <v>138</v>
      </c>
      <c r="K910" s="8" t="s">
        <v>138</v>
      </c>
    </row>
    <row r="911" spans="1:11">
      <c r="A911" s="8" t="s">
        <v>138</v>
      </c>
      <c r="B911" s="8" t="s">
        <v>138</v>
      </c>
      <c r="C911" s="8" t="s">
        <v>138</v>
      </c>
      <c r="D911" s="8" t="s">
        <v>138</v>
      </c>
      <c r="E911" s="8" t="s">
        <v>138</v>
      </c>
      <c r="F911" s="8" t="s">
        <v>138</v>
      </c>
      <c r="G911" s="8" t="s">
        <v>138</v>
      </c>
      <c r="H911" s="8" t="s">
        <v>138</v>
      </c>
      <c r="I911" s="8" t="s">
        <v>138</v>
      </c>
      <c r="J911" s="8" t="s">
        <v>138</v>
      </c>
      <c r="K911" s="8" t="s">
        <v>138</v>
      </c>
    </row>
    <row r="912" spans="1:11">
      <c r="A912" s="8" t="s">
        <v>138</v>
      </c>
      <c r="B912" s="8" t="s">
        <v>138</v>
      </c>
      <c r="C912" s="8" t="s">
        <v>138</v>
      </c>
      <c r="D912" s="8" t="s">
        <v>138</v>
      </c>
      <c r="E912" s="8" t="s">
        <v>138</v>
      </c>
      <c r="F912" s="8" t="s">
        <v>138</v>
      </c>
      <c r="G912" s="8" t="s">
        <v>138</v>
      </c>
      <c r="H912" s="8" t="s">
        <v>138</v>
      </c>
      <c r="I912" s="8" t="s">
        <v>138</v>
      </c>
      <c r="J912" s="8" t="s">
        <v>138</v>
      </c>
      <c r="K912" s="8" t="s">
        <v>138</v>
      </c>
    </row>
    <row r="913" spans="1:11">
      <c r="A913" s="8" t="s">
        <v>138</v>
      </c>
      <c r="B913" s="8" t="s">
        <v>138</v>
      </c>
      <c r="C913" s="8" t="s">
        <v>138</v>
      </c>
      <c r="D913" s="8" t="s">
        <v>138</v>
      </c>
      <c r="E913" s="8" t="s">
        <v>138</v>
      </c>
      <c r="F913" s="8" t="s">
        <v>138</v>
      </c>
      <c r="G913" s="8" t="s">
        <v>138</v>
      </c>
      <c r="H913" s="8" t="s">
        <v>138</v>
      </c>
      <c r="I913" s="8" t="s">
        <v>138</v>
      </c>
      <c r="J913" s="8" t="s">
        <v>138</v>
      </c>
      <c r="K913" s="8" t="s">
        <v>138</v>
      </c>
    </row>
    <row r="914" spans="1:11">
      <c r="A914" s="8" t="s">
        <v>138</v>
      </c>
      <c r="B914" s="8" t="s">
        <v>138</v>
      </c>
      <c r="C914" s="8" t="s">
        <v>138</v>
      </c>
      <c r="D914" s="8" t="s">
        <v>138</v>
      </c>
      <c r="E914" s="8" t="s">
        <v>138</v>
      </c>
      <c r="F914" s="8" t="s">
        <v>138</v>
      </c>
      <c r="G914" s="8" t="s">
        <v>138</v>
      </c>
      <c r="H914" s="8" t="s">
        <v>138</v>
      </c>
      <c r="I914" s="8" t="s">
        <v>138</v>
      </c>
      <c r="J914" s="8" t="s">
        <v>138</v>
      </c>
      <c r="K914" s="8" t="s">
        <v>138</v>
      </c>
    </row>
    <row r="915" spans="1:11">
      <c r="A915" s="8" t="s">
        <v>138</v>
      </c>
      <c r="B915" s="8" t="s">
        <v>138</v>
      </c>
      <c r="C915" s="8" t="s">
        <v>138</v>
      </c>
      <c r="D915" s="8" t="s">
        <v>138</v>
      </c>
      <c r="E915" s="8" t="s">
        <v>138</v>
      </c>
      <c r="F915" s="8" t="s">
        <v>138</v>
      </c>
      <c r="G915" s="8" t="s">
        <v>138</v>
      </c>
      <c r="H915" s="8" t="s">
        <v>138</v>
      </c>
      <c r="I915" s="8" t="s">
        <v>138</v>
      </c>
      <c r="J915" s="8" t="s">
        <v>138</v>
      </c>
      <c r="K915" s="8" t="s">
        <v>138</v>
      </c>
    </row>
    <row r="916" spans="1:11">
      <c r="A916" s="8" t="s">
        <v>138</v>
      </c>
      <c r="B916" s="8" t="s">
        <v>138</v>
      </c>
      <c r="C916" s="8" t="s">
        <v>138</v>
      </c>
      <c r="D916" s="8" t="s">
        <v>138</v>
      </c>
      <c r="E916" s="8" t="s">
        <v>138</v>
      </c>
      <c r="F916" s="8" t="s">
        <v>138</v>
      </c>
      <c r="G916" s="8" t="s">
        <v>138</v>
      </c>
      <c r="H916" s="8" t="s">
        <v>138</v>
      </c>
      <c r="I916" s="8" t="s">
        <v>138</v>
      </c>
      <c r="J916" s="8" t="s">
        <v>138</v>
      </c>
      <c r="K916" s="8" t="s">
        <v>138</v>
      </c>
    </row>
    <row r="917" spans="1:11">
      <c r="A917" s="8" t="s">
        <v>138</v>
      </c>
      <c r="B917" s="8" t="s">
        <v>138</v>
      </c>
      <c r="C917" s="8" t="s">
        <v>138</v>
      </c>
      <c r="D917" s="8" t="s">
        <v>138</v>
      </c>
      <c r="E917" s="8" t="s">
        <v>138</v>
      </c>
      <c r="F917" s="8" t="s">
        <v>138</v>
      </c>
      <c r="G917" s="8" t="s">
        <v>138</v>
      </c>
      <c r="H917" s="8" t="s">
        <v>138</v>
      </c>
      <c r="I917" s="8" t="s">
        <v>138</v>
      </c>
      <c r="J917" s="8" t="s">
        <v>138</v>
      </c>
      <c r="K917" s="8" t="s">
        <v>138</v>
      </c>
    </row>
    <row r="918" spans="1:11">
      <c r="A918" s="8" t="s">
        <v>138</v>
      </c>
      <c r="B918" s="8" t="s">
        <v>138</v>
      </c>
      <c r="C918" s="8" t="s">
        <v>138</v>
      </c>
      <c r="D918" s="8" t="s">
        <v>138</v>
      </c>
      <c r="E918" s="8" t="s">
        <v>138</v>
      </c>
      <c r="F918" s="8" t="s">
        <v>138</v>
      </c>
      <c r="G918" s="8" t="s">
        <v>138</v>
      </c>
      <c r="H918" s="8" t="s">
        <v>138</v>
      </c>
      <c r="I918" s="8" t="s">
        <v>138</v>
      </c>
      <c r="J918" s="8" t="s">
        <v>138</v>
      </c>
      <c r="K918" s="8" t="s">
        <v>138</v>
      </c>
    </row>
    <row r="919" spans="1:11">
      <c r="A919" s="8" t="s">
        <v>138</v>
      </c>
      <c r="B919" s="8" t="s">
        <v>138</v>
      </c>
      <c r="C919" s="8" t="s">
        <v>138</v>
      </c>
      <c r="D919" s="8" t="s">
        <v>138</v>
      </c>
      <c r="E919" s="8" t="s">
        <v>138</v>
      </c>
      <c r="F919" s="8" t="s">
        <v>138</v>
      </c>
      <c r="G919" s="8" t="s">
        <v>138</v>
      </c>
      <c r="H919" s="8" t="s">
        <v>138</v>
      </c>
      <c r="I919" s="8" t="s">
        <v>138</v>
      </c>
      <c r="J919" s="8" t="s">
        <v>138</v>
      </c>
      <c r="K919" s="8" t="s">
        <v>138</v>
      </c>
    </row>
    <row r="920" spans="1:11">
      <c r="A920" s="8" t="s">
        <v>138</v>
      </c>
      <c r="B920" s="8" t="s">
        <v>138</v>
      </c>
      <c r="C920" s="8" t="s">
        <v>138</v>
      </c>
      <c r="D920" s="8" t="s">
        <v>138</v>
      </c>
      <c r="E920" s="8" t="s">
        <v>138</v>
      </c>
      <c r="F920" s="8" t="s">
        <v>138</v>
      </c>
      <c r="G920" s="8" t="s">
        <v>138</v>
      </c>
      <c r="H920" s="8" t="s">
        <v>138</v>
      </c>
      <c r="I920" s="8" t="s">
        <v>138</v>
      </c>
      <c r="J920" s="8" t="s">
        <v>138</v>
      </c>
      <c r="K920" s="8" t="s">
        <v>138</v>
      </c>
    </row>
    <row r="921" spans="1:11">
      <c r="A921" s="8" t="s">
        <v>138</v>
      </c>
      <c r="B921" s="8" t="s">
        <v>138</v>
      </c>
      <c r="C921" s="8" t="s">
        <v>138</v>
      </c>
      <c r="D921" s="8" t="s">
        <v>138</v>
      </c>
      <c r="E921" s="8" t="s">
        <v>138</v>
      </c>
      <c r="F921" s="8" t="s">
        <v>138</v>
      </c>
      <c r="G921" s="8" t="s">
        <v>138</v>
      </c>
      <c r="H921" s="8" t="s">
        <v>138</v>
      </c>
      <c r="I921" s="8" t="s">
        <v>138</v>
      </c>
      <c r="J921" s="8" t="s">
        <v>138</v>
      </c>
      <c r="K921" s="8" t="s">
        <v>138</v>
      </c>
    </row>
    <row r="922" spans="1:11">
      <c r="A922" s="8" t="s">
        <v>138</v>
      </c>
      <c r="B922" s="8" t="s">
        <v>138</v>
      </c>
      <c r="C922" s="8" t="s">
        <v>138</v>
      </c>
      <c r="D922" s="8" t="s">
        <v>138</v>
      </c>
      <c r="E922" s="8" t="s">
        <v>138</v>
      </c>
      <c r="F922" s="8" t="s">
        <v>138</v>
      </c>
      <c r="G922" s="8" t="s">
        <v>138</v>
      </c>
      <c r="H922" s="8" t="s">
        <v>138</v>
      </c>
      <c r="I922" s="8" t="s">
        <v>138</v>
      </c>
      <c r="J922" s="8" t="s">
        <v>138</v>
      </c>
      <c r="K922" s="8" t="s">
        <v>138</v>
      </c>
    </row>
    <row r="923" spans="1:11">
      <c r="A923" s="8" t="s">
        <v>138</v>
      </c>
      <c r="B923" s="8" t="s">
        <v>138</v>
      </c>
      <c r="C923" s="8" t="s">
        <v>138</v>
      </c>
      <c r="D923" s="8" t="s">
        <v>138</v>
      </c>
      <c r="E923" s="8" t="s">
        <v>138</v>
      </c>
      <c r="F923" s="8" t="s">
        <v>138</v>
      </c>
      <c r="G923" s="8" t="s">
        <v>138</v>
      </c>
      <c r="H923" s="8" t="s">
        <v>138</v>
      </c>
      <c r="I923" s="8" t="s">
        <v>138</v>
      </c>
      <c r="J923" s="8" t="s">
        <v>138</v>
      </c>
      <c r="K923" s="8" t="s">
        <v>138</v>
      </c>
    </row>
    <row r="924" spans="1:11">
      <c r="A924" s="8" t="s">
        <v>138</v>
      </c>
      <c r="B924" s="8" t="s">
        <v>138</v>
      </c>
      <c r="C924" s="8" t="s">
        <v>138</v>
      </c>
      <c r="D924" s="8" t="s">
        <v>138</v>
      </c>
      <c r="E924" s="8" t="s">
        <v>138</v>
      </c>
      <c r="F924" s="8" t="s">
        <v>138</v>
      </c>
      <c r="G924" s="8" t="s">
        <v>138</v>
      </c>
      <c r="H924" s="8" t="s">
        <v>138</v>
      </c>
      <c r="I924" s="8" t="s">
        <v>138</v>
      </c>
      <c r="J924" s="8" t="s">
        <v>138</v>
      </c>
      <c r="K924" s="8" t="s">
        <v>138</v>
      </c>
    </row>
    <row r="925" spans="1:11">
      <c r="A925" s="8" t="s">
        <v>138</v>
      </c>
      <c r="B925" s="8" t="s">
        <v>138</v>
      </c>
      <c r="C925" s="8" t="s">
        <v>138</v>
      </c>
      <c r="D925" s="8" t="s">
        <v>138</v>
      </c>
      <c r="E925" s="8" t="s">
        <v>138</v>
      </c>
      <c r="F925" s="8" t="s">
        <v>138</v>
      </c>
      <c r="G925" s="8" t="s">
        <v>138</v>
      </c>
      <c r="H925" s="8" t="s">
        <v>138</v>
      </c>
      <c r="I925" s="8" t="s">
        <v>138</v>
      </c>
      <c r="J925" s="8" t="s">
        <v>138</v>
      </c>
      <c r="K925" s="8" t="s">
        <v>138</v>
      </c>
    </row>
    <row r="926" spans="1:11">
      <c r="A926" s="8" t="s">
        <v>138</v>
      </c>
      <c r="B926" s="8" t="s">
        <v>138</v>
      </c>
      <c r="C926" s="8" t="s">
        <v>138</v>
      </c>
      <c r="D926" s="8" t="s">
        <v>138</v>
      </c>
      <c r="E926" s="8" t="s">
        <v>138</v>
      </c>
      <c r="F926" s="8" t="s">
        <v>138</v>
      </c>
      <c r="G926" s="8" t="s">
        <v>138</v>
      </c>
      <c r="H926" s="8" t="s">
        <v>138</v>
      </c>
      <c r="I926" s="8" t="s">
        <v>138</v>
      </c>
      <c r="J926" s="8" t="s">
        <v>138</v>
      </c>
      <c r="K926" s="8" t="s">
        <v>138</v>
      </c>
    </row>
    <row r="927" spans="1:11">
      <c r="A927" s="8" t="s">
        <v>138</v>
      </c>
      <c r="B927" s="8" t="s">
        <v>138</v>
      </c>
      <c r="C927" s="8" t="s">
        <v>138</v>
      </c>
      <c r="D927" s="8" t="s">
        <v>138</v>
      </c>
      <c r="E927" s="8" t="s">
        <v>138</v>
      </c>
      <c r="F927" s="8" t="s">
        <v>138</v>
      </c>
      <c r="G927" s="8" t="s">
        <v>138</v>
      </c>
      <c r="H927" s="8" t="s">
        <v>138</v>
      </c>
      <c r="I927" s="8" t="s">
        <v>138</v>
      </c>
      <c r="J927" s="8" t="s">
        <v>138</v>
      </c>
      <c r="K927" s="8" t="s">
        <v>138</v>
      </c>
    </row>
    <row r="928" spans="1:11">
      <c r="A928" s="8" t="s">
        <v>138</v>
      </c>
      <c r="B928" s="8" t="s">
        <v>138</v>
      </c>
      <c r="C928" s="8" t="s">
        <v>138</v>
      </c>
      <c r="D928" s="8" t="s">
        <v>138</v>
      </c>
      <c r="E928" s="8" t="s">
        <v>138</v>
      </c>
      <c r="F928" s="8" t="s">
        <v>138</v>
      </c>
      <c r="G928" s="8" t="s">
        <v>138</v>
      </c>
      <c r="H928" s="8" t="s">
        <v>138</v>
      </c>
      <c r="I928" s="8" t="s">
        <v>138</v>
      </c>
      <c r="J928" s="8" t="s">
        <v>138</v>
      </c>
      <c r="K928" s="8" t="s">
        <v>138</v>
      </c>
    </row>
    <row r="929" spans="1:11">
      <c r="A929" s="8" t="s">
        <v>138</v>
      </c>
      <c r="B929" s="8" t="s">
        <v>138</v>
      </c>
      <c r="C929" s="8" t="s">
        <v>138</v>
      </c>
      <c r="D929" s="8" t="s">
        <v>138</v>
      </c>
      <c r="E929" s="8" t="s">
        <v>138</v>
      </c>
      <c r="F929" s="8" t="s">
        <v>138</v>
      </c>
      <c r="G929" s="8" t="s">
        <v>138</v>
      </c>
      <c r="H929" s="8" t="s">
        <v>138</v>
      </c>
      <c r="I929" s="8" t="s">
        <v>138</v>
      </c>
      <c r="J929" s="8" t="s">
        <v>138</v>
      </c>
      <c r="K929" s="8" t="s">
        <v>138</v>
      </c>
    </row>
    <row r="930" spans="1:11">
      <c r="A930" s="8" t="s">
        <v>138</v>
      </c>
      <c r="B930" s="8" t="s">
        <v>138</v>
      </c>
      <c r="C930" s="8" t="s">
        <v>138</v>
      </c>
      <c r="D930" s="8" t="s">
        <v>138</v>
      </c>
      <c r="E930" s="8" t="s">
        <v>138</v>
      </c>
      <c r="F930" s="8" t="s">
        <v>138</v>
      </c>
      <c r="G930" s="8" t="s">
        <v>138</v>
      </c>
      <c r="H930" s="8" t="s">
        <v>138</v>
      </c>
      <c r="I930" s="8" t="s">
        <v>138</v>
      </c>
      <c r="J930" s="8" t="s">
        <v>138</v>
      </c>
      <c r="K930" s="8" t="s">
        <v>138</v>
      </c>
    </row>
    <row r="931" spans="1:11">
      <c r="A931" s="8" t="s">
        <v>138</v>
      </c>
      <c r="B931" s="8" t="s">
        <v>138</v>
      </c>
      <c r="C931" s="8" t="s">
        <v>138</v>
      </c>
      <c r="D931" s="8" t="s">
        <v>138</v>
      </c>
      <c r="E931" s="8" t="s">
        <v>138</v>
      </c>
      <c r="F931" s="8" t="s">
        <v>138</v>
      </c>
      <c r="G931" s="8" t="s">
        <v>138</v>
      </c>
      <c r="H931" s="8" t="s">
        <v>138</v>
      </c>
      <c r="I931" s="8" t="s">
        <v>138</v>
      </c>
      <c r="J931" s="8" t="s">
        <v>138</v>
      </c>
      <c r="K931" s="8" t="s">
        <v>138</v>
      </c>
    </row>
    <row r="932" spans="1:11">
      <c r="A932" s="8" t="s">
        <v>138</v>
      </c>
      <c r="B932" s="8" t="s">
        <v>138</v>
      </c>
      <c r="C932" s="8" t="s">
        <v>138</v>
      </c>
      <c r="D932" s="8" t="s">
        <v>138</v>
      </c>
      <c r="E932" s="8" t="s">
        <v>138</v>
      </c>
      <c r="F932" s="8" t="s">
        <v>138</v>
      </c>
      <c r="G932" s="8" t="s">
        <v>138</v>
      </c>
      <c r="H932" s="8" t="s">
        <v>138</v>
      </c>
      <c r="I932" s="8" t="s">
        <v>138</v>
      </c>
      <c r="J932" s="8" t="s">
        <v>138</v>
      </c>
      <c r="K932" s="8" t="s">
        <v>138</v>
      </c>
    </row>
    <row r="933" spans="1:11">
      <c r="A933" s="8" t="s">
        <v>138</v>
      </c>
      <c r="B933" s="8" t="s">
        <v>138</v>
      </c>
      <c r="C933" s="8" t="s">
        <v>138</v>
      </c>
      <c r="D933" s="8" t="s">
        <v>138</v>
      </c>
      <c r="E933" s="8" t="s">
        <v>138</v>
      </c>
      <c r="F933" s="8" t="s">
        <v>138</v>
      </c>
      <c r="G933" s="8" t="s">
        <v>138</v>
      </c>
      <c r="H933" s="8" t="s">
        <v>138</v>
      </c>
      <c r="I933" s="8" t="s">
        <v>138</v>
      </c>
      <c r="J933" s="8" t="s">
        <v>138</v>
      </c>
      <c r="K933" s="8" t="s">
        <v>138</v>
      </c>
    </row>
    <row r="934" spans="1:11">
      <c r="A934" s="8" t="s">
        <v>138</v>
      </c>
      <c r="B934" s="8" t="s">
        <v>138</v>
      </c>
      <c r="C934" s="8" t="s">
        <v>138</v>
      </c>
      <c r="D934" s="8" t="s">
        <v>138</v>
      </c>
      <c r="E934" s="8" t="s">
        <v>138</v>
      </c>
      <c r="F934" s="8" t="s">
        <v>138</v>
      </c>
      <c r="G934" s="8" t="s">
        <v>138</v>
      </c>
      <c r="H934" s="8" t="s">
        <v>138</v>
      </c>
      <c r="I934" s="8" t="s">
        <v>138</v>
      </c>
      <c r="J934" s="8" t="s">
        <v>138</v>
      </c>
      <c r="K934" s="8" t="s">
        <v>138</v>
      </c>
    </row>
    <row r="935" spans="1:11">
      <c r="A935" s="8" t="s">
        <v>138</v>
      </c>
      <c r="B935" s="8" t="s">
        <v>138</v>
      </c>
      <c r="C935" s="8" t="s">
        <v>138</v>
      </c>
      <c r="D935" s="8" t="s">
        <v>138</v>
      </c>
      <c r="E935" s="8" t="s">
        <v>138</v>
      </c>
      <c r="F935" s="8" t="s">
        <v>138</v>
      </c>
      <c r="G935" s="8" t="s">
        <v>138</v>
      </c>
      <c r="H935" s="8" t="s">
        <v>138</v>
      </c>
      <c r="I935" s="8" t="s">
        <v>138</v>
      </c>
      <c r="J935" s="8" t="s">
        <v>138</v>
      </c>
      <c r="K935" s="8" t="s">
        <v>138</v>
      </c>
    </row>
    <row r="936" spans="1:11">
      <c r="A936" s="8" t="s">
        <v>138</v>
      </c>
      <c r="B936" s="8" t="s">
        <v>138</v>
      </c>
      <c r="C936" s="8" t="s">
        <v>138</v>
      </c>
      <c r="D936" s="8" t="s">
        <v>138</v>
      </c>
      <c r="E936" s="8" t="s">
        <v>138</v>
      </c>
      <c r="F936" s="8" t="s">
        <v>138</v>
      </c>
      <c r="G936" s="8" t="s">
        <v>138</v>
      </c>
      <c r="H936" s="8" t="s">
        <v>138</v>
      </c>
      <c r="I936" s="8" t="s">
        <v>138</v>
      </c>
      <c r="J936" s="8" t="s">
        <v>138</v>
      </c>
      <c r="K936" s="8" t="s">
        <v>138</v>
      </c>
    </row>
    <row r="937" spans="1:11">
      <c r="A937" s="8" t="s">
        <v>138</v>
      </c>
      <c r="B937" s="8" t="s">
        <v>138</v>
      </c>
      <c r="C937" s="8" t="s">
        <v>138</v>
      </c>
      <c r="D937" s="8" t="s">
        <v>138</v>
      </c>
      <c r="E937" s="8" t="s">
        <v>138</v>
      </c>
      <c r="F937" s="8" t="s">
        <v>138</v>
      </c>
      <c r="G937" s="8" t="s">
        <v>138</v>
      </c>
      <c r="H937" s="8" t="s">
        <v>138</v>
      </c>
      <c r="I937" s="8" t="s">
        <v>138</v>
      </c>
      <c r="J937" s="8" t="s">
        <v>138</v>
      </c>
      <c r="K937" s="8" t="s">
        <v>138</v>
      </c>
    </row>
    <row r="938" spans="1:11">
      <c r="A938" s="8" t="s">
        <v>138</v>
      </c>
      <c r="B938" s="8" t="s">
        <v>138</v>
      </c>
      <c r="C938" s="8" t="s">
        <v>138</v>
      </c>
      <c r="D938" s="8" t="s">
        <v>138</v>
      </c>
      <c r="E938" s="8" t="s">
        <v>138</v>
      </c>
      <c r="F938" s="8" t="s">
        <v>138</v>
      </c>
      <c r="G938" s="8" t="s">
        <v>138</v>
      </c>
      <c r="H938" s="8" t="s">
        <v>138</v>
      </c>
      <c r="I938" s="8" t="s">
        <v>138</v>
      </c>
      <c r="J938" s="8" t="s">
        <v>138</v>
      </c>
      <c r="K938" s="8" t="s">
        <v>138</v>
      </c>
    </row>
    <row r="939" spans="1:11">
      <c r="A939" s="8" t="s">
        <v>138</v>
      </c>
      <c r="B939" s="8" t="s">
        <v>138</v>
      </c>
      <c r="C939" s="8" t="s">
        <v>138</v>
      </c>
      <c r="D939" s="8" t="s">
        <v>138</v>
      </c>
      <c r="E939" s="8" t="s">
        <v>138</v>
      </c>
      <c r="F939" s="8" t="s">
        <v>138</v>
      </c>
      <c r="G939" s="8" t="s">
        <v>138</v>
      </c>
      <c r="H939" s="8" t="s">
        <v>138</v>
      </c>
      <c r="I939" s="8" t="s">
        <v>138</v>
      </c>
      <c r="J939" s="8" t="s">
        <v>138</v>
      </c>
      <c r="K939" s="8" t="s">
        <v>138</v>
      </c>
    </row>
    <row r="940" spans="1:11">
      <c r="A940" s="8" t="s">
        <v>138</v>
      </c>
      <c r="B940" s="8" t="s">
        <v>138</v>
      </c>
      <c r="C940" s="8" t="s">
        <v>138</v>
      </c>
      <c r="D940" s="8" t="s">
        <v>138</v>
      </c>
      <c r="E940" s="8" t="s">
        <v>138</v>
      </c>
      <c r="F940" s="8" t="s">
        <v>138</v>
      </c>
      <c r="G940" s="8" t="s">
        <v>138</v>
      </c>
      <c r="H940" s="8" t="s">
        <v>138</v>
      </c>
      <c r="I940" s="8" t="s">
        <v>138</v>
      </c>
      <c r="J940" s="8" t="s">
        <v>138</v>
      </c>
      <c r="K940" s="8" t="s">
        <v>138</v>
      </c>
    </row>
    <row r="941" spans="1:11">
      <c r="A941" s="8" t="s">
        <v>138</v>
      </c>
      <c r="B941" s="8" t="s">
        <v>138</v>
      </c>
      <c r="C941" s="8" t="s">
        <v>138</v>
      </c>
      <c r="D941" s="8" t="s">
        <v>138</v>
      </c>
      <c r="E941" s="8" t="s">
        <v>138</v>
      </c>
      <c r="F941" s="8" t="s">
        <v>138</v>
      </c>
      <c r="G941" s="8" t="s">
        <v>138</v>
      </c>
      <c r="H941" s="8" t="s">
        <v>138</v>
      </c>
      <c r="I941" s="8" t="s">
        <v>138</v>
      </c>
      <c r="J941" s="8" t="s">
        <v>138</v>
      </c>
      <c r="K941" s="8" t="s">
        <v>138</v>
      </c>
    </row>
    <row r="942" spans="1:11">
      <c r="A942" s="8" t="s">
        <v>138</v>
      </c>
      <c r="B942" s="8" t="s">
        <v>138</v>
      </c>
      <c r="C942" s="8" t="s">
        <v>138</v>
      </c>
      <c r="D942" s="8" t="s">
        <v>138</v>
      </c>
      <c r="E942" s="8" t="s">
        <v>138</v>
      </c>
      <c r="F942" s="8" t="s">
        <v>138</v>
      </c>
      <c r="G942" s="8" t="s">
        <v>138</v>
      </c>
      <c r="H942" s="8" t="s">
        <v>138</v>
      </c>
      <c r="I942" s="8" t="s">
        <v>138</v>
      </c>
      <c r="J942" s="8" t="s">
        <v>138</v>
      </c>
      <c r="K942" s="8" t="s">
        <v>138</v>
      </c>
    </row>
    <row r="943" spans="1:11">
      <c r="A943" s="8" t="s">
        <v>138</v>
      </c>
      <c r="B943" s="8" t="s">
        <v>138</v>
      </c>
      <c r="C943" s="8" t="s">
        <v>138</v>
      </c>
      <c r="D943" s="8" t="s">
        <v>138</v>
      </c>
      <c r="E943" s="8" t="s">
        <v>138</v>
      </c>
      <c r="F943" s="8" t="s">
        <v>138</v>
      </c>
      <c r="G943" s="8" t="s">
        <v>138</v>
      </c>
      <c r="H943" s="8" t="s">
        <v>138</v>
      </c>
      <c r="I943" s="8" t="s">
        <v>138</v>
      </c>
      <c r="J943" s="8" t="s">
        <v>138</v>
      </c>
      <c r="K943" s="8" t="s">
        <v>138</v>
      </c>
    </row>
    <row r="944" spans="1:11">
      <c r="A944" s="8" t="s">
        <v>138</v>
      </c>
      <c r="B944" s="8" t="s">
        <v>138</v>
      </c>
      <c r="C944" s="8" t="s">
        <v>138</v>
      </c>
      <c r="D944" s="8" t="s">
        <v>138</v>
      </c>
      <c r="E944" s="8" t="s">
        <v>138</v>
      </c>
      <c r="F944" s="8" t="s">
        <v>138</v>
      </c>
      <c r="G944" s="8" t="s">
        <v>138</v>
      </c>
      <c r="H944" s="8" t="s">
        <v>138</v>
      </c>
      <c r="I944" s="8" t="s">
        <v>138</v>
      </c>
      <c r="J944" s="8" t="s">
        <v>138</v>
      </c>
      <c r="K944" s="8" t="s">
        <v>138</v>
      </c>
    </row>
    <row r="945" spans="1:11">
      <c r="A945" s="8" t="s">
        <v>138</v>
      </c>
      <c r="B945" s="8" t="s">
        <v>138</v>
      </c>
      <c r="C945" s="8" t="s">
        <v>138</v>
      </c>
      <c r="D945" s="8" t="s">
        <v>138</v>
      </c>
      <c r="E945" s="8" t="s">
        <v>138</v>
      </c>
      <c r="F945" s="8" t="s">
        <v>138</v>
      </c>
      <c r="G945" s="8" t="s">
        <v>138</v>
      </c>
      <c r="H945" s="8" t="s">
        <v>138</v>
      </c>
      <c r="I945" s="8" t="s">
        <v>138</v>
      </c>
      <c r="J945" s="8" t="s">
        <v>138</v>
      </c>
      <c r="K945" s="8" t="s">
        <v>138</v>
      </c>
    </row>
    <row r="946" spans="1:11">
      <c r="A946" s="8" t="s">
        <v>138</v>
      </c>
      <c r="B946" s="8" t="s">
        <v>138</v>
      </c>
      <c r="C946" s="8" t="s">
        <v>138</v>
      </c>
      <c r="D946" s="8" t="s">
        <v>138</v>
      </c>
      <c r="E946" s="8" t="s">
        <v>138</v>
      </c>
      <c r="F946" s="8" t="s">
        <v>138</v>
      </c>
      <c r="G946" s="8" t="s">
        <v>138</v>
      </c>
      <c r="H946" s="8" t="s">
        <v>138</v>
      </c>
      <c r="I946" s="8" t="s">
        <v>138</v>
      </c>
      <c r="J946" s="8" t="s">
        <v>138</v>
      </c>
      <c r="K946" s="8" t="s">
        <v>138</v>
      </c>
    </row>
    <row r="947" spans="1:11">
      <c r="A947" s="8" t="s">
        <v>138</v>
      </c>
      <c r="B947" s="8" t="s">
        <v>138</v>
      </c>
      <c r="C947" s="8" t="s">
        <v>138</v>
      </c>
      <c r="D947" s="8" t="s">
        <v>138</v>
      </c>
      <c r="E947" s="8" t="s">
        <v>138</v>
      </c>
      <c r="F947" s="8" t="s">
        <v>138</v>
      </c>
      <c r="G947" s="8" t="s">
        <v>138</v>
      </c>
      <c r="H947" s="8" t="s">
        <v>138</v>
      </c>
      <c r="I947" s="8" t="s">
        <v>138</v>
      </c>
      <c r="J947" s="8" t="s">
        <v>138</v>
      </c>
      <c r="K947" s="8" t="s">
        <v>138</v>
      </c>
    </row>
    <row r="948" spans="1:11">
      <c r="A948" s="8" t="s">
        <v>138</v>
      </c>
      <c r="B948" s="8" t="s">
        <v>138</v>
      </c>
      <c r="C948" s="8" t="s">
        <v>138</v>
      </c>
      <c r="D948" s="8" t="s">
        <v>138</v>
      </c>
      <c r="E948" s="8" t="s">
        <v>138</v>
      </c>
      <c r="F948" s="8" t="s">
        <v>138</v>
      </c>
      <c r="G948" s="8" t="s">
        <v>138</v>
      </c>
      <c r="H948" s="8" t="s">
        <v>138</v>
      </c>
      <c r="I948" s="8" t="s">
        <v>138</v>
      </c>
      <c r="J948" s="8" t="s">
        <v>138</v>
      </c>
      <c r="K948" s="8" t="s">
        <v>138</v>
      </c>
    </row>
    <row r="949" spans="1:11">
      <c r="A949" s="8" t="s">
        <v>138</v>
      </c>
      <c r="B949" s="8" t="s">
        <v>138</v>
      </c>
      <c r="C949" s="8" t="s">
        <v>138</v>
      </c>
      <c r="D949" s="8" t="s">
        <v>138</v>
      </c>
      <c r="E949" s="8" t="s">
        <v>138</v>
      </c>
      <c r="F949" s="8" t="s">
        <v>138</v>
      </c>
      <c r="G949" s="8" t="s">
        <v>138</v>
      </c>
      <c r="H949" s="8" t="s">
        <v>138</v>
      </c>
      <c r="I949" s="8" t="s">
        <v>138</v>
      </c>
      <c r="J949" s="8" t="s">
        <v>138</v>
      </c>
      <c r="K949" s="8" t="s">
        <v>138</v>
      </c>
    </row>
    <row r="950" spans="1:11">
      <c r="A950" s="8" t="s">
        <v>138</v>
      </c>
      <c r="B950" s="8" t="s">
        <v>138</v>
      </c>
      <c r="C950" s="8" t="s">
        <v>138</v>
      </c>
      <c r="D950" s="8" t="s">
        <v>138</v>
      </c>
      <c r="E950" s="8" t="s">
        <v>138</v>
      </c>
      <c r="F950" s="8" t="s">
        <v>138</v>
      </c>
      <c r="G950" s="8" t="s">
        <v>138</v>
      </c>
      <c r="H950" s="8" t="s">
        <v>138</v>
      </c>
      <c r="I950" s="8" t="s">
        <v>138</v>
      </c>
      <c r="J950" s="8" t="s">
        <v>138</v>
      </c>
      <c r="K950" s="8" t="s">
        <v>138</v>
      </c>
    </row>
    <row r="951" spans="1:11">
      <c r="A951" s="8" t="s">
        <v>138</v>
      </c>
      <c r="B951" s="8" t="s">
        <v>138</v>
      </c>
      <c r="C951" s="8" t="s">
        <v>138</v>
      </c>
      <c r="D951" s="8" t="s">
        <v>138</v>
      </c>
      <c r="E951" s="8" t="s">
        <v>138</v>
      </c>
      <c r="F951" s="8" t="s">
        <v>138</v>
      </c>
      <c r="G951" s="8" t="s">
        <v>138</v>
      </c>
      <c r="H951" s="8" t="s">
        <v>138</v>
      </c>
      <c r="I951" s="8" t="s">
        <v>138</v>
      </c>
      <c r="J951" s="8" t="s">
        <v>138</v>
      </c>
      <c r="K951" s="8" t="s">
        <v>138</v>
      </c>
    </row>
    <row r="952" spans="1:11">
      <c r="A952" s="8" t="s">
        <v>138</v>
      </c>
      <c r="B952" s="8" t="s">
        <v>138</v>
      </c>
      <c r="C952" s="8" t="s">
        <v>138</v>
      </c>
      <c r="D952" s="8" t="s">
        <v>138</v>
      </c>
      <c r="E952" s="8" t="s">
        <v>138</v>
      </c>
      <c r="F952" s="8" t="s">
        <v>138</v>
      </c>
      <c r="G952" s="8" t="s">
        <v>138</v>
      </c>
      <c r="H952" s="8" t="s">
        <v>138</v>
      </c>
      <c r="I952" s="8" t="s">
        <v>138</v>
      </c>
      <c r="J952" s="8" t="s">
        <v>138</v>
      </c>
      <c r="K952" s="8" t="s">
        <v>138</v>
      </c>
    </row>
    <row r="953" spans="1:11">
      <c r="A953" s="8" t="s">
        <v>138</v>
      </c>
      <c r="B953" s="8" t="s">
        <v>138</v>
      </c>
      <c r="C953" s="8" t="s">
        <v>138</v>
      </c>
      <c r="D953" s="8" t="s">
        <v>138</v>
      </c>
      <c r="E953" s="8" t="s">
        <v>138</v>
      </c>
      <c r="F953" s="8" t="s">
        <v>138</v>
      </c>
      <c r="G953" s="8" t="s">
        <v>138</v>
      </c>
      <c r="H953" s="8" t="s">
        <v>138</v>
      </c>
      <c r="I953" s="8" t="s">
        <v>138</v>
      </c>
      <c r="J953" s="8" t="s">
        <v>138</v>
      </c>
      <c r="K953" s="8" t="s">
        <v>138</v>
      </c>
    </row>
    <row r="954" spans="1:11">
      <c r="A954" s="8" t="s">
        <v>138</v>
      </c>
      <c r="B954" s="8" t="s">
        <v>138</v>
      </c>
      <c r="C954" s="8" t="s">
        <v>138</v>
      </c>
      <c r="D954" s="8" t="s">
        <v>138</v>
      </c>
      <c r="E954" s="8" t="s">
        <v>138</v>
      </c>
      <c r="F954" s="8" t="s">
        <v>138</v>
      </c>
      <c r="G954" s="8" t="s">
        <v>138</v>
      </c>
      <c r="H954" s="8" t="s">
        <v>138</v>
      </c>
      <c r="I954" s="8" t="s">
        <v>138</v>
      </c>
      <c r="J954" s="8" t="s">
        <v>138</v>
      </c>
      <c r="K954" s="8" t="s">
        <v>138</v>
      </c>
    </row>
    <row r="955" spans="1:11">
      <c r="A955" s="8" t="s">
        <v>138</v>
      </c>
      <c r="B955" s="8" t="s">
        <v>138</v>
      </c>
      <c r="C955" s="8" t="s">
        <v>138</v>
      </c>
      <c r="D955" s="8" t="s">
        <v>138</v>
      </c>
      <c r="E955" s="8" t="s">
        <v>138</v>
      </c>
      <c r="F955" s="8" t="s">
        <v>138</v>
      </c>
      <c r="G955" s="8" t="s">
        <v>138</v>
      </c>
      <c r="H955" s="8" t="s">
        <v>138</v>
      </c>
      <c r="I955" s="8" t="s">
        <v>138</v>
      </c>
      <c r="J955" s="8" t="s">
        <v>138</v>
      </c>
      <c r="K955" s="8" t="s">
        <v>138</v>
      </c>
    </row>
    <row r="956" spans="1:11">
      <c r="A956" s="8" t="s">
        <v>138</v>
      </c>
      <c r="B956" s="8" t="s">
        <v>138</v>
      </c>
      <c r="C956" s="8" t="s">
        <v>138</v>
      </c>
      <c r="D956" s="8" t="s">
        <v>138</v>
      </c>
      <c r="E956" s="8" t="s">
        <v>138</v>
      </c>
      <c r="F956" s="8" t="s">
        <v>138</v>
      </c>
      <c r="G956" s="8" t="s">
        <v>138</v>
      </c>
      <c r="H956" s="8" t="s">
        <v>138</v>
      </c>
      <c r="I956" s="8" t="s">
        <v>138</v>
      </c>
      <c r="J956" s="8" t="s">
        <v>138</v>
      </c>
      <c r="K956" s="8" t="s">
        <v>138</v>
      </c>
    </row>
    <row r="957" spans="1:11">
      <c r="A957" s="8" t="s">
        <v>138</v>
      </c>
      <c r="B957" s="8" t="s">
        <v>138</v>
      </c>
      <c r="C957" s="8" t="s">
        <v>138</v>
      </c>
      <c r="D957" s="8" t="s">
        <v>138</v>
      </c>
      <c r="E957" s="8" t="s">
        <v>138</v>
      </c>
      <c r="F957" s="8" t="s">
        <v>138</v>
      </c>
      <c r="G957" s="8" t="s">
        <v>138</v>
      </c>
      <c r="H957" s="8" t="s">
        <v>138</v>
      </c>
      <c r="I957" s="8" t="s">
        <v>138</v>
      </c>
      <c r="J957" s="8" t="s">
        <v>138</v>
      </c>
      <c r="K957" s="8" t="s">
        <v>138</v>
      </c>
    </row>
    <row r="958" spans="1:11">
      <c r="A958" s="8" t="s">
        <v>138</v>
      </c>
      <c r="B958" s="8" t="s">
        <v>138</v>
      </c>
      <c r="C958" s="8" t="s">
        <v>138</v>
      </c>
      <c r="D958" s="8" t="s">
        <v>138</v>
      </c>
      <c r="E958" s="8" t="s">
        <v>138</v>
      </c>
      <c r="F958" s="8" t="s">
        <v>138</v>
      </c>
      <c r="G958" s="8" t="s">
        <v>138</v>
      </c>
      <c r="H958" s="8" t="s">
        <v>138</v>
      </c>
      <c r="I958" s="8" t="s">
        <v>138</v>
      </c>
      <c r="J958" s="8" t="s">
        <v>138</v>
      </c>
      <c r="K958" s="8" t="s">
        <v>138</v>
      </c>
    </row>
    <row r="959" spans="1:11">
      <c r="A959" s="8" t="s">
        <v>138</v>
      </c>
      <c r="B959" s="8" t="s">
        <v>138</v>
      </c>
      <c r="C959" s="8" t="s">
        <v>138</v>
      </c>
      <c r="D959" s="8" t="s">
        <v>138</v>
      </c>
      <c r="E959" s="8" t="s">
        <v>138</v>
      </c>
      <c r="F959" s="8" t="s">
        <v>138</v>
      </c>
      <c r="G959" s="8" t="s">
        <v>138</v>
      </c>
      <c r="H959" s="8" t="s">
        <v>138</v>
      </c>
      <c r="I959" s="8" t="s">
        <v>138</v>
      </c>
      <c r="J959" s="8" t="s">
        <v>138</v>
      </c>
      <c r="K959" s="8" t="s">
        <v>138</v>
      </c>
    </row>
    <row r="960" spans="1:11">
      <c r="A960" s="8" t="s">
        <v>138</v>
      </c>
      <c r="B960" s="8" t="s">
        <v>138</v>
      </c>
      <c r="C960" s="8" t="s">
        <v>138</v>
      </c>
      <c r="D960" s="8" t="s">
        <v>138</v>
      </c>
      <c r="E960" s="8" t="s">
        <v>138</v>
      </c>
      <c r="F960" s="8" t="s">
        <v>138</v>
      </c>
      <c r="G960" s="8" t="s">
        <v>138</v>
      </c>
      <c r="H960" s="8" t="s">
        <v>138</v>
      </c>
      <c r="I960" s="8" t="s">
        <v>138</v>
      </c>
      <c r="J960" s="8" t="s">
        <v>138</v>
      </c>
      <c r="K960" s="8" t="s">
        <v>138</v>
      </c>
    </row>
    <row r="961" spans="1:11">
      <c r="A961" s="8" t="s">
        <v>138</v>
      </c>
      <c r="B961" s="8" t="s">
        <v>138</v>
      </c>
      <c r="C961" s="8" t="s">
        <v>138</v>
      </c>
      <c r="D961" s="8" t="s">
        <v>138</v>
      </c>
      <c r="E961" s="8" t="s">
        <v>138</v>
      </c>
      <c r="F961" s="8" t="s">
        <v>138</v>
      </c>
      <c r="G961" s="8" t="s">
        <v>138</v>
      </c>
      <c r="H961" s="8" t="s">
        <v>138</v>
      </c>
      <c r="I961" s="8" t="s">
        <v>138</v>
      </c>
      <c r="J961" s="8" t="s">
        <v>138</v>
      </c>
      <c r="K961" s="8" t="s">
        <v>138</v>
      </c>
    </row>
    <row r="962" spans="1:11">
      <c r="A962" s="8" t="s">
        <v>138</v>
      </c>
      <c r="B962" s="8" t="s">
        <v>138</v>
      </c>
      <c r="C962" s="8" t="s">
        <v>138</v>
      </c>
      <c r="D962" s="8" t="s">
        <v>138</v>
      </c>
      <c r="E962" s="8" t="s">
        <v>138</v>
      </c>
      <c r="F962" s="8" t="s">
        <v>138</v>
      </c>
      <c r="G962" s="8" t="s">
        <v>138</v>
      </c>
      <c r="H962" s="8" t="s">
        <v>138</v>
      </c>
      <c r="I962" s="8" t="s">
        <v>138</v>
      </c>
      <c r="J962" s="8" t="s">
        <v>138</v>
      </c>
      <c r="K962" s="8" t="s">
        <v>138</v>
      </c>
    </row>
    <row r="963" spans="1:11">
      <c r="A963" s="8" t="s">
        <v>138</v>
      </c>
      <c r="B963" s="8" t="s">
        <v>138</v>
      </c>
      <c r="C963" s="8" t="s">
        <v>138</v>
      </c>
      <c r="D963" s="8" t="s">
        <v>138</v>
      </c>
      <c r="E963" s="8" t="s">
        <v>138</v>
      </c>
      <c r="F963" s="8" t="s">
        <v>138</v>
      </c>
      <c r="G963" s="8" t="s">
        <v>138</v>
      </c>
      <c r="H963" s="8" t="s">
        <v>138</v>
      </c>
      <c r="I963" s="8" t="s">
        <v>138</v>
      </c>
      <c r="J963" s="8" t="s">
        <v>138</v>
      </c>
      <c r="K963" s="8" t="s">
        <v>138</v>
      </c>
    </row>
    <row r="964" spans="1:11">
      <c r="A964" s="8" t="s">
        <v>138</v>
      </c>
      <c r="B964" s="8" t="s">
        <v>138</v>
      </c>
      <c r="C964" s="8" t="s">
        <v>138</v>
      </c>
      <c r="D964" s="8" t="s">
        <v>138</v>
      </c>
      <c r="E964" s="8" t="s">
        <v>138</v>
      </c>
      <c r="F964" s="8" t="s">
        <v>138</v>
      </c>
      <c r="G964" s="8" t="s">
        <v>138</v>
      </c>
      <c r="H964" s="8" t="s">
        <v>138</v>
      </c>
      <c r="I964" s="8" t="s">
        <v>138</v>
      </c>
      <c r="J964" s="8" t="s">
        <v>138</v>
      </c>
      <c r="K964" s="8" t="s">
        <v>138</v>
      </c>
    </row>
    <row r="965" spans="1:11">
      <c r="A965" s="8" t="s">
        <v>138</v>
      </c>
      <c r="B965" s="8" t="s">
        <v>138</v>
      </c>
      <c r="C965" s="8" t="s">
        <v>138</v>
      </c>
      <c r="D965" s="8" t="s">
        <v>138</v>
      </c>
      <c r="E965" s="8" t="s">
        <v>138</v>
      </c>
      <c r="F965" s="8" t="s">
        <v>138</v>
      </c>
      <c r="G965" s="8" t="s">
        <v>138</v>
      </c>
      <c r="H965" s="8" t="s">
        <v>138</v>
      </c>
      <c r="I965" s="8" t="s">
        <v>138</v>
      </c>
      <c r="J965" s="8" t="s">
        <v>138</v>
      </c>
      <c r="K965" s="8" t="s">
        <v>138</v>
      </c>
    </row>
    <row r="966" spans="1:11">
      <c r="A966" s="8" t="s">
        <v>138</v>
      </c>
      <c r="B966" s="8" t="s">
        <v>138</v>
      </c>
      <c r="C966" s="8" t="s">
        <v>138</v>
      </c>
      <c r="D966" s="8" t="s">
        <v>138</v>
      </c>
      <c r="E966" s="8" t="s">
        <v>138</v>
      </c>
      <c r="F966" s="8" t="s">
        <v>138</v>
      </c>
      <c r="G966" s="8" t="s">
        <v>138</v>
      </c>
      <c r="H966" s="8" t="s">
        <v>138</v>
      </c>
      <c r="I966" s="8" t="s">
        <v>138</v>
      </c>
      <c r="J966" s="8" t="s">
        <v>138</v>
      </c>
      <c r="K966" s="8" t="s">
        <v>138</v>
      </c>
    </row>
    <row r="967" spans="1:11">
      <c r="A967" s="8" t="s">
        <v>138</v>
      </c>
      <c r="B967" s="8" t="s">
        <v>138</v>
      </c>
      <c r="C967" s="8" t="s">
        <v>138</v>
      </c>
      <c r="D967" s="8" t="s">
        <v>138</v>
      </c>
      <c r="E967" s="8" t="s">
        <v>138</v>
      </c>
      <c r="F967" s="8" t="s">
        <v>138</v>
      </c>
      <c r="G967" s="8" t="s">
        <v>138</v>
      </c>
      <c r="H967" s="8" t="s">
        <v>138</v>
      </c>
      <c r="I967" s="8" t="s">
        <v>138</v>
      </c>
      <c r="J967" s="8" t="s">
        <v>138</v>
      </c>
      <c r="K967" s="8" t="s">
        <v>138</v>
      </c>
    </row>
    <row r="968" spans="1:11">
      <c r="A968" s="8" t="s">
        <v>138</v>
      </c>
      <c r="B968" s="8" t="s">
        <v>138</v>
      </c>
      <c r="C968" s="8" t="s">
        <v>138</v>
      </c>
      <c r="D968" s="8" t="s">
        <v>138</v>
      </c>
      <c r="E968" s="8" t="s">
        <v>138</v>
      </c>
      <c r="F968" s="8" t="s">
        <v>138</v>
      </c>
      <c r="G968" s="8" t="s">
        <v>138</v>
      </c>
      <c r="H968" s="8" t="s">
        <v>138</v>
      </c>
      <c r="I968" s="8" t="s">
        <v>138</v>
      </c>
      <c r="J968" s="8" t="s">
        <v>138</v>
      </c>
      <c r="K968" s="8" t="s">
        <v>138</v>
      </c>
    </row>
    <row r="969" spans="1:11">
      <c r="A969" s="8" t="s">
        <v>138</v>
      </c>
      <c r="B969" s="8" t="s">
        <v>138</v>
      </c>
      <c r="C969" s="8" t="s">
        <v>138</v>
      </c>
      <c r="D969" s="8" t="s">
        <v>138</v>
      </c>
      <c r="E969" s="8" t="s">
        <v>138</v>
      </c>
      <c r="F969" s="8" t="s">
        <v>138</v>
      </c>
      <c r="G969" s="8" t="s">
        <v>138</v>
      </c>
      <c r="H969" s="8" t="s">
        <v>138</v>
      </c>
      <c r="I969" s="8" t="s">
        <v>138</v>
      </c>
      <c r="J969" s="8" t="s">
        <v>138</v>
      </c>
      <c r="K969" s="8" t="s">
        <v>138</v>
      </c>
    </row>
    <row r="970" spans="1:11">
      <c r="A970" s="8" t="s">
        <v>138</v>
      </c>
      <c r="B970" s="8" t="s">
        <v>138</v>
      </c>
      <c r="C970" s="8" t="s">
        <v>138</v>
      </c>
      <c r="D970" s="8" t="s">
        <v>138</v>
      </c>
      <c r="E970" s="8" t="s">
        <v>138</v>
      </c>
      <c r="F970" s="8" t="s">
        <v>138</v>
      </c>
      <c r="G970" s="8" t="s">
        <v>138</v>
      </c>
      <c r="H970" s="8" t="s">
        <v>138</v>
      </c>
      <c r="I970" s="8" t="s">
        <v>138</v>
      </c>
      <c r="J970" s="8" t="s">
        <v>138</v>
      </c>
      <c r="K970" s="8" t="s">
        <v>138</v>
      </c>
    </row>
    <row r="971" spans="1:11">
      <c r="A971" s="8" t="s">
        <v>138</v>
      </c>
      <c r="B971" s="8" t="s">
        <v>138</v>
      </c>
      <c r="C971" s="8" t="s">
        <v>138</v>
      </c>
      <c r="D971" s="8" t="s">
        <v>138</v>
      </c>
      <c r="E971" s="8" t="s">
        <v>138</v>
      </c>
      <c r="F971" s="8" t="s">
        <v>138</v>
      </c>
      <c r="G971" s="8" t="s">
        <v>138</v>
      </c>
      <c r="H971" s="8" t="s">
        <v>138</v>
      </c>
      <c r="I971" s="8" t="s">
        <v>138</v>
      </c>
      <c r="J971" s="8" t="s">
        <v>138</v>
      </c>
      <c r="K971" s="8" t="s">
        <v>138</v>
      </c>
    </row>
    <row r="972" spans="1:11">
      <c r="A972" s="8" t="s">
        <v>138</v>
      </c>
      <c r="B972" s="8" t="s">
        <v>138</v>
      </c>
      <c r="C972" s="8" t="s">
        <v>138</v>
      </c>
      <c r="D972" s="8" t="s">
        <v>138</v>
      </c>
      <c r="E972" s="8" t="s">
        <v>138</v>
      </c>
      <c r="F972" s="8" t="s">
        <v>138</v>
      </c>
      <c r="G972" s="8" t="s">
        <v>138</v>
      </c>
      <c r="H972" s="8" t="s">
        <v>138</v>
      </c>
      <c r="I972" s="8" t="s">
        <v>138</v>
      </c>
      <c r="J972" s="8" t="s">
        <v>138</v>
      </c>
      <c r="K972" s="8" t="s">
        <v>138</v>
      </c>
    </row>
    <row r="973" spans="1:11">
      <c r="A973" s="8" t="s">
        <v>138</v>
      </c>
      <c r="B973" s="8" t="s">
        <v>138</v>
      </c>
      <c r="C973" s="8" t="s">
        <v>138</v>
      </c>
      <c r="D973" s="8" t="s">
        <v>138</v>
      </c>
      <c r="E973" s="8" t="s">
        <v>138</v>
      </c>
      <c r="F973" s="8" t="s">
        <v>138</v>
      </c>
      <c r="G973" s="8" t="s">
        <v>138</v>
      </c>
      <c r="H973" s="8" t="s">
        <v>138</v>
      </c>
      <c r="I973" s="8" t="s">
        <v>138</v>
      </c>
      <c r="J973" s="8" t="s">
        <v>138</v>
      </c>
      <c r="K973" s="8" t="s">
        <v>138</v>
      </c>
    </row>
    <row r="974" spans="1:11">
      <c r="A974" s="8" t="s">
        <v>138</v>
      </c>
      <c r="B974" s="8" t="s">
        <v>138</v>
      </c>
      <c r="C974" s="8" t="s">
        <v>138</v>
      </c>
      <c r="D974" s="8" t="s">
        <v>138</v>
      </c>
      <c r="E974" s="8" t="s">
        <v>138</v>
      </c>
      <c r="F974" s="8" t="s">
        <v>138</v>
      </c>
      <c r="G974" s="8" t="s">
        <v>138</v>
      </c>
      <c r="H974" s="8" t="s">
        <v>138</v>
      </c>
      <c r="I974" s="8" t="s">
        <v>138</v>
      </c>
      <c r="J974" s="8" t="s">
        <v>138</v>
      </c>
      <c r="K974" s="8" t="s">
        <v>138</v>
      </c>
    </row>
    <row r="975" spans="1:11">
      <c r="A975" s="8" t="s">
        <v>138</v>
      </c>
      <c r="B975" s="8" t="s">
        <v>138</v>
      </c>
      <c r="C975" s="8" t="s">
        <v>138</v>
      </c>
      <c r="D975" s="8" t="s">
        <v>138</v>
      </c>
      <c r="E975" s="8" t="s">
        <v>138</v>
      </c>
      <c r="F975" s="8" t="s">
        <v>138</v>
      </c>
      <c r="G975" s="8" t="s">
        <v>138</v>
      </c>
      <c r="H975" s="8" t="s">
        <v>138</v>
      </c>
      <c r="I975" s="8" t="s">
        <v>138</v>
      </c>
      <c r="J975" s="8" t="s">
        <v>138</v>
      </c>
      <c r="K975" s="8" t="s">
        <v>138</v>
      </c>
    </row>
    <row r="976" spans="1:11">
      <c r="A976" s="8" t="s">
        <v>138</v>
      </c>
      <c r="B976" s="8" t="s">
        <v>138</v>
      </c>
      <c r="C976" s="8" t="s">
        <v>138</v>
      </c>
      <c r="D976" s="8" t="s">
        <v>138</v>
      </c>
      <c r="E976" s="8" t="s">
        <v>138</v>
      </c>
      <c r="F976" s="8" t="s">
        <v>138</v>
      </c>
      <c r="G976" s="8" t="s">
        <v>138</v>
      </c>
      <c r="H976" s="8" t="s">
        <v>138</v>
      </c>
      <c r="I976" s="8" t="s">
        <v>138</v>
      </c>
      <c r="J976" s="8" t="s">
        <v>138</v>
      </c>
      <c r="K976" s="8" t="s">
        <v>138</v>
      </c>
    </row>
    <row r="977" spans="1:11">
      <c r="A977" s="8" t="s">
        <v>138</v>
      </c>
      <c r="B977" s="8" t="s">
        <v>138</v>
      </c>
      <c r="C977" s="8" t="s">
        <v>138</v>
      </c>
      <c r="D977" s="8" t="s">
        <v>138</v>
      </c>
      <c r="E977" s="8" t="s">
        <v>138</v>
      </c>
      <c r="F977" s="8" t="s">
        <v>138</v>
      </c>
      <c r="G977" s="8" t="s">
        <v>138</v>
      </c>
      <c r="H977" s="8" t="s">
        <v>138</v>
      </c>
      <c r="I977" s="8" t="s">
        <v>138</v>
      </c>
      <c r="J977" s="8" t="s">
        <v>138</v>
      </c>
      <c r="K977" s="8" t="s">
        <v>138</v>
      </c>
    </row>
    <row r="978" spans="1:11">
      <c r="A978" s="8" t="s">
        <v>138</v>
      </c>
      <c r="B978" s="8" t="s">
        <v>138</v>
      </c>
      <c r="C978" s="8" t="s">
        <v>138</v>
      </c>
      <c r="D978" s="8" t="s">
        <v>138</v>
      </c>
      <c r="E978" s="8" t="s">
        <v>138</v>
      </c>
      <c r="F978" s="8" t="s">
        <v>138</v>
      </c>
      <c r="G978" s="8" t="s">
        <v>138</v>
      </c>
      <c r="H978" s="8" t="s">
        <v>138</v>
      </c>
      <c r="I978" s="8" t="s">
        <v>138</v>
      </c>
      <c r="J978" s="8" t="s">
        <v>138</v>
      </c>
      <c r="K978" s="8" t="s">
        <v>138</v>
      </c>
    </row>
    <row r="979" spans="1:11">
      <c r="A979" s="8" t="s">
        <v>138</v>
      </c>
      <c r="B979" s="8" t="s">
        <v>138</v>
      </c>
      <c r="C979" s="8" t="s">
        <v>138</v>
      </c>
      <c r="D979" s="8" t="s">
        <v>138</v>
      </c>
      <c r="E979" s="8" t="s">
        <v>138</v>
      </c>
      <c r="F979" s="8" t="s">
        <v>138</v>
      </c>
      <c r="G979" s="8" t="s">
        <v>138</v>
      </c>
      <c r="H979" s="8" t="s">
        <v>138</v>
      </c>
      <c r="I979" s="8" t="s">
        <v>138</v>
      </c>
      <c r="J979" s="8" t="s">
        <v>138</v>
      </c>
      <c r="K979" s="8" t="s">
        <v>138</v>
      </c>
    </row>
    <row r="980" spans="1:11">
      <c r="A980" s="8" t="s">
        <v>138</v>
      </c>
      <c r="B980" s="8" t="s">
        <v>138</v>
      </c>
      <c r="C980" s="8" t="s">
        <v>138</v>
      </c>
      <c r="D980" s="8" t="s">
        <v>138</v>
      </c>
      <c r="E980" s="8" t="s">
        <v>138</v>
      </c>
      <c r="F980" s="8" t="s">
        <v>138</v>
      </c>
      <c r="G980" s="8" t="s">
        <v>138</v>
      </c>
      <c r="H980" s="8" t="s">
        <v>138</v>
      </c>
      <c r="I980" s="8" t="s">
        <v>138</v>
      </c>
      <c r="J980" s="8" t="s">
        <v>138</v>
      </c>
      <c r="K980" s="8" t="s">
        <v>138</v>
      </c>
    </row>
    <row r="981" spans="1:11">
      <c r="A981" s="8" t="s">
        <v>138</v>
      </c>
      <c r="B981" s="8" t="s">
        <v>138</v>
      </c>
      <c r="C981" s="8" t="s">
        <v>138</v>
      </c>
      <c r="D981" s="8" t="s">
        <v>138</v>
      </c>
      <c r="E981" s="8" t="s">
        <v>138</v>
      </c>
      <c r="F981" s="8" t="s">
        <v>138</v>
      </c>
      <c r="G981" s="8" t="s">
        <v>138</v>
      </c>
      <c r="H981" s="8" t="s">
        <v>138</v>
      </c>
      <c r="I981" s="8" t="s">
        <v>138</v>
      </c>
      <c r="J981" s="8" t="s">
        <v>138</v>
      </c>
      <c r="K981" s="8" t="s">
        <v>138</v>
      </c>
    </row>
    <row r="982" spans="1:11">
      <c r="A982" s="8" t="s">
        <v>138</v>
      </c>
      <c r="B982" s="8" t="s">
        <v>138</v>
      </c>
      <c r="C982" s="8" t="s">
        <v>138</v>
      </c>
      <c r="D982" s="8" t="s">
        <v>138</v>
      </c>
      <c r="E982" s="8" t="s">
        <v>138</v>
      </c>
      <c r="F982" s="8" t="s">
        <v>138</v>
      </c>
      <c r="G982" s="8" t="s">
        <v>138</v>
      </c>
      <c r="H982" s="8" t="s">
        <v>138</v>
      </c>
      <c r="I982" s="8" t="s">
        <v>138</v>
      </c>
      <c r="J982" s="8" t="s">
        <v>138</v>
      </c>
      <c r="K982" s="8" t="s">
        <v>138</v>
      </c>
    </row>
    <row r="983" spans="1:11">
      <c r="A983" s="8" t="s">
        <v>138</v>
      </c>
      <c r="B983" s="8" t="s">
        <v>138</v>
      </c>
      <c r="C983" s="8" t="s">
        <v>138</v>
      </c>
      <c r="D983" s="8" t="s">
        <v>138</v>
      </c>
      <c r="E983" s="8" t="s">
        <v>138</v>
      </c>
      <c r="F983" s="8" t="s">
        <v>138</v>
      </c>
      <c r="G983" s="8" t="s">
        <v>138</v>
      </c>
      <c r="H983" s="8" t="s">
        <v>138</v>
      </c>
      <c r="I983" s="8" t="s">
        <v>138</v>
      </c>
      <c r="J983" s="8" t="s">
        <v>138</v>
      </c>
      <c r="K983" s="8" t="s">
        <v>138</v>
      </c>
    </row>
    <row r="984" spans="1:11">
      <c r="A984" s="8" t="s">
        <v>138</v>
      </c>
      <c r="B984" s="8" t="s">
        <v>138</v>
      </c>
      <c r="C984" s="8" t="s">
        <v>138</v>
      </c>
      <c r="D984" s="8" t="s">
        <v>138</v>
      </c>
      <c r="E984" s="8" t="s">
        <v>138</v>
      </c>
      <c r="F984" s="8" t="s">
        <v>138</v>
      </c>
      <c r="G984" s="8" t="s">
        <v>138</v>
      </c>
      <c r="H984" s="8" t="s">
        <v>138</v>
      </c>
      <c r="I984" s="8" t="s">
        <v>138</v>
      </c>
      <c r="J984" s="8" t="s">
        <v>138</v>
      </c>
      <c r="K984" s="8" t="s">
        <v>138</v>
      </c>
    </row>
    <row r="985" spans="1:11">
      <c r="A985" s="8" t="s">
        <v>138</v>
      </c>
      <c r="B985" s="8" t="s">
        <v>138</v>
      </c>
      <c r="C985" s="8" t="s">
        <v>138</v>
      </c>
      <c r="D985" s="8" t="s">
        <v>138</v>
      </c>
      <c r="E985" s="8" t="s">
        <v>138</v>
      </c>
      <c r="F985" s="8" t="s">
        <v>138</v>
      </c>
      <c r="G985" s="8" t="s">
        <v>138</v>
      </c>
      <c r="H985" s="8" t="s">
        <v>138</v>
      </c>
      <c r="I985" s="8" t="s">
        <v>138</v>
      </c>
      <c r="J985" s="8" t="s">
        <v>138</v>
      </c>
      <c r="K985" s="8" t="s">
        <v>138</v>
      </c>
    </row>
    <row r="986" spans="1:11">
      <c r="A986" s="8" t="s">
        <v>138</v>
      </c>
      <c r="B986" s="8" t="s">
        <v>138</v>
      </c>
      <c r="C986" s="8" t="s">
        <v>138</v>
      </c>
      <c r="D986" s="8" t="s">
        <v>138</v>
      </c>
      <c r="E986" s="8" t="s">
        <v>138</v>
      </c>
      <c r="F986" s="8" t="s">
        <v>138</v>
      </c>
      <c r="G986" s="8" t="s">
        <v>138</v>
      </c>
      <c r="H986" s="8" t="s">
        <v>138</v>
      </c>
      <c r="I986" s="8" t="s">
        <v>138</v>
      </c>
      <c r="J986" s="8" t="s">
        <v>138</v>
      </c>
      <c r="K986" s="8" t="s">
        <v>138</v>
      </c>
    </row>
    <row r="987" spans="1:11">
      <c r="A987" s="8" t="s">
        <v>138</v>
      </c>
      <c r="B987" s="8" t="s">
        <v>138</v>
      </c>
      <c r="C987" s="8" t="s">
        <v>138</v>
      </c>
      <c r="D987" s="8" t="s">
        <v>138</v>
      </c>
      <c r="E987" s="8" t="s">
        <v>138</v>
      </c>
      <c r="F987" s="8" t="s">
        <v>138</v>
      </c>
      <c r="G987" s="8" t="s">
        <v>138</v>
      </c>
      <c r="H987" s="8" t="s">
        <v>138</v>
      </c>
      <c r="I987" s="8" t="s">
        <v>138</v>
      </c>
      <c r="J987" s="8" t="s">
        <v>138</v>
      </c>
      <c r="K987" s="8" t="s">
        <v>138</v>
      </c>
    </row>
    <row r="988" spans="1:11">
      <c r="A988" s="8" t="s">
        <v>138</v>
      </c>
      <c r="B988" s="8" t="s">
        <v>138</v>
      </c>
      <c r="C988" s="8" t="s">
        <v>138</v>
      </c>
      <c r="D988" s="8" t="s">
        <v>138</v>
      </c>
      <c r="E988" s="8" t="s">
        <v>138</v>
      </c>
      <c r="F988" s="8" t="s">
        <v>138</v>
      </c>
      <c r="G988" s="8" t="s">
        <v>138</v>
      </c>
      <c r="H988" s="8" t="s">
        <v>138</v>
      </c>
      <c r="I988" s="8" t="s">
        <v>138</v>
      </c>
      <c r="J988" s="8" t="s">
        <v>138</v>
      </c>
      <c r="K988" s="8" t="s">
        <v>138</v>
      </c>
    </row>
    <row r="989" spans="1:11">
      <c r="A989" s="8" t="s">
        <v>138</v>
      </c>
      <c r="B989" s="8" t="s">
        <v>138</v>
      </c>
      <c r="C989" s="8" t="s">
        <v>138</v>
      </c>
      <c r="D989" s="8" t="s">
        <v>138</v>
      </c>
      <c r="E989" s="8" t="s">
        <v>138</v>
      </c>
      <c r="F989" s="8" t="s">
        <v>138</v>
      </c>
      <c r="G989" s="8" t="s">
        <v>138</v>
      </c>
      <c r="H989" s="8" t="s">
        <v>138</v>
      </c>
      <c r="I989" s="8" t="s">
        <v>138</v>
      </c>
      <c r="J989" s="8" t="s">
        <v>138</v>
      </c>
      <c r="K989" s="8" t="s">
        <v>138</v>
      </c>
    </row>
    <row r="990" spans="1:11">
      <c r="A990" s="8" t="s">
        <v>138</v>
      </c>
      <c r="B990" s="8" t="s">
        <v>138</v>
      </c>
      <c r="C990" s="8" t="s">
        <v>138</v>
      </c>
      <c r="D990" s="8" t="s">
        <v>138</v>
      </c>
      <c r="E990" s="8" t="s">
        <v>138</v>
      </c>
      <c r="F990" s="8" t="s">
        <v>138</v>
      </c>
      <c r="G990" s="8" t="s">
        <v>138</v>
      </c>
      <c r="H990" s="8" t="s">
        <v>138</v>
      </c>
      <c r="I990" s="8" t="s">
        <v>138</v>
      </c>
      <c r="J990" s="8" t="s">
        <v>138</v>
      </c>
      <c r="K990" s="8" t="s">
        <v>138</v>
      </c>
    </row>
    <row r="991" spans="1:11">
      <c r="A991" s="8" t="s">
        <v>138</v>
      </c>
      <c r="B991" s="8" t="s">
        <v>138</v>
      </c>
      <c r="C991" s="8" t="s">
        <v>138</v>
      </c>
      <c r="D991" s="8" t="s">
        <v>138</v>
      </c>
      <c r="E991" s="8" t="s">
        <v>138</v>
      </c>
      <c r="F991" s="8" t="s">
        <v>138</v>
      </c>
      <c r="G991" s="8" t="s">
        <v>138</v>
      </c>
      <c r="H991" s="8" t="s">
        <v>138</v>
      </c>
      <c r="I991" s="8" t="s">
        <v>138</v>
      </c>
      <c r="J991" s="8" t="s">
        <v>138</v>
      </c>
      <c r="K991" s="8" t="s">
        <v>138</v>
      </c>
    </row>
    <row r="992" spans="1:11">
      <c r="A992" s="8" t="s">
        <v>138</v>
      </c>
      <c r="B992" s="8" t="s">
        <v>138</v>
      </c>
      <c r="C992" s="8" t="s">
        <v>138</v>
      </c>
      <c r="D992" s="8" t="s">
        <v>138</v>
      </c>
      <c r="E992" s="8" t="s">
        <v>138</v>
      </c>
      <c r="F992" s="8" t="s">
        <v>138</v>
      </c>
      <c r="G992" s="8" t="s">
        <v>138</v>
      </c>
      <c r="H992" s="8" t="s">
        <v>138</v>
      </c>
      <c r="I992" s="8" t="s">
        <v>138</v>
      </c>
      <c r="J992" s="8" t="s">
        <v>138</v>
      </c>
      <c r="K992" s="8" t="s">
        <v>138</v>
      </c>
    </row>
    <row r="993" spans="1:11">
      <c r="A993" s="8" t="s">
        <v>138</v>
      </c>
      <c r="B993" s="8" t="s">
        <v>138</v>
      </c>
      <c r="C993" s="8" t="s">
        <v>138</v>
      </c>
      <c r="D993" s="8" t="s">
        <v>138</v>
      </c>
      <c r="E993" s="8" t="s">
        <v>138</v>
      </c>
      <c r="F993" s="8" t="s">
        <v>138</v>
      </c>
      <c r="G993" s="8" t="s">
        <v>138</v>
      </c>
      <c r="H993" s="8" t="s">
        <v>138</v>
      </c>
      <c r="I993" s="8" t="s">
        <v>138</v>
      </c>
      <c r="J993" s="8" t="s">
        <v>138</v>
      </c>
      <c r="K993" s="8" t="s">
        <v>138</v>
      </c>
    </row>
    <row r="994" spans="1:11">
      <c r="A994" s="8" t="s">
        <v>138</v>
      </c>
      <c r="B994" s="8" t="s">
        <v>138</v>
      </c>
      <c r="C994" s="8" t="s">
        <v>138</v>
      </c>
      <c r="D994" s="8" t="s">
        <v>138</v>
      </c>
      <c r="E994" s="8" t="s">
        <v>138</v>
      </c>
      <c r="F994" s="8" t="s">
        <v>138</v>
      </c>
      <c r="G994" s="8" t="s">
        <v>138</v>
      </c>
      <c r="H994" s="8" t="s">
        <v>138</v>
      </c>
      <c r="I994" s="8" t="s">
        <v>138</v>
      </c>
      <c r="J994" s="8" t="s">
        <v>138</v>
      </c>
      <c r="K994" s="8" t="s">
        <v>138</v>
      </c>
    </row>
    <row r="995" spans="1:11">
      <c r="A995" s="8" t="s">
        <v>138</v>
      </c>
      <c r="B995" s="8" t="s">
        <v>138</v>
      </c>
      <c r="C995" s="8" t="s">
        <v>138</v>
      </c>
      <c r="D995" s="8" t="s">
        <v>138</v>
      </c>
      <c r="E995" s="8" t="s">
        <v>138</v>
      </c>
      <c r="F995" s="8" t="s">
        <v>138</v>
      </c>
      <c r="G995" s="8" t="s">
        <v>138</v>
      </c>
      <c r="H995" s="8" t="s">
        <v>138</v>
      </c>
      <c r="I995" s="8" t="s">
        <v>138</v>
      </c>
      <c r="J995" s="8" t="s">
        <v>138</v>
      </c>
      <c r="K995" s="8" t="s">
        <v>138</v>
      </c>
    </row>
    <row r="996" spans="1:11">
      <c r="A996" s="8" t="s">
        <v>138</v>
      </c>
      <c r="B996" s="8" t="s">
        <v>138</v>
      </c>
      <c r="C996" s="8" t="s">
        <v>138</v>
      </c>
      <c r="D996" s="8" t="s">
        <v>138</v>
      </c>
      <c r="E996" s="8" t="s">
        <v>138</v>
      </c>
      <c r="F996" s="8" t="s">
        <v>138</v>
      </c>
      <c r="G996" s="8" t="s">
        <v>138</v>
      </c>
      <c r="H996" s="8" t="s">
        <v>138</v>
      </c>
      <c r="I996" s="8" t="s">
        <v>138</v>
      </c>
      <c r="J996" s="8" t="s">
        <v>138</v>
      </c>
      <c r="K996" s="8" t="s">
        <v>138</v>
      </c>
    </row>
    <row r="997" spans="1:11">
      <c r="A997" s="8" t="s">
        <v>138</v>
      </c>
      <c r="B997" s="8" t="s">
        <v>138</v>
      </c>
      <c r="C997" s="8" t="s">
        <v>138</v>
      </c>
      <c r="D997" s="8" t="s">
        <v>138</v>
      </c>
      <c r="E997" s="8" t="s">
        <v>138</v>
      </c>
      <c r="F997" s="8" t="s">
        <v>138</v>
      </c>
      <c r="G997" s="8" t="s">
        <v>138</v>
      </c>
      <c r="H997" s="8" t="s">
        <v>138</v>
      </c>
      <c r="I997" s="8" t="s">
        <v>138</v>
      </c>
      <c r="J997" s="8" t="s">
        <v>138</v>
      </c>
      <c r="K997" s="8" t="s">
        <v>138</v>
      </c>
    </row>
    <row r="998" spans="1:11">
      <c r="A998" s="8" t="s">
        <v>138</v>
      </c>
      <c r="B998" s="8" t="s">
        <v>138</v>
      </c>
      <c r="C998" s="8" t="s">
        <v>138</v>
      </c>
      <c r="D998" s="8" t="s">
        <v>138</v>
      </c>
      <c r="E998" s="8" t="s">
        <v>138</v>
      </c>
      <c r="F998" s="8" t="s">
        <v>138</v>
      </c>
      <c r="G998" s="8" t="s">
        <v>138</v>
      </c>
      <c r="H998" s="8" t="s">
        <v>138</v>
      </c>
      <c r="I998" s="8" t="s">
        <v>138</v>
      </c>
      <c r="J998" s="8" t="s">
        <v>138</v>
      </c>
      <c r="K998" s="8" t="s">
        <v>138</v>
      </c>
    </row>
    <row r="999" spans="1:11">
      <c r="A999" s="8" t="s">
        <v>138</v>
      </c>
      <c r="B999" s="8" t="s">
        <v>138</v>
      </c>
      <c r="C999" s="8" t="s">
        <v>138</v>
      </c>
      <c r="D999" s="8" t="s">
        <v>138</v>
      </c>
      <c r="E999" s="8" t="s">
        <v>138</v>
      </c>
      <c r="F999" s="8" t="s">
        <v>138</v>
      </c>
      <c r="G999" s="8" t="s">
        <v>138</v>
      </c>
      <c r="H999" s="8" t="s">
        <v>138</v>
      </c>
      <c r="I999" s="8" t="s">
        <v>138</v>
      </c>
      <c r="J999" s="8" t="s">
        <v>138</v>
      </c>
      <c r="K999" s="8" t="s">
        <v>138</v>
      </c>
    </row>
    <row r="1000" spans="1:11">
      <c r="A1000" s="8" t="s">
        <v>138</v>
      </c>
      <c r="B1000" s="8" t="s">
        <v>138</v>
      </c>
      <c r="C1000" s="8" t="s">
        <v>138</v>
      </c>
      <c r="D1000" s="8" t="s">
        <v>138</v>
      </c>
      <c r="E1000" s="8" t="s">
        <v>138</v>
      </c>
      <c r="F1000" s="8" t="s">
        <v>138</v>
      </c>
      <c r="G1000" s="8" t="s">
        <v>138</v>
      </c>
      <c r="H1000" s="8" t="s">
        <v>138</v>
      </c>
      <c r="I1000" s="8" t="s">
        <v>138</v>
      </c>
      <c r="J1000" s="8" t="s">
        <v>138</v>
      </c>
      <c r="K1000" s="8" t="s">
        <v>138</v>
      </c>
    </row>
    <row r="1001" spans="1:11">
      <c r="A1001" s="8" t="s">
        <v>138</v>
      </c>
      <c r="B1001" s="8" t="s">
        <v>138</v>
      </c>
      <c r="C1001" s="8" t="s">
        <v>138</v>
      </c>
      <c r="D1001" s="8" t="s">
        <v>138</v>
      </c>
      <c r="E1001" s="8" t="s">
        <v>138</v>
      </c>
      <c r="F1001" s="8" t="s">
        <v>138</v>
      </c>
      <c r="G1001" s="8" t="s">
        <v>138</v>
      </c>
      <c r="H1001" s="8" t="s">
        <v>138</v>
      </c>
      <c r="I1001" s="8" t="s">
        <v>138</v>
      </c>
      <c r="J1001" s="8" t="s">
        <v>138</v>
      </c>
      <c r="K1001" s="8" t="s">
        <v>138</v>
      </c>
    </row>
    <row r="1002" spans="1:11">
      <c r="A1002" s="8" t="s">
        <v>138</v>
      </c>
      <c r="B1002" s="8" t="s">
        <v>138</v>
      </c>
      <c r="C1002" s="8" t="s">
        <v>138</v>
      </c>
      <c r="D1002" s="8" t="s">
        <v>138</v>
      </c>
      <c r="E1002" s="8" t="s">
        <v>138</v>
      </c>
      <c r="F1002" s="8" t="s">
        <v>138</v>
      </c>
      <c r="G1002" s="8" t="s">
        <v>138</v>
      </c>
      <c r="H1002" s="8" t="s">
        <v>138</v>
      </c>
      <c r="I1002" s="8" t="s">
        <v>138</v>
      </c>
      <c r="J1002" s="8" t="s">
        <v>138</v>
      </c>
      <c r="K1002" s="8" t="s">
        <v>138</v>
      </c>
    </row>
    <row r="1003" spans="1:11">
      <c r="A1003" s="8" t="s">
        <v>138</v>
      </c>
      <c r="B1003" s="8" t="s">
        <v>138</v>
      </c>
      <c r="C1003" s="8" t="s">
        <v>138</v>
      </c>
      <c r="D1003" s="8" t="s">
        <v>138</v>
      </c>
      <c r="E1003" s="8" t="s">
        <v>138</v>
      </c>
      <c r="F1003" s="8" t="s">
        <v>138</v>
      </c>
      <c r="G1003" s="8" t="s">
        <v>138</v>
      </c>
      <c r="H1003" s="8" t="s">
        <v>138</v>
      </c>
      <c r="I1003" s="8" t="s">
        <v>138</v>
      </c>
      <c r="J1003" s="8" t="s">
        <v>138</v>
      </c>
      <c r="K1003" s="8" t="s">
        <v>138</v>
      </c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showGridLines="0" workbookViewId="0">
      <selection activeCell="A1" sqref="A1:Z1"/>
    </sheetView>
  </sheetViews>
  <sheetFormatPr defaultColWidth="9" defaultRowHeight="14.5"/>
  <cols>
    <col min="1" max="26" width="6" customWidth="1"/>
    <col min="27" max="27" width="5" customWidth="1"/>
  </cols>
  <sheetData>
    <row r="1" customFormat="1" ht="22" customHeight="1" spans="1:26">
      <c r="A1" s="34" t="s">
        <v>1166</v>
      </c>
    </row>
    <row r="2" customFormat="1" ht="22" customHeight="1" spans="1:26">
      <c r="A2" s="35" t="s">
        <v>1167</v>
      </c>
    </row>
    <row r="3" customFormat="1" ht="22" customHeight="1" spans="1:26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16" t="s">
        <v>66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1" ht="22" customHeight="1" spans="1:26">
      <c r="A4" s="37" t="s">
        <v>1168</v>
      </c>
      <c r="C4" s="36"/>
      <c r="D4" s="36"/>
      <c r="E4" s="38" t="s">
        <v>1169</v>
      </c>
      <c r="L4" s="39"/>
      <c r="M4" s="36"/>
      <c r="N4" s="38" t="s">
        <v>1170</v>
      </c>
      <c r="U4" s="39"/>
      <c r="V4" s="36"/>
      <c r="W4" s="36"/>
      <c r="X4" s="36"/>
      <c r="Y4" s="36"/>
      <c r="Z4" s="36"/>
    </row>
    <row r="5" customFormat="1" ht="22" customHeight="1" spans="1:26">
      <c r="A5" s="40" t="s">
        <v>1171</v>
      </c>
      <c r="B5" s="36"/>
      <c r="C5" s="41" t="s">
        <v>1172</v>
      </c>
      <c r="D5" s="36"/>
      <c r="E5" s="42" t="s">
        <v>1173</v>
      </c>
      <c r="F5" s="36"/>
      <c r="G5" s="36" t="s">
        <v>1174</v>
      </c>
      <c r="L5" s="43"/>
      <c r="M5" s="36"/>
      <c r="N5" s="42" t="s">
        <v>1173</v>
      </c>
      <c r="O5" s="36"/>
      <c r="P5" s="36" t="s">
        <v>1174</v>
      </c>
      <c r="U5" s="43"/>
      <c r="V5" s="36"/>
      <c r="W5" s="36"/>
      <c r="X5" s="36"/>
      <c r="Y5" s="36"/>
      <c r="Z5" s="36"/>
    </row>
    <row r="6" customFormat="1" ht="22" customHeight="1" spans="1:26">
      <c r="A6" s="40" t="s">
        <v>1175</v>
      </c>
      <c r="B6" s="36"/>
      <c r="C6" s="41">
        <v>1</v>
      </c>
      <c r="D6" s="36"/>
      <c r="E6" s="42" t="s">
        <v>1176</v>
      </c>
      <c r="F6" s="36"/>
      <c r="G6" s="44" t="s">
        <v>1177</v>
      </c>
      <c r="H6" s="44" t="s">
        <v>1178</v>
      </c>
      <c r="I6" s="44" t="s">
        <v>1179</v>
      </c>
      <c r="J6" s="44" t="s">
        <v>1180</v>
      </c>
      <c r="K6" s="44" t="s">
        <v>1181</v>
      </c>
      <c r="L6" s="43"/>
      <c r="M6" s="36"/>
      <c r="N6" s="42" t="s">
        <v>1176</v>
      </c>
      <c r="O6" s="36"/>
      <c r="P6" s="44" t="s">
        <v>1177</v>
      </c>
      <c r="Q6" s="44" t="s">
        <v>1178</v>
      </c>
      <c r="R6" s="44" t="s">
        <v>1179</v>
      </c>
      <c r="S6" s="44" t="s">
        <v>1180</v>
      </c>
      <c r="T6" s="44" t="s">
        <v>1181</v>
      </c>
      <c r="U6" s="43"/>
      <c r="V6" s="36"/>
      <c r="W6" s="36"/>
      <c r="X6" s="36"/>
      <c r="Y6" s="36"/>
      <c r="Z6" s="36"/>
    </row>
    <row r="7" customFormat="1" ht="22" customHeight="1" spans="1:26">
      <c r="A7" s="40" t="s">
        <v>1182</v>
      </c>
      <c r="B7" s="36"/>
      <c r="C7" s="41">
        <v>1</v>
      </c>
      <c r="D7" s="36"/>
      <c r="E7" s="45"/>
      <c r="F7" s="44">
        <v>5</v>
      </c>
      <c r="G7" s="46">
        <f>COUNTIFS('15_RISK_MATRIX_LINK_DATA'!$E:$E,5,'15_RISK_MATRIX_LINK_DATA'!$F:$F,1)</f>
        <v>0</v>
      </c>
      <c r="H7" s="46">
        <f>COUNTIFS('15_RISK_MATRIX_LINK_DATA'!$E:$E,5,'15_RISK_MATRIX_LINK_DATA'!$F:$F,2)</f>
        <v>0</v>
      </c>
      <c r="I7" s="46">
        <f>COUNTIFS('15_RISK_MATRIX_LINK_DATA'!$E:$E,5,'15_RISK_MATRIX_LINK_DATA'!$F:$F,3)</f>
        <v>0</v>
      </c>
      <c r="J7" s="47">
        <f>COUNTIFS('15_RISK_MATRIX_LINK_DATA'!$E:$E,5,'15_RISK_MATRIX_LINK_DATA'!$F:$F,4)</f>
        <v>0</v>
      </c>
      <c r="K7" s="47">
        <f>COUNTIFS('15_RISK_MATRIX_LINK_DATA'!$E:$E,5,'15_RISK_MATRIX_LINK_DATA'!$F:$F,5)</f>
        <v>0</v>
      </c>
      <c r="L7" s="43"/>
      <c r="M7" s="36"/>
      <c r="N7" s="45"/>
      <c r="O7" s="44">
        <v>5</v>
      </c>
      <c r="P7" s="46">
        <f>COUNTIFS('15_RISK_MATRIX_LINK_DATA'!$H:$H,5,'15_RISK_MATRIX_LINK_DATA'!$F:$F,1)</f>
        <v>0</v>
      </c>
      <c r="Q7" s="46">
        <f>COUNTIFS('15_RISK_MATRIX_LINK_DATA'!$H:$H,5,'15_RISK_MATRIX_LINK_DATA'!$F:$F,2)</f>
        <v>27</v>
      </c>
      <c r="R7" s="46">
        <f>COUNTIFS('15_RISK_MATRIX_LINK_DATA'!$H:$H,5,'15_RISK_MATRIX_LINK_DATA'!$F:$F,3)</f>
        <v>0</v>
      </c>
      <c r="S7" s="47">
        <f>COUNTIFS('15_RISK_MATRIX_LINK_DATA'!$H:$H,5,'15_RISK_MATRIX_LINK_DATA'!$F:$F,4)</f>
        <v>3</v>
      </c>
      <c r="T7" s="47">
        <f>COUNTIFS('15_RISK_MATRIX_LINK_DATA'!$H:$H,5,'15_RISK_MATRIX_LINK_DATA'!$F:$F,5)</f>
        <v>17</v>
      </c>
      <c r="U7" s="43"/>
      <c r="V7" s="36"/>
      <c r="W7" s="36"/>
      <c r="X7" s="36"/>
      <c r="Y7" s="36"/>
      <c r="Z7" s="36"/>
    </row>
    <row r="8" customFormat="1" ht="22" customHeight="1" spans="1:26">
      <c r="A8" s="40" t="s">
        <v>1052</v>
      </c>
      <c r="B8" s="36"/>
      <c r="C8" s="41">
        <v>4</v>
      </c>
      <c r="D8" s="36"/>
      <c r="E8" s="45"/>
      <c r="F8" s="44">
        <v>4</v>
      </c>
      <c r="G8" s="48">
        <f>COUNTIFS('15_RISK_MATRIX_LINK_DATA'!$E:$E,4,'15_RISK_MATRIX_LINK_DATA'!$F:$F,1)</f>
        <v>0</v>
      </c>
      <c r="H8" s="48">
        <f>COUNTIFS('15_RISK_MATRIX_LINK_DATA'!$E:$E,4,'15_RISK_MATRIX_LINK_DATA'!$F:$F,2)</f>
        <v>27</v>
      </c>
      <c r="I8" s="46">
        <f>COUNTIFS('15_RISK_MATRIX_LINK_DATA'!$E:$E,4,'15_RISK_MATRIX_LINK_DATA'!$F:$F,3)</f>
        <v>0</v>
      </c>
      <c r="J8" s="46">
        <f>COUNTIFS('15_RISK_MATRIX_LINK_DATA'!$E:$E,4,'15_RISK_MATRIX_LINK_DATA'!$F:$F,4)</f>
        <v>3</v>
      </c>
      <c r="K8" s="47">
        <f>COUNTIFS('15_RISK_MATRIX_LINK_DATA'!$E:$E,4,'15_RISK_MATRIX_LINK_DATA'!$F:$F,5)</f>
        <v>17</v>
      </c>
      <c r="L8" s="43"/>
      <c r="M8" s="36"/>
      <c r="N8" s="45"/>
      <c r="O8" s="44">
        <v>4</v>
      </c>
      <c r="P8" s="48">
        <f>COUNTIFS('15_RISK_MATRIX_LINK_DATA'!$H:$H,4,'15_RISK_MATRIX_LINK_DATA'!$F:$F,1)</f>
        <v>0</v>
      </c>
      <c r="Q8" s="48">
        <f>COUNTIFS('15_RISK_MATRIX_LINK_DATA'!$H:$H,4,'15_RISK_MATRIX_LINK_DATA'!$F:$F,2)</f>
        <v>19</v>
      </c>
      <c r="R8" s="46">
        <f>COUNTIFS('15_RISK_MATRIX_LINK_DATA'!$H:$H,4,'15_RISK_MATRIX_LINK_DATA'!$F:$F,3)</f>
        <v>0</v>
      </c>
      <c r="S8" s="46">
        <f>COUNTIFS('15_RISK_MATRIX_LINK_DATA'!$H:$H,4,'15_RISK_MATRIX_LINK_DATA'!$F:$F,4)</f>
        <v>11</v>
      </c>
      <c r="T8" s="47">
        <f>COUNTIFS('15_RISK_MATRIX_LINK_DATA'!$H:$H,4,'15_RISK_MATRIX_LINK_DATA'!$F:$F,5)</f>
        <v>3</v>
      </c>
      <c r="U8" s="43"/>
      <c r="V8" s="36"/>
      <c r="W8" s="36"/>
      <c r="X8" s="36"/>
      <c r="Y8" s="36"/>
      <c r="Z8" s="36"/>
    </row>
    <row r="9" customFormat="1" ht="22" customHeight="1" spans="1:26">
      <c r="A9" s="36"/>
      <c r="B9" s="36"/>
      <c r="C9" s="36"/>
      <c r="D9" s="36"/>
      <c r="E9" s="45"/>
      <c r="F9" s="44">
        <v>3</v>
      </c>
      <c r="G9" s="49">
        <f>COUNTIFS('15_RISK_MATRIX_LINK_DATA'!$E:$E,3,'15_RISK_MATRIX_LINK_DATA'!$F:$F,1)</f>
        <v>0</v>
      </c>
      <c r="H9" s="49">
        <f>COUNTIFS('15_RISK_MATRIX_LINK_DATA'!$E:$E,3,'15_RISK_MATRIX_LINK_DATA'!$F:$F,2)</f>
        <v>19</v>
      </c>
      <c r="I9" s="46">
        <f>COUNTIFS('15_RISK_MATRIX_LINK_DATA'!$E:$E,3,'15_RISK_MATRIX_LINK_DATA'!$F:$F,3)</f>
        <v>0</v>
      </c>
      <c r="J9" s="46">
        <f>COUNTIFS('15_RISK_MATRIX_LINK_DATA'!$E:$E,3,'15_RISK_MATRIX_LINK_DATA'!$F:$F,4)</f>
        <v>11</v>
      </c>
      <c r="K9" s="47">
        <f>COUNTIFS('15_RISK_MATRIX_LINK_DATA'!$E:$E,3,'15_RISK_MATRIX_LINK_DATA'!$F:$F,5)</f>
        <v>3</v>
      </c>
      <c r="L9" s="43"/>
      <c r="M9" s="36"/>
      <c r="N9" s="45"/>
      <c r="O9" s="44">
        <v>3</v>
      </c>
      <c r="P9" s="49">
        <f>COUNTIFS('15_RISK_MATRIX_LINK_DATA'!$H:$H,3,'15_RISK_MATRIX_LINK_DATA'!$F:$F,1)</f>
        <v>0</v>
      </c>
      <c r="Q9" s="49">
        <f>COUNTIFS('15_RISK_MATRIX_LINK_DATA'!$H:$H,3,'15_RISK_MATRIX_LINK_DATA'!$F:$F,2)</f>
        <v>67</v>
      </c>
      <c r="R9" s="46">
        <f>COUNTIFS('15_RISK_MATRIX_LINK_DATA'!$H:$H,3,'15_RISK_MATRIX_LINK_DATA'!$F:$F,3)</f>
        <v>92</v>
      </c>
      <c r="S9" s="46">
        <f>COUNTIFS('15_RISK_MATRIX_LINK_DATA'!$H:$H,3,'15_RISK_MATRIX_LINK_DATA'!$F:$F,4)</f>
        <v>57</v>
      </c>
      <c r="T9" s="47">
        <f>COUNTIFS('15_RISK_MATRIX_LINK_DATA'!$H:$H,3,'15_RISK_MATRIX_LINK_DATA'!$F:$F,5)</f>
        <v>55</v>
      </c>
      <c r="U9" s="43"/>
      <c r="V9" s="36"/>
      <c r="W9" s="36"/>
      <c r="X9" s="36"/>
      <c r="Y9" s="36"/>
      <c r="Z9" s="36"/>
    </row>
    <row r="10" customFormat="1" ht="22" customHeight="1" spans="1:26">
      <c r="A10" s="36"/>
      <c r="B10" s="36"/>
      <c r="C10" s="36"/>
      <c r="D10" s="36"/>
      <c r="E10" s="45"/>
      <c r="F10" s="44">
        <v>2</v>
      </c>
      <c r="G10" s="49">
        <f>COUNTIFS('15_RISK_MATRIX_LINK_DATA'!$E:$E,2,'15_RISK_MATRIX_LINK_DATA'!$F:$F,1)</f>
        <v>0</v>
      </c>
      <c r="H10" s="49">
        <f>COUNTIFS('15_RISK_MATRIX_LINK_DATA'!$E:$E,2,'15_RISK_MATRIX_LINK_DATA'!$F:$F,2)</f>
        <v>67</v>
      </c>
      <c r="I10" s="48">
        <f>COUNTIFS('15_RISK_MATRIX_LINK_DATA'!$E:$E,2,'15_RISK_MATRIX_LINK_DATA'!$F:$F,3)</f>
        <v>92</v>
      </c>
      <c r="J10" s="48">
        <f>COUNTIFS('15_RISK_MATRIX_LINK_DATA'!$E:$E,2,'15_RISK_MATRIX_LINK_DATA'!$F:$F,4)</f>
        <v>57</v>
      </c>
      <c r="K10" s="46">
        <f>COUNTIFS('15_RISK_MATRIX_LINK_DATA'!$E:$E,2,'15_RISK_MATRIX_LINK_DATA'!$F:$F,5)</f>
        <v>55</v>
      </c>
      <c r="L10" s="43"/>
      <c r="M10" s="36"/>
      <c r="N10" s="45"/>
      <c r="O10" s="44">
        <v>2</v>
      </c>
      <c r="P10" s="49">
        <f>COUNTIFS('15_RISK_MATRIX_LINK_DATA'!$H:$H,2,'15_RISK_MATRIX_LINK_DATA'!$F:$F,1)</f>
        <v>0</v>
      </c>
      <c r="Q10" s="49">
        <f>COUNTIFS('15_RISK_MATRIX_LINK_DATA'!$H:$H,2,'15_RISK_MATRIX_LINK_DATA'!$F:$F,2)</f>
        <v>57</v>
      </c>
      <c r="R10" s="48">
        <f>COUNTIFS('15_RISK_MATRIX_LINK_DATA'!$H:$H,2,'15_RISK_MATRIX_LINK_DATA'!$F:$F,3)</f>
        <v>2</v>
      </c>
      <c r="S10" s="48">
        <f>COUNTIFS('15_RISK_MATRIX_LINK_DATA'!$H:$H,2,'15_RISK_MATRIX_LINK_DATA'!$F:$F,4)</f>
        <v>3</v>
      </c>
      <c r="T10" s="46">
        <f>COUNTIFS('15_RISK_MATRIX_LINK_DATA'!$H:$H,2,'15_RISK_MATRIX_LINK_DATA'!$F:$F,5)</f>
        <v>0</v>
      </c>
      <c r="U10" s="43"/>
      <c r="V10" s="36"/>
      <c r="W10" s="36"/>
      <c r="X10" s="36"/>
      <c r="Y10" s="36"/>
      <c r="Z10" s="36"/>
    </row>
    <row r="11" customFormat="1" ht="22" customHeight="1" spans="1:26">
      <c r="A11" s="36"/>
      <c r="B11" s="36"/>
      <c r="C11" s="36"/>
      <c r="D11" s="36"/>
      <c r="E11" s="45"/>
      <c r="F11" s="44">
        <v>1</v>
      </c>
      <c r="G11" s="49">
        <f>COUNTIFS('15_RISK_MATRIX_LINK_DATA'!$E:$E,1,'15_RISK_MATRIX_LINK_DATA'!$F:$F,1)</f>
        <v>0</v>
      </c>
      <c r="H11" s="49">
        <f>COUNTIFS('15_RISK_MATRIX_LINK_DATA'!$E:$E,1,'15_RISK_MATRIX_LINK_DATA'!$F:$F,2)</f>
        <v>57</v>
      </c>
      <c r="I11" s="49">
        <f>COUNTIFS('15_RISK_MATRIX_LINK_DATA'!$E:$E,1,'15_RISK_MATRIX_LINK_DATA'!$F:$F,3)</f>
        <v>2</v>
      </c>
      <c r="J11" s="48">
        <f>COUNTIFS('15_RISK_MATRIX_LINK_DATA'!$E:$E,1,'15_RISK_MATRIX_LINK_DATA'!$F:$F,4)</f>
        <v>3</v>
      </c>
      <c r="K11" s="48">
        <f>COUNTIFS('15_RISK_MATRIX_LINK_DATA'!$E:$E,1,'15_RISK_MATRIX_LINK_DATA'!$F:$F,5)</f>
        <v>0</v>
      </c>
      <c r="L11" s="43"/>
      <c r="M11" s="36"/>
      <c r="N11" s="45"/>
      <c r="O11" s="44">
        <v>1</v>
      </c>
      <c r="P11" s="49">
        <f>COUNTIFS('15_RISK_MATRIX_LINK_DATA'!$H:$H,1,'15_RISK_MATRIX_LINK_DATA'!$F:$F,1)</f>
        <v>0</v>
      </c>
      <c r="Q11" s="49">
        <f>COUNTIFS('15_RISK_MATRIX_LINK_DATA'!$H:$H,1,'15_RISK_MATRIX_LINK_DATA'!$F:$F,2)</f>
        <v>0</v>
      </c>
      <c r="R11" s="49">
        <f>COUNTIFS('15_RISK_MATRIX_LINK_DATA'!$H:$H,1,'15_RISK_MATRIX_LINK_DATA'!$F:$F,3)</f>
        <v>0</v>
      </c>
      <c r="S11" s="48">
        <f>COUNTIFS('15_RISK_MATRIX_LINK_DATA'!$H:$H,1,'15_RISK_MATRIX_LINK_DATA'!$F:$F,4)</f>
        <v>0</v>
      </c>
      <c r="T11" s="48">
        <f>COUNTIFS('15_RISK_MATRIX_LINK_DATA'!$H:$H,1,'15_RISK_MATRIX_LINK_DATA'!$F:$F,5)</f>
        <v>0</v>
      </c>
      <c r="U11" s="43"/>
      <c r="V11" s="36"/>
      <c r="W11" s="36"/>
      <c r="X11" s="36"/>
      <c r="Y11" s="36"/>
      <c r="Z11" s="36"/>
    </row>
    <row r="12" customFormat="1" ht="22" customHeight="1" spans="1:26">
      <c r="A12" s="50" t="s">
        <v>1183</v>
      </c>
      <c r="D12" s="36"/>
      <c r="E12" s="51"/>
      <c r="F12" s="51"/>
      <c r="G12" s="51"/>
      <c r="H12" s="51"/>
      <c r="I12" s="51"/>
      <c r="J12" s="51"/>
      <c r="K12" s="51"/>
      <c r="L12" s="51"/>
      <c r="M12" s="36"/>
      <c r="N12" s="51"/>
      <c r="O12" s="51"/>
      <c r="P12" s="51"/>
      <c r="Q12" s="51"/>
      <c r="R12" s="51"/>
      <c r="S12" s="51"/>
      <c r="T12" s="51"/>
      <c r="U12" s="51"/>
      <c r="V12" s="36"/>
      <c r="W12" s="36"/>
      <c r="X12" s="36"/>
      <c r="Y12" s="36"/>
      <c r="Z12" s="36"/>
    </row>
    <row r="13" customFormat="1" ht="22" customHeight="1" spans="1:26">
      <c r="A13" s="50" t="s">
        <v>214</v>
      </c>
      <c r="B13" s="50" t="s">
        <v>1172</v>
      </c>
      <c r="C13" s="50" t="s">
        <v>1184</v>
      </c>
      <c r="D13" s="36"/>
      <c r="E13" s="52" t="s">
        <v>1185</v>
      </c>
      <c r="M13" s="36"/>
      <c r="N13" s="52" t="s">
        <v>1186</v>
      </c>
      <c r="V13" s="36"/>
      <c r="W13" s="36"/>
      <c r="X13" s="36"/>
      <c r="Y13" s="36"/>
      <c r="Z13" s="36"/>
    </row>
    <row r="14" customFormat="1" ht="22" customHeight="1" spans="1:26">
      <c r="A14" s="53" t="s">
        <v>199</v>
      </c>
      <c r="B14" s="36">
        <f>COUNTIF('15_RISK_MATRIX_LINK_DATA'!G:G,A14)</f>
        <v>23</v>
      </c>
      <c r="C14" s="36">
        <f>COUNTIF('15_RISK_MATRIX_LINK_DATA'!K:K,A14)</f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1" ht="22" customHeight="1" spans="1:26">
      <c r="A15" s="54" t="s">
        <v>200</v>
      </c>
      <c r="B15" s="36">
        <f>COUNTIF('15_RISK_MATRIX_LINK_DATA'!G:G,A15)</f>
        <v>261</v>
      </c>
      <c r="C15" s="36">
        <f>COUNTIF('15_RISK_MATRIX_LINK_DATA'!K:K,A15)</f>
        <v>23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1" ht="22" customHeight="1" spans="1:26">
      <c r="A16" s="55" t="s">
        <v>202</v>
      </c>
      <c r="B16" s="36">
        <f>COUNTIF('15_RISK_MATRIX_LINK_DATA'!G:G,A16)</f>
        <v>70</v>
      </c>
      <c r="C16" s="36">
        <f>COUNTIF('15_RISK_MATRIX_LINK_DATA'!K:K,A16)</f>
        <v>390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1" ht="22" customHeight="1" spans="1:26">
      <c r="A17" s="56" t="s">
        <v>204</v>
      </c>
      <c r="B17" s="36">
        <f>COUNTIF('15_RISK_MATRIX_LINK_DATA'!G:G,A17)</f>
        <v>59</v>
      </c>
      <c r="C17" s="36">
        <f>COUNTIF('15_RISK_MATRIX_LINK_DATA'!K:K,A17)</f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1" ht="22" customHeight="1" spans="1:26">
      <c r="A18" s="36"/>
      <c r="B18" s="36"/>
      <c r="C18" s="36"/>
      <c r="D18" s="36"/>
      <c r="E18" s="38" t="s">
        <v>1187</v>
      </c>
      <c r="L18" s="39"/>
      <c r="M18" s="36"/>
      <c r="N18" s="57" t="s">
        <v>1188</v>
      </c>
      <c r="V18" s="36"/>
      <c r="W18" s="36"/>
      <c r="X18" s="36"/>
      <c r="Y18" s="36"/>
      <c r="Z18" s="36"/>
    </row>
    <row r="19" customFormat="1" ht="22" customHeight="1" spans="1:26">
      <c r="A19" s="36"/>
      <c r="B19" s="36"/>
      <c r="C19" s="36"/>
      <c r="D19" s="36"/>
      <c r="E19" s="42" t="s">
        <v>1173</v>
      </c>
      <c r="F19" s="36"/>
      <c r="G19" s="36" t="s">
        <v>1174</v>
      </c>
      <c r="L19" s="43"/>
      <c r="M19" s="36"/>
      <c r="N19" s="58" t="s">
        <v>1173</v>
      </c>
      <c r="O19" s="36"/>
      <c r="P19" s="36" t="s">
        <v>1174</v>
      </c>
      <c r="U19" s="36"/>
      <c r="V19" s="36"/>
      <c r="W19" s="36"/>
      <c r="X19" s="36"/>
      <c r="Y19" s="36"/>
      <c r="Z19" s="36"/>
    </row>
    <row r="20" customFormat="1" ht="22" customHeight="1" spans="1:26">
      <c r="A20" s="36"/>
      <c r="B20" s="36"/>
      <c r="C20" s="36"/>
      <c r="D20" s="36"/>
      <c r="E20" s="42" t="s">
        <v>1176</v>
      </c>
      <c r="F20" s="36"/>
      <c r="G20" s="44" t="s">
        <v>1177</v>
      </c>
      <c r="H20" s="44" t="s">
        <v>1178</v>
      </c>
      <c r="I20" s="44" t="s">
        <v>1179</v>
      </c>
      <c r="J20" s="44" t="s">
        <v>1180</v>
      </c>
      <c r="K20" s="44" t="s">
        <v>1181</v>
      </c>
      <c r="L20" s="43"/>
      <c r="M20" s="36"/>
      <c r="N20" s="58" t="s">
        <v>1176</v>
      </c>
      <c r="O20" s="36"/>
      <c r="P20" s="44" t="s">
        <v>1177</v>
      </c>
      <c r="Q20" s="44" t="s">
        <v>1178</v>
      </c>
      <c r="R20" s="44" t="s">
        <v>1179</v>
      </c>
      <c r="S20" s="44" t="s">
        <v>1180</v>
      </c>
      <c r="T20" s="44" t="s">
        <v>1181</v>
      </c>
      <c r="U20" s="36"/>
      <c r="V20" s="36"/>
      <c r="W20" s="36"/>
      <c r="X20" s="36"/>
      <c r="Y20" s="36"/>
      <c r="Z20" s="36"/>
    </row>
    <row r="21" customFormat="1" ht="22" customHeight="1" spans="1:26">
      <c r="A21" s="36"/>
      <c r="B21" s="36"/>
      <c r="C21" s="36"/>
      <c r="D21" s="36"/>
      <c r="E21" s="45"/>
      <c r="F21" s="44">
        <v>5</v>
      </c>
      <c r="G21" s="46">
        <f>COUNTIFS('15_RISK_MATRIX_LINK_DATA'!$I:$I,5,'15_RISK_MATRIX_LINK_DATA'!$F:$F,1)</f>
        <v>0</v>
      </c>
      <c r="H21" s="46">
        <f>COUNTIFS('15_RISK_MATRIX_LINK_DATA'!$I:$I,5,'15_RISK_MATRIX_LINK_DATA'!$F:$F,2)</f>
        <v>0</v>
      </c>
      <c r="I21" s="46">
        <f>COUNTIFS('15_RISK_MATRIX_LINK_DATA'!$I:$I,5,'15_RISK_MATRIX_LINK_DATA'!$F:$F,3)</f>
        <v>0</v>
      </c>
      <c r="J21" s="47">
        <f>COUNTIFS('15_RISK_MATRIX_LINK_DATA'!$I:$I,5,'15_RISK_MATRIX_LINK_DATA'!$F:$F,4)</f>
        <v>0</v>
      </c>
      <c r="K21" s="47">
        <f>COUNTIFS('15_RISK_MATRIX_LINK_DATA'!$I:$I,5,'15_RISK_MATRIX_LINK_DATA'!$F:$F,5)</f>
        <v>0</v>
      </c>
      <c r="L21" s="43"/>
      <c r="M21" s="36"/>
      <c r="N21" s="36"/>
      <c r="O21" s="44">
        <v>5</v>
      </c>
      <c r="P21" s="59" t="s">
        <v>200</v>
      </c>
      <c r="Q21" s="59" t="s">
        <v>200</v>
      </c>
      <c r="R21" s="59" t="s">
        <v>200</v>
      </c>
      <c r="S21" s="60" t="s">
        <v>1189</v>
      </c>
      <c r="T21" s="60" t="s">
        <v>1189</v>
      </c>
      <c r="U21" s="36"/>
      <c r="V21" s="36"/>
      <c r="W21" s="36"/>
      <c r="X21" s="36"/>
      <c r="Y21" s="36"/>
      <c r="Z21" s="36"/>
    </row>
    <row r="22" customFormat="1" ht="22" customHeight="1" spans="1:26">
      <c r="A22" s="36"/>
      <c r="B22" s="36"/>
      <c r="C22" s="36"/>
      <c r="D22" s="36"/>
      <c r="E22" s="45"/>
      <c r="F22" s="44">
        <v>4</v>
      </c>
      <c r="G22" s="48">
        <f>COUNTIFS('15_RISK_MATRIX_LINK_DATA'!$I:$I,4,'15_RISK_MATRIX_LINK_DATA'!$F:$F,1)</f>
        <v>0</v>
      </c>
      <c r="H22" s="48">
        <f>COUNTIFS('15_RISK_MATRIX_LINK_DATA'!$I:$I,4,'15_RISK_MATRIX_LINK_DATA'!$F:$F,2)</f>
        <v>0</v>
      </c>
      <c r="I22" s="46">
        <f>COUNTIFS('15_RISK_MATRIX_LINK_DATA'!$I:$I,4,'15_RISK_MATRIX_LINK_DATA'!$F:$F,3)</f>
        <v>0</v>
      </c>
      <c r="J22" s="46">
        <f>COUNTIFS('15_RISK_MATRIX_LINK_DATA'!$I:$I,4,'15_RISK_MATRIX_LINK_DATA'!$F:$F,4)</f>
        <v>0</v>
      </c>
      <c r="K22" s="47">
        <f>COUNTIFS('15_RISK_MATRIX_LINK_DATA'!$I:$I,4,'15_RISK_MATRIX_LINK_DATA'!$F:$F,5)</f>
        <v>0</v>
      </c>
      <c r="L22" s="43"/>
      <c r="M22" s="36"/>
      <c r="N22" s="36"/>
      <c r="O22" s="44">
        <v>4</v>
      </c>
      <c r="P22" s="61" t="s">
        <v>202</v>
      </c>
      <c r="Q22" s="61" t="s">
        <v>202</v>
      </c>
      <c r="R22" s="59" t="s">
        <v>200</v>
      </c>
      <c r="S22" s="59" t="s">
        <v>200</v>
      </c>
      <c r="T22" s="60" t="s">
        <v>1189</v>
      </c>
      <c r="U22" s="36"/>
      <c r="V22" s="36"/>
      <c r="W22" s="36"/>
      <c r="X22" s="36"/>
      <c r="Y22" s="36"/>
      <c r="Z22" s="36"/>
    </row>
    <row r="23" customFormat="1" ht="22" customHeight="1" spans="1:26">
      <c r="A23" s="36"/>
      <c r="B23" s="36"/>
      <c r="C23" s="36"/>
      <c r="D23" s="36"/>
      <c r="E23" s="45"/>
      <c r="F23" s="44">
        <v>3</v>
      </c>
      <c r="G23" s="49">
        <f>COUNTIFS('15_RISK_MATRIX_LINK_DATA'!$I:$I,3,'15_RISK_MATRIX_LINK_DATA'!$F:$F,1)</f>
        <v>0</v>
      </c>
      <c r="H23" s="49">
        <f>COUNTIFS('15_RISK_MATRIX_LINK_DATA'!$I:$I,3,'15_RISK_MATRIX_LINK_DATA'!$F:$F,2)</f>
        <v>27</v>
      </c>
      <c r="I23" s="46">
        <f>COUNTIFS('15_RISK_MATRIX_LINK_DATA'!$I:$I,3,'15_RISK_MATRIX_LINK_DATA'!$F:$F,3)</f>
        <v>0</v>
      </c>
      <c r="J23" s="46">
        <f>COUNTIFS('15_RISK_MATRIX_LINK_DATA'!$I:$I,3,'15_RISK_MATRIX_LINK_DATA'!$F:$F,4)</f>
        <v>3</v>
      </c>
      <c r="K23" s="47">
        <f>COUNTIFS('15_RISK_MATRIX_LINK_DATA'!$I:$I,3,'15_RISK_MATRIX_LINK_DATA'!$F:$F,5)</f>
        <v>17</v>
      </c>
      <c r="L23" s="43"/>
      <c r="M23" s="36"/>
      <c r="N23" s="36"/>
      <c r="O23" s="44">
        <v>3</v>
      </c>
      <c r="P23" s="62" t="s">
        <v>204</v>
      </c>
      <c r="Q23" s="62" t="s">
        <v>204</v>
      </c>
      <c r="R23" s="59" t="s">
        <v>200</v>
      </c>
      <c r="S23" s="59" t="s">
        <v>200</v>
      </c>
      <c r="T23" s="60" t="s">
        <v>1189</v>
      </c>
      <c r="U23" s="36"/>
      <c r="V23" s="36"/>
      <c r="W23" s="36"/>
      <c r="X23" s="36"/>
      <c r="Y23" s="36"/>
      <c r="Z23" s="36"/>
    </row>
    <row r="24" customFormat="1" ht="22" customHeight="1" spans="1:26">
      <c r="A24" s="36"/>
      <c r="B24" s="36"/>
      <c r="C24" s="36"/>
      <c r="D24" s="36"/>
      <c r="E24" s="45"/>
      <c r="F24" s="44">
        <v>2</v>
      </c>
      <c r="G24" s="49">
        <f>COUNTIFS('15_RISK_MATRIX_LINK_DATA'!$I:$I,2,'15_RISK_MATRIX_LINK_DATA'!$F:$F,1)</f>
        <v>0</v>
      </c>
      <c r="H24" s="49">
        <f>COUNTIFS('15_RISK_MATRIX_LINK_DATA'!$I:$I,2,'15_RISK_MATRIX_LINK_DATA'!$F:$F,2)</f>
        <v>19</v>
      </c>
      <c r="I24" s="48">
        <f>COUNTIFS('15_RISK_MATRIX_LINK_DATA'!$I:$I,2,'15_RISK_MATRIX_LINK_DATA'!$F:$F,3)</f>
        <v>0</v>
      </c>
      <c r="J24" s="48">
        <f>COUNTIFS('15_RISK_MATRIX_LINK_DATA'!$I:$I,2,'15_RISK_MATRIX_LINK_DATA'!$F:$F,4)</f>
        <v>11</v>
      </c>
      <c r="K24" s="46">
        <f>COUNTIFS('15_RISK_MATRIX_LINK_DATA'!$I:$I,2,'15_RISK_MATRIX_LINK_DATA'!$F:$F,5)</f>
        <v>3</v>
      </c>
      <c r="L24" s="43"/>
      <c r="M24" s="36"/>
      <c r="N24" s="36"/>
      <c r="O24" s="44">
        <v>2</v>
      </c>
      <c r="P24" s="62" t="s">
        <v>204</v>
      </c>
      <c r="Q24" s="62" t="s">
        <v>204</v>
      </c>
      <c r="R24" s="61" t="s">
        <v>202</v>
      </c>
      <c r="S24" s="61" t="s">
        <v>202</v>
      </c>
      <c r="T24" s="59" t="s">
        <v>200</v>
      </c>
      <c r="U24" s="36"/>
      <c r="V24" s="36"/>
      <c r="W24" s="36"/>
      <c r="X24" s="36"/>
      <c r="Y24" s="36"/>
      <c r="Z24" s="36"/>
    </row>
    <row r="25" customFormat="1" ht="22" customHeight="1" spans="1:26">
      <c r="A25" s="36"/>
      <c r="B25" s="36"/>
      <c r="C25" s="36"/>
      <c r="D25" s="36"/>
      <c r="E25" s="45"/>
      <c r="F25" s="44">
        <v>1</v>
      </c>
      <c r="G25" s="49">
        <f>COUNTIFS('15_RISK_MATRIX_LINK_DATA'!$I:$I,1,'15_RISK_MATRIX_LINK_DATA'!$F:$F,1)</f>
        <v>0</v>
      </c>
      <c r="H25" s="49">
        <f>COUNTIFS('15_RISK_MATRIX_LINK_DATA'!$I:$I,1,'15_RISK_MATRIX_LINK_DATA'!$F:$F,2)</f>
        <v>124</v>
      </c>
      <c r="I25" s="49">
        <f>COUNTIFS('15_RISK_MATRIX_LINK_DATA'!$I:$I,1,'15_RISK_MATRIX_LINK_DATA'!$F:$F,3)</f>
        <v>94</v>
      </c>
      <c r="J25" s="48">
        <f>COUNTIFS('15_RISK_MATRIX_LINK_DATA'!$I:$I,1,'15_RISK_MATRIX_LINK_DATA'!$F:$F,4)</f>
        <v>60</v>
      </c>
      <c r="K25" s="48">
        <f>COUNTIFS('15_RISK_MATRIX_LINK_DATA'!$I:$I,1,'15_RISK_MATRIX_LINK_DATA'!$F:$F,5)</f>
        <v>55</v>
      </c>
      <c r="L25" s="43"/>
      <c r="M25" s="36"/>
      <c r="N25" s="36"/>
      <c r="O25" s="44">
        <v>1</v>
      </c>
      <c r="P25" s="62" t="s">
        <v>204</v>
      </c>
      <c r="Q25" s="62" t="s">
        <v>204</v>
      </c>
      <c r="R25" s="62" t="s">
        <v>204</v>
      </c>
      <c r="S25" s="61" t="s">
        <v>202</v>
      </c>
      <c r="T25" s="61" t="s">
        <v>202</v>
      </c>
      <c r="U25" s="36"/>
      <c r="V25" s="36"/>
      <c r="W25" s="36"/>
      <c r="X25" s="36"/>
      <c r="Y25" s="36"/>
      <c r="Z25" s="36"/>
    </row>
    <row r="26" customFormat="1" ht="22" customHeight="1" spans="1:26">
      <c r="A26" s="36"/>
      <c r="B26" s="36"/>
      <c r="C26" s="36"/>
      <c r="D26" s="36"/>
      <c r="E26" s="51"/>
      <c r="F26" s="51"/>
      <c r="G26" s="51"/>
      <c r="H26" s="51"/>
      <c r="I26" s="51"/>
      <c r="J26" s="51"/>
      <c r="K26" s="51"/>
      <c r="L26" s="51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1" ht="22" customHeight="1" spans="1:26">
      <c r="A27" s="36"/>
      <c r="B27" s="36"/>
      <c r="C27" s="36"/>
      <c r="D27" s="36"/>
      <c r="E27" s="52" t="s">
        <v>1190</v>
      </c>
      <c r="M27" s="36"/>
      <c r="N27" s="52" t="s">
        <v>1191</v>
      </c>
      <c r="V27" s="36"/>
      <c r="W27" s="36"/>
      <c r="X27" s="36"/>
      <c r="Y27" s="36"/>
      <c r="Z27" s="36"/>
    </row>
    <row r="28" customFormat="1" ht="22" customHeight="1" spans="1:26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1" ht="22" customHeight="1" spans="1:26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1" ht="22" customHeight="1" spans="1:26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1" ht="22" customHeight="1" spans="1:26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1" ht="22" customHeight="1" spans="1:26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1" ht="22" customHeight="1" spans="1:2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1" ht="22" customHeight="1" spans="1:26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1" ht="22" customHeight="1" spans="1:26">
      <c r="A35" s="63" t="s">
        <v>1192</v>
      </c>
    </row>
    <row r="36" customFormat="1" ht="22" customHeight="1"/>
    <row r="37" customFormat="1" ht="22" customHeight="1"/>
    <row r="38" customFormat="1" ht="22" customHeight="1"/>
    <row r="39" customFormat="1" ht="22" customHeight="1"/>
    <row r="40" customFormat="1" ht="22" customHeight="1"/>
    <row r="41" customFormat="1" ht="22" customHeight="1" spans="1:26">
      <c r="A41" s="64" t="s">
        <v>1193</v>
      </c>
    </row>
    <row r="42" customFormat="1" ht="22" customHeight="1" spans="1:26">
      <c r="A42" s="65" t="s">
        <v>1194</v>
      </c>
      <c r="C42" s="66">
        <f>'16_RECONCILIATION_CHECK'!C6</f>
        <v>414</v>
      </c>
      <c r="D42" s="67"/>
      <c r="E42" s="67"/>
      <c r="F42" s="68"/>
    </row>
    <row r="43" customFormat="1" ht="22" customHeight="1" spans="1:26">
      <c r="A43" s="65" t="s">
        <v>1195</v>
      </c>
      <c r="C43" s="66">
        <f>'16_RECONCILIATION_CHECK'!C8</f>
        <v>413</v>
      </c>
      <c r="D43" s="67"/>
      <c r="E43" s="67"/>
      <c r="F43" s="68"/>
    </row>
    <row r="44" customFormat="1" ht="22" customHeight="1" spans="1:26">
      <c r="A44" s="65" t="s">
        <v>1196</v>
      </c>
      <c r="C44" s="69">
        <f>'16_RECONCILIATION_CHECK'!C11</f>
        <v>0.997584541062802</v>
      </c>
      <c r="D44" s="67"/>
      <c r="E44" s="67"/>
      <c r="F44" s="68"/>
    </row>
    <row r="45" customFormat="1" ht="22" customHeight="1" spans="1:26">
      <c r="A45" s="65" t="s">
        <v>1197</v>
      </c>
      <c r="C45" s="66" t="str">
        <f>'16_RECONCILIATION_CHECK'!C13</f>
        <v>CHECK REQUIRED</v>
      </c>
      <c r="D45" s="67"/>
      <c r="E45" s="67"/>
      <c r="F45" s="68"/>
    </row>
    <row r="46" customFormat="1" ht="22" customHeight="1"/>
    <row r="47" customFormat="1" ht="22" customHeight="1"/>
    <row r="48" customFormat="1" ht="22" customHeight="1"/>
    <row r="49" customFormat="1" ht="22" customHeight="1"/>
  </sheetData>
  <mergeCells count="22">
    <mergeCell ref="A1:Z1"/>
    <mergeCell ref="A2:Z2"/>
    <mergeCell ref="A4:B4"/>
    <mergeCell ref="E4:L4"/>
    <mergeCell ref="N4:U4"/>
    <mergeCell ref="G5:K5"/>
    <mergeCell ref="P5:T5"/>
    <mergeCell ref="A12:C12"/>
    <mergeCell ref="E13:L13"/>
    <mergeCell ref="N13:U13"/>
    <mergeCell ref="E18:L18"/>
    <mergeCell ref="N18:U18"/>
    <mergeCell ref="G19:K19"/>
    <mergeCell ref="P19:T19"/>
    <mergeCell ref="E27:L27"/>
    <mergeCell ref="N27:U27"/>
    <mergeCell ref="A41:F41"/>
    <mergeCell ref="C42:F42"/>
    <mergeCell ref="C43:F43"/>
    <mergeCell ref="C44:F44"/>
    <mergeCell ref="C45:F45"/>
    <mergeCell ref="A35:Z39"/>
  </mergeCells>
  <conditionalFormatting sqref="C45:F45">
    <cfRule type="expression" dxfId="4" priority="1">
      <formula>$C$45="PASS"</formula>
    </cfRule>
    <cfRule type="expression" dxfId="5" priority="2">
      <formula>$C$45="CHECK REQUIRED"</formula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5"/>
  <sheetViews>
    <sheetView showGridLines="0" workbookViewId="0">
      <selection activeCell="A1" sqref="A1:J1"/>
    </sheetView>
  </sheetViews>
  <sheetFormatPr defaultColWidth="9" defaultRowHeight="14.5"/>
  <cols>
    <col min="1" max="1" width="14" customWidth="1"/>
    <col min="2" max="2" width="34" customWidth="1"/>
    <col min="3" max="4" width="18" customWidth="1"/>
    <col min="5" max="6" width="22" customWidth="1"/>
    <col min="7" max="7" width="24" customWidth="1"/>
    <col min="8" max="10" width="32" customWidth="1"/>
  </cols>
  <sheetData>
    <row r="1" ht="19.5" spans="1:26">
      <c r="A1" s="15" t="s">
        <v>1198</v>
      </c>
      <c r="Z1" s="16" t="s">
        <v>66</v>
      </c>
    </row>
    <row r="2" spans="1:26">
      <c r="A2" s="17" t="s">
        <v>1199</v>
      </c>
    </row>
    <row r="3" spans="1:26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26">
      <c r="A4" s="18"/>
      <c r="B4" s="19" t="s">
        <v>1200</v>
      </c>
      <c r="F4" s="18"/>
      <c r="G4" s="18"/>
      <c r="H4" s="18"/>
      <c r="I4" s="18"/>
      <c r="J4" s="18"/>
    </row>
    <row r="5" spans="1:26">
      <c r="A5" s="18"/>
      <c r="B5" s="20" t="s">
        <v>1201</v>
      </c>
      <c r="C5" s="21">
        <f>COUNTA('01_ASSET_INPUT_FULL'!A:A)-1</f>
        <v>414</v>
      </c>
      <c r="D5" s="22" t="s">
        <v>1202</v>
      </c>
      <c r="E5" s="11"/>
      <c r="F5" s="18"/>
      <c r="G5" s="18"/>
      <c r="H5" s="18"/>
      <c r="I5" s="18"/>
      <c r="J5" s="18"/>
    </row>
    <row r="6" spans="1:26">
      <c r="A6" s="18"/>
      <c r="B6" s="20" t="s">
        <v>1194</v>
      </c>
      <c r="C6" s="21">
        <f>COUNTA('08_GDE_RISK_ENGINE'!A:A)-1</f>
        <v>414</v>
      </c>
      <c r="D6" s="22" t="s">
        <v>1203</v>
      </c>
      <c r="E6" s="11"/>
      <c r="F6" s="18"/>
      <c r="G6" s="18"/>
      <c r="H6" s="18"/>
      <c r="I6" s="18"/>
      <c r="J6" s="18"/>
    </row>
    <row r="7" spans="1:26">
      <c r="A7" s="18"/>
      <c r="B7" s="20" t="s">
        <v>1204</v>
      </c>
      <c r="C7" s="21">
        <f>COUNTA('15_RISK_MATRIX_LINK_DATA'!A:A)-1</f>
        <v>1002</v>
      </c>
      <c r="D7" s="22" t="s">
        <v>1205</v>
      </c>
      <c r="E7" s="11"/>
      <c r="F7" s="18"/>
      <c r="G7" s="18"/>
      <c r="H7" s="18"/>
      <c r="I7" s="18"/>
      <c r="J7" s="18"/>
    </row>
    <row r="8" spans="1:26">
      <c r="A8" s="18"/>
      <c r="B8" s="20" t="s">
        <v>1195</v>
      </c>
      <c r="C8" s="21">
        <f>SUM('14_GDE_RISK_MATRIX_DASHBOARD'!G7:K11)</f>
        <v>413</v>
      </c>
      <c r="D8" s="22" t="s">
        <v>1206</v>
      </c>
      <c r="E8" s="11"/>
      <c r="F8" s="18"/>
      <c r="G8" s="18"/>
      <c r="H8" s="18"/>
      <c r="I8" s="18"/>
      <c r="J8" s="18"/>
    </row>
    <row r="9" spans="1:26">
      <c r="A9" s="18"/>
      <c r="B9" s="20" t="s">
        <v>1207</v>
      </c>
      <c r="C9" s="21">
        <f>SUM('14_GDE_RISK_MATRIX_DASHBOARD'!P7:T11)</f>
        <v>413</v>
      </c>
      <c r="D9" s="22" t="s">
        <v>1208</v>
      </c>
      <c r="E9" s="11"/>
      <c r="F9" s="18"/>
      <c r="G9" s="18"/>
      <c r="H9" s="18"/>
      <c r="I9" s="18"/>
      <c r="J9" s="18"/>
    </row>
    <row r="10" spans="1:26">
      <c r="A10" s="18"/>
      <c r="B10" s="20" t="s">
        <v>1209</v>
      </c>
      <c r="C10" s="21">
        <f>SUM('14_GDE_RISK_MATRIX_DASHBOARD'!G21:K25)</f>
        <v>413</v>
      </c>
      <c r="D10" s="22" t="s">
        <v>1210</v>
      </c>
      <c r="E10" s="11"/>
      <c r="F10" s="18"/>
      <c r="G10" s="18"/>
      <c r="H10" s="18"/>
      <c r="I10" s="18"/>
      <c r="J10" s="18"/>
    </row>
    <row r="11" ht="29" spans="1:26">
      <c r="A11" s="18"/>
      <c r="B11" s="20" t="s">
        <v>1211</v>
      </c>
      <c r="C11" s="23">
        <f>IFERROR(C8/C6,0)</f>
        <v>0.997584541062802</v>
      </c>
      <c r="D11" s="22" t="s">
        <v>1212</v>
      </c>
      <c r="E11" s="11"/>
      <c r="F11" s="18"/>
      <c r="G11" s="18"/>
      <c r="H11" s="18"/>
      <c r="I11" s="18"/>
      <c r="J11" s="18"/>
    </row>
    <row r="12" spans="1:26">
      <c r="A12" s="18"/>
      <c r="B12" s="20" t="s">
        <v>1213</v>
      </c>
      <c r="C12" s="23">
        <f>IFERROR(C7/C6,0)</f>
        <v>2.42028985507246</v>
      </c>
      <c r="D12" s="22" t="s">
        <v>1212</v>
      </c>
      <c r="E12" s="11"/>
      <c r="F12" s="18"/>
      <c r="G12" s="18"/>
      <c r="H12" s="18"/>
      <c r="I12" s="18"/>
      <c r="J12" s="18"/>
    </row>
    <row r="13" spans="1:26">
      <c r="A13" s="18"/>
      <c r="B13" s="20" t="s">
        <v>1214</v>
      </c>
      <c r="C13" s="24" t="str">
        <f>IF(AND(C5=C6,C6=C7,C7=C8,C8=C9,C9=C10),"PASS","CHECK REQUIRED")</f>
        <v>CHECK REQUIRED</v>
      </c>
      <c r="D13" s="22" t="s">
        <v>1215</v>
      </c>
      <c r="E13" s="11"/>
      <c r="F13" s="18"/>
      <c r="G13" s="18"/>
      <c r="H13" s="18"/>
      <c r="I13" s="18"/>
      <c r="J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26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26">
      <c r="A16" s="18"/>
      <c r="B16" s="25" t="s">
        <v>1216</v>
      </c>
    </row>
    <row r="17" spans="1:10">
      <c r="A17" s="18"/>
      <c r="B17" s="26" t="s">
        <v>1217</v>
      </c>
      <c r="C17" s="21">
        <f>COUNTBLANK('08_GDE_RISK_ENGINE'!E4:E10000)</f>
        <v>9584</v>
      </c>
      <c r="D17" s="22" t="s">
        <v>1218</v>
      </c>
      <c r="E17" s="11"/>
      <c r="F17" s="11"/>
      <c r="G17" s="11"/>
      <c r="H17" s="18"/>
      <c r="I17" s="18"/>
      <c r="J17" s="18"/>
    </row>
    <row r="18" spans="1:10">
      <c r="A18" s="18"/>
      <c r="B18" s="26" t="s">
        <v>1219</v>
      </c>
      <c r="C18" s="21">
        <f>COUNTBLANK('08_GDE_RISK_ENGINE'!F4:F10000)</f>
        <v>9584</v>
      </c>
      <c r="D18" s="22" t="s">
        <v>1218</v>
      </c>
      <c r="E18" s="11"/>
      <c r="F18" s="11"/>
      <c r="G18" s="11"/>
      <c r="H18" s="18"/>
      <c r="I18" s="18"/>
      <c r="J18" s="18"/>
    </row>
    <row r="19" spans="1:10">
      <c r="A19" s="18"/>
      <c r="B19" s="26" t="s">
        <v>1220</v>
      </c>
      <c r="C19" s="21">
        <f>COUNTIFS('08_GDE_RISK_ENGINE'!E:E,"&lt;1")+COUNTIFS('08_GDE_RISK_ENGINE'!E:E,"&gt;5")</f>
        <v>0</v>
      </c>
      <c r="D19" s="22" t="s">
        <v>1221</v>
      </c>
      <c r="E19" s="11"/>
      <c r="F19" s="11"/>
      <c r="G19" s="11"/>
      <c r="H19" s="18"/>
      <c r="I19" s="18"/>
      <c r="J19" s="18"/>
    </row>
    <row r="20" spans="1:10">
      <c r="A20" s="18"/>
      <c r="B20" s="26" t="s">
        <v>1222</v>
      </c>
      <c r="C20" s="21">
        <f>COUNTIFS('08_GDE_RISK_ENGINE'!F:F,"&lt;1")+COUNTIFS('08_GDE_RISK_ENGINE'!F:F,"&gt;5")</f>
        <v>0</v>
      </c>
      <c r="D20" s="22" t="s">
        <v>1221</v>
      </c>
      <c r="E20" s="11"/>
      <c r="F20" s="11"/>
      <c r="G20" s="11"/>
      <c r="H20" s="18"/>
      <c r="I20" s="18"/>
      <c r="J20" s="18"/>
    </row>
    <row r="21" spans="1:10">
      <c r="A21" s="18"/>
      <c r="B21" s="26" t="s">
        <v>1223</v>
      </c>
      <c r="C21" s="21">
        <f>COUNTBLANK('08_GDE_RISK_ENGINE'!G4:G10000)</f>
        <v>9584</v>
      </c>
      <c r="D21" s="22" t="s">
        <v>1218</v>
      </c>
      <c r="E21" s="11"/>
      <c r="F21" s="11"/>
      <c r="G21" s="11"/>
      <c r="H21" s="18"/>
      <c r="I21" s="18"/>
      <c r="J21" s="18"/>
    </row>
    <row r="22" spans="1:10">
      <c r="A22" s="18"/>
      <c r="B22" s="26" t="s">
        <v>1224</v>
      </c>
      <c r="C22" s="21">
        <f>SUMPRODUCT(('01_ASSET_INPUT_FULL'!A4:A10000&lt;&gt;"")*(COUNTIF('01_ASSET_INPUT_FULL'!A4:A10000,'01_ASSET_INPUT_FULL'!A4:A10000)&gt;1))</f>
        <v>0</v>
      </c>
      <c r="D22" s="22" t="s">
        <v>1221</v>
      </c>
      <c r="E22" s="11"/>
      <c r="F22" s="11"/>
      <c r="G22" s="11"/>
      <c r="H22" s="18"/>
      <c r="I22" s="18"/>
      <c r="J22" s="18"/>
    </row>
    <row r="23" spans="1:10">
      <c r="A23" s="18"/>
      <c r="B23" s="26" t="s">
        <v>1225</v>
      </c>
      <c r="C23" s="21">
        <f>SUMPRODUCT(('08_GDE_RISK_ENGINE'!A4:A10000&lt;&gt;"")*(COUNTIF('08_GDE_RISK_ENGINE'!A4:A10000,'08_GDE_RISK_ENGINE'!A4:A10000)&gt;1))</f>
        <v>0</v>
      </c>
      <c r="D23" s="22" t="s">
        <v>1221</v>
      </c>
      <c r="E23" s="11"/>
      <c r="F23" s="11"/>
      <c r="G23" s="11"/>
      <c r="H23" s="18"/>
      <c r="I23" s="18"/>
      <c r="J23" s="18"/>
    </row>
    <row r="24" spans="1:10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>
      <c r="A26" s="18"/>
      <c r="B26" s="19" t="s">
        <v>1226</v>
      </c>
    </row>
    <row r="27" ht="29" spans="1:10">
      <c r="A27" s="18"/>
      <c r="B27" s="19" t="s">
        <v>102</v>
      </c>
      <c r="C27" s="19" t="s">
        <v>1194</v>
      </c>
      <c r="D27" s="19" t="s">
        <v>1195</v>
      </c>
      <c r="E27" s="19" t="s">
        <v>1227</v>
      </c>
      <c r="F27" s="19" t="s">
        <v>185</v>
      </c>
      <c r="G27" s="18"/>
      <c r="H27" s="18"/>
      <c r="I27" s="18"/>
      <c r="J27" s="18"/>
    </row>
    <row r="28" spans="1:10">
      <c r="A28" s="18"/>
      <c r="B28" s="27" t="s">
        <v>199</v>
      </c>
      <c r="C28" s="22">
        <f>COUNTIF('08_GDE_RISK_ENGINE'!G:G,B28)</f>
        <v>23</v>
      </c>
      <c r="D28" s="22">
        <f>COUNTIF('15_RISK_MATRIX_LINK_DATA'!G:G,B28)</f>
        <v>23</v>
      </c>
      <c r="E28" s="22">
        <f>C28-D28</f>
        <v>0</v>
      </c>
      <c r="F28" s="22" t="str">
        <f>IF(E28=0,"PASS","CHECK")</f>
        <v>PASS</v>
      </c>
      <c r="G28" s="18"/>
      <c r="H28" s="18"/>
      <c r="I28" s="18"/>
      <c r="J28" s="18"/>
    </row>
    <row r="29" spans="1:10">
      <c r="A29" s="18"/>
      <c r="B29" s="28" t="s">
        <v>200</v>
      </c>
      <c r="C29" s="22">
        <f>COUNTIF('08_GDE_RISK_ENGINE'!G:G,B29)</f>
        <v>261</v>
      </c>
      <c r="D29" s="22">
        <f>COUNTIF('15_RISK_MATRIX_LINK_DATA'!G:G,B29)</f>
        <v>261</v>
      </c>
      <c r="E29" s="22">
        <f>C29-D29</f>
        <v>0</v>
      </c>
      <c r="F29" s="22" t="str">
        <f>IF(E29=0,"PASS","CHECK")</f>
        <v>PASS</v>
      </c>
      <c r="G29" s="18"/>
      <c r="H29" s="18"/>
      <c r="I29" s="18"/>
      <c r="J29" s="18"/>
    </row>
    <row r="30" spans="1:10">
      <c r="A30" s="18"/>
      <c r="B30" s="29" t="s">
        <v>202</v>
      </c>
      <c r="C30" s="22">
        <f>COUNTIF('08_GDE_RISK_ENGINE'!G:G,B30)</f>
        <v>70</v>
      </c>
      <c r="D30" s="22">
        <f>COUNTIF('15_RISK_MATRIX_LINK_DATA'!G:G,B30)</f>
        <v>70</v>
      </c>
      <c r="E30" s="22">
        <f>C30-D30</f>
        <v>0</v>
      </c>
      <c r="F30" s="22" t="str">
        <f>IF(E30=0,"PASS","CHECK")</f>
        <v>PASS</v>
      </c>
      <c r="G30" s="18"/>
      <c r="H30" s="18"/>
      <c r="I30" s="18"/>
      <c r="J30" s="18"/>
    </row>
    <row r="31" spans="1:10">
      <c r="A31" s="18"/>
      <c r="B31" s="30" t="s">
        <v>204</v>
      </c>
      <c r="C31" s="22">
        <f>COUNTIF('08_GDE_RISK_ENGINE'!G:G,B31)</f>
        <v>59</v>
      </c>
      <c r="D31" s="22">
        <f>COUNTIF('15_RISK_MATRIX_LINK_DATA'!G:G,B31)</f>
        <v>59</v>
      </c>
      <c r="E31" s="22">
        <f>C31-D31</f>
        <v>0</v>
      </c>
      <c r="F31" s="22" t="str">
        <f>IF(E31=0,"PASS","CHECK")</f>
        <v>PASS</v>
      </c>
      <c r="G31" s="18"/>
      <c r="H31" s="18"/>
      <c r="I31" s="18"/>
      <c r="J31" s="18"/>
    </row>
    <row r="32" spans="1:10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>
      <c r="A34" s="18"/>
      <c r="B34" s="31" t="s">
        <v>1228</v>
      </c>
    </row>
    <row r="35" spans="1:10">
      <c r="A35" s="32" t="s">
        <v>1061</v>
      </c>
      <c r="B35" s="32" t="s">
        <v>72</v>
      </c>
      <c r="C35" s="32" t="s">
        <v>1229</v>
      </c>
      <c r="D35" s="32" t="s">
        <v>1230</v>
      </c>
      <c r="E35" s="32" t="s">
        <v>1231</v>
      </c>
      <c r="F35" s="32" t="s">
        <v>212</v>
      </c>
      <c r="G35" s="32" t="s">
        <v>213</v>
      </c>
      <c r="H35" s="32" t="s">
        <v>214</v>
      </c>
      <c r="I35" s="32" t="s">
        <v>1232</v>
      </c>
      <c r="J35" s="8"/>
    </row>
    <row r="36" spans="1:10">
      <c r="A36" s="33">
        <v>1</v>
      </c>
      <c r="B36" s="33" t="str">
        <f>'01_ASSET_INPUT_FULL'!A4</f>
        <v>P2LBA11 BR001</v>
      </c>
      <c r="C36" s="33" t="str">
        <f>IF(B36="","",IF(COUNTIF('01_ASSET_INPUT_FULL'!A:A,B36)&gt;0,"YES","NO"))</f>
        <v>YES</v>
      </c>
      <c r="D36" s="33" t="str">
        <f>IF(B36="","",IF(COUNTIF('08_GDE_RISK_ENGINE'!A:A,B36)&gt;0,"YES","NO"))</f>
        <v>YES</v>
      </c>
      <c r="E36" s="33" t="str">
        <f>IF(B36="","",IF(COUNTIF('15_RISK_MATRIX_LINK_DATA'!A:A,B36)&gt;0,"YES","NO"))</f>
        <v>YES</v>
      </c>
      <c r="F36" s="33">
        <f>IFERROR(VLOOKUP(B36,'08_GDE_RISK_ENGINE'!A:G,5,FALSE),"")</f>
        <v>4</v>
      </c>
      <c r="G36" s="33">
        <f>IFERROR(VLOOKUP(B36,'08_GDE_RISK_ENGINE'!A:G,6,FALSE),"")</f>
        <v>5</v>
      </c>
      <c r="H36" s="33" t="str">
        <f>IFERROR(VLOOKUP(B36,'08_GDE_RISK_ENGINE'!A:G,7,FALSE),"")</f>
        <v>Extreme High</v>
      </c>
      <c r="I36" s="33" t="str">
        <f t="shared" ref="I36:I99" si="0">IF(B36="","",IF(AND(D36="YES",E36="YES",F36&lt;&gt;"",G36&lt;&gt;"",H36&lt;&gt;""),"OK","CHECK"))</f>
        <v>OK</v>
      </c>
      <c r="J36" s="8"/>
    </row>
    <row r="37" spans="1:10">
      <c r="A37" s="33">
        <v>2</v>
      </c>
      <c r="B37" s="33" t="str">
        <f>'01_ASSET_INPUT_FULL'!A5</f>
        <v>P2LBA11 BR501</v>
      </c>
      <c r="C37" s="33" t="str">
        <f>IF(B37="","",IF(COUNTIF('01_ASSET_INPUT_FULL'!A:A,B37)&gt;0,"YES","NO"))</f>
        <v>YES</v>
      </c>
      <c r="D37" s="33" t="str">
        <f>IF(B37="","",IF(COUNTIF('08_GDE_RISK_ENGINE'!A:A,B37)&gt;0,"YES","NO"))</f>
        <v>YES</v>
      </c>
      <c r="E37" s="33" t="str">
        <f>IF(B37="","",IF(COUNTIF('15_RISK_MATRIX_LINK_DATA'!A:A,B37)&gt;0,"YES","NO"))</f>
        <v>YES</v>
      </c>
      <c r="F37" s="33">
        <f>IFERROR(VLOOKUP(B37,'08_GDE_RISK_ENGINE'!A:G,5,FALSE),"")</f>
        <v>4</v>
      </c>
      <c r="G37" s="33">
        <f>IFERROR(VLOOKUP(B37,'08_GDE_RISK_ENGINE'!A:G,6,FALSE),"")</f>
        <v>5</v>
      </c>
      <c r="H37" s="33" t="str">
        <f>IFERROR(VLOOKUP(B37,'08_GDE_RISK_ENGINE'!A:G,7,FALSE),"")</f>
        <v>Extreme High</v>
      </c>
      <c r="I37" s="33" t="str">
        <f t="shared" si="0"/>
        <v>OK</v>
      </c>
      <c r="J37" s="8"/>
    </row>
    <row r="38" spans="1:10">
      <c r="A38" s="33">
        <v>3</v>
      </c>
      <c r="B38" s="33" t="str">
        <f>'01_ASSET_INPUT_FULL'!A6</f>
        <v>P2LBA11 BR011</v>
      </c>
      <c r="C38" s="33" t="str">
        <f>IF(B38="","",IF(COUNTIF('01_ASSET_INPUT_FULL'!A:A,B38)&gt;0,"YES","NO"))</f>
        <v>YES</v>
      </c>
      <c r="D38" s="33" t="str">
        <f>IF(B38="","",IF(COUNTIF('08_GDE_RISK_ENGINE'!A:A,B38)&gt;0,"YES","NO"))</f>
        <v>YES</v>
      </c>
      <c r="E38" s="33" t="str">
        <f>IF(B38="","",IF(COUNTIF('15_RISK_MATRIX_LINK_DATA'!A:A,B38)&gt;0,"YES","NO"))</f>
        <v>YES</v>
      </c>
      <c r="F38" s="33">
        <f>IFERROR(VLOOKUP(B38,'08_GDE_RISK_ENGINE'!A:G,5,FALSE),"")</f>
        <v>4</v>
      </c>
      <c r="G38" s="33">
        <f>IFERROR(VLOOKUP(B38,'08_GDE_RISK_ENGINE'!A:G,6,FALSE),"")</f>
        <v>5</v>
      </c>
      <c r="H38" s="33" t="str">
        <f>IFERROR(VLOOKUP(B38,'08_GDE_RISK_ENGINE'!A:G,7,FALSE),"")</f>
        <v>Extreme High</v>
      </c>
      <c r="I38" s="33" t="str">
        <f t="shared" si="0"/>
        <v>OK</v>
      </c>
      <c r="J38" s="8"/>
    </row>
    <row r="39" spans="1:10">
      <c r="A39" s="33">
        <v>4</v>
      </c>
      <c r="B39" s="33" t="str">
        <f>'01_ASSET_INPUT_FULL'!A7</f>
        <v>P2LBA11 BR003</v>
      </c>
      <c r="C39" s="33" t="str">
        <f>IF(B39="","",IF(COUNTIF('01_ASSET_INPUT_FULL'!A:A,B39)&gt;0,"YES","NO"))</f>
        <v>YES</v>
      </c>
      <c r="D39" s="33" t="str">
        <f>IF(B39="","",IF(COUNTIF('08_GDE_RISK_ENGINE'!A:A,B39)&gt;0,"YES","NO"))</f>
        <v>YES</v>
      </c>
      <c r="E39" s="33" t="str">
        <f>IF(B39="","",IF(COUNTIF('15_RISK_MATRIX_LINK_DATA'!A:A,B39)&gt;0,"YES","NO"))</f>
        <v>YES</v>
      </c>
      <c r="F39" s="33">
        <f>IFERROR(VLOOKUP(B39,'08_GDE_RISK_ENGINE'!A:G,5,FALSE),"")</f>
        <v>4</v>
      </c>
      <c r="G39" s="33">
        <f>IFERROR(VLOOKUP(B39,'08_GDE_RISK_ENGINE'!A:G,6,FALSE),"")</f>
        <v>5</v>
      </c>
      <c r="H39" s="33" t="str">
        <f>IFERROR(VLOOKUP(B39,'08_GDE_RISK_ENGINE'!A:G,7,FALSE),"")</f>
        <v>Extreme High</v>
      </c>
      <c r="I39" s="33" t="str">
        <f t="shared" si="0"/>
        <v>OK</v>
      </c>
      <c r="J39" s="8"/>
    </row>
    <row r="40" spans="1:10">
      <c r="A40" s="33">
        <v>5</v>
      </c>
      <c r="B40" s="33" t="str">
        <f>'01_ASSET_INPUT_FULL'!A8</f>
        <v>P2LBA11 BR010</v>
      </c>
      <c r="C40" s="33" t="str">
        <f>IF(B40="","",IF(COUNTIF('01_ASSET_INPUT_FULL'!A:A,B40)&gt;0,"YES","NO"))</f>
        <v>YES</v>
      </c>
      <c r="D40" s="33" t="str">
        <f>IF(B40="","",IF(COUNTIF('08_GDE_RISK_ENGINE'!A:A,B40)&gt;0,"YES","NO"))</f>
        <v>YES</v>
      </c>
      <c r="E40" s="33" t="str">
        <f>IF(B40="","",IF(COUNTIF('15_RISK_MATRIX_LINK_DATA'!A:A,B40)&gt;0,"YES","NO"))</f>
        <v>YES</v>
      </c>
      <c r="F40" s="33">
        <f>IFERROR(VLOOKUP(B40,'08_GDE_RISK_ENGINE'!A:G,5,FALSE),"")</f>
        <v>4</v>
      </c>
      <c r="G40" s="33">
        <f>IFERROR(VLOOKUP(B40,'08_GDE_RISK_ENGINE'!A:G,6,FALSE),"")</f>
        <v>5</v>
      </c>
      <c r="H40" s="33" t="str">
        <f>IFERROR(VLOOKUP(B40,'08_GDE_RISK_ENGINE'!A:G,7,FALSE),"")</f>
        <v>Extreme High</v>
      </c>
      <c r="I40" s="33" t="str">
        <f t="shared" si="0"/>
        <v>OK</v>
      </c>
      <c r="J40" s="8"/>
    </row>
    <row r="41" spans="1:10">
      <c r="A41" s="33">
        <v>6</v>
      </c>
      <c r="B41" s="33" t="str">
        <f>'01_ASSET_INPUT_FULL'!A9</f>
        <v>P2LBA11 BR301</v>
      </c>
      <c r="C41" s="33" t="str">
        <f>IF(B41="","",IF(COUNTIF('01_ASSET_INPUT_FULL'!A:A,B41)&gt;0,"YES","NO"))</f>
        <v>YES</v>
      </c>
      <c r="D41" s="33" t="str">
        <f>IF(B41="","",IF(COUNTIF('08_GDE_RISK_ENGINE'!A:A,B41)&gt;0,"YES","NO"))</f>
        <v>YES</v>
      </c>
      <c r="E41" s="33" t="str">
        <f>IF(B41="","",IF(COUNTIF('15_RISK_MATRIX_LINK_DATA'!A:A,B41)&gt;0,"YES","NO"))</f>
        <v>YES</v>
      </c>
      <c r="F41" s="33">
        <f>IFERROR(VLOOKUP(B41,'08_GDE_RISK_ENGINE'!A:G,5,FALSE),"")</f>
        <v>4</v>
      </c>
      <c r="G41" s="33">
        <f>IFERROR(VLOOKUP(B41,'08_GDE_RISK_ENGINE'!A:G,6,FALSE),"")</f>
        <v>5</v>
      </c>
      <c r="H41" s="33" t="str">
        <f>IFERROR(VLOOKUP(B41,'08_GDE_RISK_ENGINE'!A:G,7,FALSE),"")</f>
        <v>Extreme High</v>
      </c>
      <c r="I41" s="33" t="str">
        <f t="shared" si="0"/>
        <v>OK</v>
      </c>
      <c r="J41" s="8"/>
    </row>
    <row r="42" spans="1:10">
      <c r="A42" s="33">
        <v>7</v>
      </c>
      <c r="B42" s="33" t="str">
        <f>'01_ASSET_INPUT_FULL'!A10</f>
        <v>P2LBA12 BR001</v>
      </c>
      <c r="C42" s="33" t="str">
        <f>IF(B42="","",IF(COUNTIF('01_ASSET_INPUT_FULL'!A:A,B42)&gt;0,"YES","NO"))</f>
        <v>YES</v>
      </c>
      <c r="D42" s="33" t="str">
        <f>IF(B42="","",IF(COUNTIF('08_GDE_RISK_ENGINE'!A:A,B42)&gt;0,"YES","NO"))</f>
        <v>YES</v>
      </c>
      <c r="E42" s="33" t="str">
        <f>IF(B42="","",IF(COUNTIF('15_RISK_MATRIX_LINK_DATA'!A:A,B42)&gt;0,"YES","NO"))</f>
        <v>YES</v>
      </c>
      <c r="F42" s="33">
        <f>IFERROR(VLOOKUP(B42,'08_GDE_RISK_ENGINE'!A:G,5,FALSE),"")</f>
        <v>2</v>
      </c>
      <c r="G42" s="33">
        <f>IFERROR(VLOOKUP(B42,'08_GDE_RISK_ENGINE'!A:G,6,FALSE),"")</f>
        <v>5</v>
      </c>
      <c r="H42" s="33" t="str">
        <f>IFERROR(VLOOKUP(B42,'08_GDE_RISK_ENGINE'!A:G,7,FALSE),"")</f>
        <v>High</v>
      </c>
      <c r="I42" s="33" t="str">
        <f t="shared" si="0"/>
        <v>OK</v>
      </c>
      <c r="J42" s="8"/>
    </row>
    <row r="43" spans="1:10">
      <c r="A43" s="33">
        <v>8</v>
      </c>
      <c r="B43" s="33" t="str">
        <f>'01_ASSET_INPUT_FULL'!A11</f>
        <v>P2LBA12 BR501</v>
      </c>
      <c r="C43" s="33" t="str">
        <f>IF(B43="","",IF(COUNTIF('01_ASSET_INPUT_FULL'!A:A,B43)&gt;0,"YES","NO"))</f>
        <v>YES</v>
      </c>
      <c r="D43" s="33" t="str">
        <f>IF(B43="","",IF(COUNTIF('08_GDE_RISK_ENGINE'!A:A,B43)&gt;0,"YES","NO"))</f>
        <v>YES</v>
      </c>
      <c r="E43" s="33" t="str">
        <f>IF(B43="","",IF(COUNTIF('15_RISK_MATRIX_LINK_DATA'!A:A,B43)&gt;0,"YES","NO"))</f>
        <v>YES</v>
      </c>
      <c r="F43" s="33">
        <f>IFERROR(VLOOKUP(B43,'08_GDE_RISK_ENGINE'!A:G,5,FALSE),"")</f>
        <v>2</v>
      </c>
      <c r="G43" s="33">
        <f>IFERROR(VLOOKUP(B43,'08_GDE_RISK_ENGINE'!A:G,6,FALSE),"")</f>
        <v>5</v>
      </c>
      <c r="H43" s="33" t="str">
        <f>IFERROR(VLOOKUP(B43,'08_GDE_RISK_ENGINE'!A:G,7,FALSE),"")</f>
        <v>High</v>
      </c>
      <c r="I43" s="33" t="str">
        <f t="shared" si="0"/>
        <v>OK</v>
      </c>
      <c r="J43" s="8"/>
    </row>
    <row r="44" spans="1:10">
      <c r="A44" s="33">
        <v>9</v>
      </c>
      <c r="B44" s="33" t="str">
        <f>'01_ASSET_INPUT_FULL'!A12</f>
        <v>P2LBA12 BR011</v>
      </c>
      <c r="C44" s="33" t="str">
        <f>IF(B44="","",IF(COUNTIF('01_ASSET_INPUT_FULL'!A:A,B44)&gt;0,"YES","NO"))</f>
        <v>YES</v>
      </c>
      <c r="D44" s="33" t="str">
        <f>IF(B44="","",IF(COUNTIF('08_GDE_RISK_ENGINE'!A:A,B44)&gt;0,"YES","NO"))</f>
        <v>YES</v>
      </c>
      <c r="E44" s="33" t="str">
        <f>IF(B44="","",IF(COUNTIF('15_RISK_MATRIX_LINK_DATA'!A:A,B44)&gt;0,"YES","NO"))</f>
        <v>YES</v>
      </c>
      <c r="F44" s="33">
        <f>IFERROR(VLOOKUP(B44,'08_GDE_RISK_ENGINE'!A:G,5,FALSE),"")</f>
        <v>2</v>
      </c>
      <c r="G44" s="33">
        <f>IFERROR(VLOOKUP(B44,'08_GDE_RISK_ENGINE'!A:G,6,FALSE),"")</f>
        <v>5</v>
      </c>
      <c r="H44" s="33" t="str">
        <f>IFERROR(VLOOKUP(B44,'08_GDE_RISK_ENGINE'!A:G,7,FALSE),"")</f>
        <v>High</v>
      </c>
      <c r="I44" s="33" t="str">
        <f t="shared" si="0"/>
        <v>OK</v>
      </c>
      <c r="J44" s="8"/>
    </row>
    <row r="45" spans="1:10">
      <c r="A45" s="33">
        <v>10</v>
      </c>
      <c r="B45" s="33" t="str">
        <f>'01_ASSET_INPUT_FULL'!A13</f>
        <v>P2LBA12 BR003</v>
      </c>
      <c r="C45" s="33" t="str">
        <f>IF(B45="","",IF(COUNTIF('01_ASSET_INPUT_FULL'!A:A,B45)&gt;0,"YES","NO"))</f>
        <v>YES</v>
      </c>
      <c r="D45" s="33" t="str">
        <f>IF(B45="","",IF(COUNTIF('08_GDE_RISK_ENGINE'!A:A,B45)&gt;0,"YES","NO"))</f>
        <v>YES</v>
      </c>
      <c r="E45" s="33" t="str">
        <f>IF(B45="","",IF(COUNTIF('15_RISK_MATRIX_LINK_DATA'!A:A,B45)&gt;0,"YES","NO"))</f>
        <v>YES</v>
      </c>
      <c r="F45" s="33">
        <f>IFERROR(VLOOKUP(B45,'08_GDE_RISK_ENGINE'!A:G,5,FALSE),"")</f>
        <v>2</v>
      </c>
      <c r="G45" s="33">
        <f>IFERROR(VLOOKUP(B45,'08_GDE_RISK_ENGINE'!A:G,6,FALSE),"")</f>
        <v>5</v>
      </c>
      <c r="H45" s="33" t="str">
        <f>IFERROR(VLOOKUP(B45,'08_GDE_RISK_ENGINE'!A:G,7,FALSE),"")</f>
        <v>High</v>
      </c>
      <c r="I45" s="33" t="str">
        <f t="shared" si="0"/>
        <v>OK</v>
      </c>
      <c r="J45" s="8"/>
    </row>
    <row r="46" spans="1:10">
      <c r="A46" s="33">
        <v>11</v>
      </c>
      <c r="B46" s="33" t="str">
        <f>'01_ASSET_INPUT_FULL'!A14</f>
        <v>P2LBA12 BR010</v>
      </c>
      <c r="C46" s="33" t="str">
        <f>IF(B46="","",IF(COUNTIF('01_ASSET_INPUT_FULL'!A:A,B46)&gt;0,"YES","NO"))</f>
        <v>YES</v>
      </c>
      <c r="D46" s="33" t="str">
        <f>IF(B46="","",IF(COUNTIF('08_GDE_RISK_ENGINE'!A:A,B46)&gt;0,"YES","NO"))</f>
        <v>YES</v>
      </c>
      <c r="E46" s="33" t="str">
        <f>IF(B46="","",IF(COUNTIF('15_RISK_MATRIX_LINK_DATA'!A:A,B46)&gt;0,"YES","NO"))</f>
        <v>YES</v>
      </c>
      <c r="F46" s="33">
        <f>IFERROR(VLOOKUP(B46,'08_GDE_RISK_ENGINE'!A:G,5,FALSE),"")</f>
        <v>2</v>
      </c>
      <c r="G46" s="33">
        <f>IFERROR(VLOOKUP(B46,'08_GDE_RISK_ENGINE'!A:G,6,FALSE),"")</f>
        <v>5</v>
      </c>
      <c r="H46" s="33" t="str">
        <f>IFERROR(VLOOKUP(B46,'08_GDE_RISK_ENGINE'!A:G,7,FALSE),"")</f>
        <v>High</v>
      </c>
      <c r="I46" s="33" t="str">
        <f t="shared" si="0"/>
        <v>OK</v>
      </c>
      <c r="J46" s="8"/>
    </row>
    <row r="47" spans="1:10">
      <c r="A47" s="33">
        <v>12</v>
      </c>
      <c r="B47" s="33" t="str">
        <f>'01_ASSET_INPUT_FULL'!A15</f>
        <v>P2LBA12 BR301</v>
      </c>
      <c r="C47" s="33" t="str">
        <f>IF(B47="","",IF(COUNTIF('01_ASSET_INPUT_FULL'!A:A,B47)&gt;0,"YES","NO"))</f>
        <v>YES</v>
      </c>
      <c r="D47" s="33" t="str">
        <f>IF(B47="","",IF(COUNTIF('08_GDE_RISK_ENGINE'!A:A,B47)&gt;0,"YES","NO"))</f>
        <v>YES</v>
      </c>
      <c r="E47" s="33" t="str">
        <f>IF(B47="","",IF(COUNTIF('15_RISK_MATRIX_LINK_DATA'!A:A,B47)&gt;0,"YES","NO"))</f>
        <v>YES</v>
      </c>
      <c r="F47" s="33">
        <f>IFERROR(VLOOKUP(B47,'08_GDE_RISK_ENGINE'!A:G,5,FALSE),"")</f>
        <v>2</v>
      </c>
      <c r="G47" s="33">
        <f>IFERROR(VLOOKUP(B47,'08_GDE_RISK_ENGINE'!A:G,6,FALSE),"")</f>
        <v>5</v>
      </c>
      <c r="H47" s="33" t="str">
        <f>IFERROR(VLOOKUP(B47,'08_GDE_RISK_ENGINE'!A:G,7,FALSE),"")</f>
        <v>High</v>
      </c>
      <c r="I47" s="33" t="str">
        <f t="shared" si="0"/>
        <v>OK</v>
      </c>
      <c r="J47" s="8"/>
    </row>
    <row r="48" spans="1:10">
      <c r="A48" s="33">
        <v>13</v>
      </c>
      <c r="B48" s="33" t="str">
        <f>'01_ASSET_INPUT_FULL'!A16</f>
        <v>P2LBA13 BR001</v>
      </c>
      <c r="C48" s="33" t="str">
        <f>IF(B48="","",IF(COUNTIF('01_ASSET_INPUT_FULL'!A:A,B48)&gt;0,"YES","NO"))</f>
        <v>YES</v>
      </c>
      <c r="D48" s="33" t="str">
        <f>IF(B48="","",IF(COUNTIF('08_GDE_RISK_ENGINE'!A:A,B48)&gt;0,"YES","NO"))</f>
        <v>YES</v>
      </c>
      <c r="E48" s="33" t="str">
        <f>IF(B48="","",IF(COUNTIF('15_RISK_MATRIX_LINK_DATA'!A:A,B48)&gt;0,"YES","NO"))</f>
        <v>YES</v>
      </c>
      <c r="F48" s="33">
        <f>IFERROR(VLOOKUP(B48,'08_GDE_RISK_ENGINE'!A:G,5,FALSE),"")</f>
        <v>2</v>
      </c>
      <c r="G48" s="33">
        <f>IFERROR(VLOOKUP(B48,'08_GDE_RISK_ENGINE'!A:G,6,FALSE),"")</f>
        <v>5</v>
      </c>
      <c r="H48" s="33" t="str">
        <f>IFERROR(VLOOKUP(B48,'08_GDE_RISK_ENGINE'!A:G,7,FALSE),"")</f>
        <v>High</v>
      </c>
      <c r="I48" s="33" t="str">
        <f t="shared" si="0"/>
        <v>OK</v>
      </c>
      <c r="J48" s="8"/>
    </row>
    <row r="49" spans="1:10">
      <c r="A49" s="33">
        <v>14</v>
      </c>
      <c r="B49" s="33" t="str">
        <f>'01_ASSET_INPUT_FULL'!A17</f>
        <v>P2LBA13 BR501</v>
      </c>
      <c r="C49" s="33" t="str">
        <f>IF(B49="","",IF(COUNTIF('01_ASSET_INPUT_FULL'!A:A,B49)&gt;0,"YES","NO"))</f>
        <v>YES</v>
      </c>
      <c r="D49" s="33" t="str">
        <f>IF(B49="","",IF(COUNTIF('08_GDE_RISK_ENGINE'!A:A,B49)&gt;0,"YES","NO"))</f>
        <v>YES</v>
      </c>
      <c r="E49" s="33" t="str">
        <f>IF(B49="","",IF(COUNTIF('15_RISK_MATRIX_LINK_DATA'!A:A,B49)&gt;0,"YES","NO"))</f>
        <v>YES</v>
      </c>
      <c r="F49" s="33">
        <f>IFERROR(VLOOKUP(B49,'08_GDE_RISK_ENGINE'!A:G,5,FALSE),"")</f>
        <v>2</v>
      </c>
      <c r="G49" s="33">
        <f>IFERROR(VLOOKUP(B49,'08_GDE_RISK_ENGINE'!A:G,6,FALSE),"")</f>
        <v>5</v>
      </c>
      <c r="H49" s="33" t="str">
        <f>IFERROR(VLOOKUP(B49,'08_GDE_RISK_ENGINE'!A:G,7,FALSE),"")</f>
        <v>High</v>
      </c>
      <c r="I49" s="33" t="str">
        <f t="shared" si="0"/>
        <v>OK</v>
      </c>
      <c r="J49" s="8"/>
    </row>
    <row r="50" spans="1:10">
      <c r="A50" s="33">
        <v>15</v>
      </c>
      <c r="B50" s="33" t="str">
        <f>'01_ASSET_INPUT_FULL'!A18</f>
        <v>P2LBA13 BR011</v>
      </c>
      <c r="C50" s="33" t="str">
        <f>IF(B50="","",IF(COUNTIF('01_ASSET_INPUT_FULL'!A:A,B50)&gt;0,"YES","NO"))</f>
        <v>YES</v>
      </c>
      <c r="D50" s="33" t="str">
        <f>IF(B50="","",IF(COUNTIF('08_GDE_RISK_ENGINE'!A:A,B50)&gt;0,"YES","NO"))</f>
        <v>YES</v>
      </c>
      <c r="E50" s="33" t="str">
        <f>IF(B50="","",IF(COUNTIF('15_RISK_MATRIX_LINK_DATA'!A:A,B50)&gt;0,"YES","NO"))</f>
        <v>YES</v>
      </c>
      <c r="F50" s="33">
        <f>IFERROR(VLOOKUP(B50,'08_GDE_RISK_ENGINE'!A:G,5,FALSE),"")</f>
        <v>2</v>
      </c>
      <c r="G50" s="33">
        <f>IFERROR(VLOOKUP(B50,'08_GDE_RISK_ENGINE'!A:G,6,FALSE),"")</f>
        <v>5</v>
      </c>
      <c r="H50" s="33" t="str">
        <f>IFERROR(VLOOKUP(B50,'08_GDE_RISK_ENGINE'!A:G,7,FALSE),"")</f>
        <v>High</v>
      </c>
      <c r="I50" s="33" t="str">
        <f t="shared" si="0"/>
        <v>OK</v>
      </c>
      <c r="J50" s="8"/>
    </row>
    <row r="51" spans="1:10">
      <c r="A51" s="33">
        <v>16</v>
      </c>
      <c r="B51" s="33" t="str">
        <f>'01_ASSET_INPUT_FULL'!A19</f>
        <v>P2LBA13 BR003</v>
      </c>
      <c r="C51" s="33" t="str">
        <f>IF(B51="","",IF(COUNTIF('01_ASSET_INPUT_FULL'!A:A,B51)&gt;0,"YES","NO"))</f>
        <v>YES</v>
      </c>
      <c r="D51" s="33" t="str">
        <f>IF(B51="","",IF(COUNTIF('08_GDE_RISK_ENGINE'!A:A,B51)&gt;0,"YES","NO"))</f>
        <v>YES</v>
      </c>
      <c r="E51" s="33" t="str">
        <f>IF(B51="","",IF(COUNTIF('15_RISK_MATRIX_LINK_DATA'!A:A,B51)&gt;0,"YES","NO"))</f>
        <v>YES</v>
      </c>
      <c r="F51" s="33">
        <f>IFERROR(VLOOKUP(B51,'08_GDE_RISK_ENGINE'!A:G,5,FALSE),"")</f>
        <v>2</v>
      </c>
      <c r="G51" s="33">
        <f>IFERROR(VLOOKUP(B51,'08_GDE_RISK_ENGINE'!A:G,6,FALSE),"")</f>
        <v>5</v>
      </c>
      <c r="H51" s="33" t="str">
        <f>IFERROR(VLOOKUP(B51,'08_GDE_RISK_ENGINE'!A:G,7,FALSE),"")</f>
        <v>High</v>
      </c>
      <c r="I51" s="33" t="str">
        <f t="shared" si="0"/>
        <v>OK</v>
      </c>
      <c r="J51" s="8"/>
    </row>
    <row r="52" spans="1:10">
      <c r="A52" s="33">
        <v>17</v>
      </c>
      <c r="B52" s="33" t="str">
        <f>'01_ASSET_INPUT_FULL'!A20</f>
        <v>P2LBA13 BR010</v>
      </c>
      <c r="C52" s="33" t="str">
        <f>IF(B52="","",IF(COUNTIF('01_ASSET_INPUT_FULL'!A:A,B52)&gt;0,"YES","NO"))</f>
        <v>YES</v>
      </c>
      <c r="D52" s="33" t="str">
        <f>IF(B52="","",IF(COUNTIF('08_GDE_RISK_ENGINE'!A:A,B52)&gt;0,"YES","NO"))</f>
        <v>YES</v>
      </c>
      <c r="E52" s="33" t="str">
        <f>IF(B52="","",IF(COUNTIF('15_RISK_MATRIX_LINK_DATA'!A:A,B52)&gt;0,"YES","NO"))</f>
        <v>YES</v>
      </c>
      <c r="F52" s="33">
        <f>IFERROR(VLOOKUP(B52,'08_GDE_RISK_ENGINE'!A:G,5,FALSE),"")</f>
        <v>2</v>
      </c>
      <c r="G52" s="33">
        <f>IFERROR(VLOOKUP(B52,'08_GDE_RISK_ENGINE'!A:G,6,FALSE),"")</f>
        <v>5</v>
      </c>
      <c r="H52" s="33" t="str">
        <f>IFERROR(VLOOKUP(B52,'08_GDE_RISK_ENGINE'!A:G,7,FALSE),"")</f>
        <v>High</v>
      </c>
      <c r="I52" s="33" t="str">
        <f t="shared" si="0"/>
        <v>OK</v>
      </c>
      <c r="J52" s="8"/>
    </row>
    <row r="53" spans="1:10">
      <c r="A53" s="33">
        <v>18</v>
      </c>
      <c r="B53" s="33" t="str">
        <f>'01_ASSET_INPUT_FULL'!A21</f>
        <v>P2LBA13 BR301</v>
      </c>
      <c r="C53" s="33" t="str">
        <f>IF(B53="","",IF(COUNTIF('01_ASSET_INPUT_FULL'!A:A,B53)&gt;0,"YES","NO"))</f>
        <v>YES</v>
      </c>
      <c r="D53" s="33" t="str">
        <f>IF(B53="","",IF(COUNTIF('08_GDE_RISK_ENGINE'!A:A,B53)&gt;0,"YES","NO"))</f>
        <v>YES</v>
      </c>
      <c r="E53" s="33" t="str">
        <f>IF(B53="","",IF(COUNTIF('15_RISK_MATRIX_LINK_DATA'!A:A,B53)&gt;0,"YES","NO"))</f>
        <v>YES</v>
      </c>
      <c r="F53" s="33">
        <f>IFERROR(VLOOKUP(B53,'08_GDE_RISK_ENGINE'!A:G,5,FALSE),"")</f>
        <v>2</v>
      </c>
      <c r="G53" s="33">
        <f>IFERROR(VLOOKUP(B53,'08_GDE_RISK_ENGINE'!A:G,6,FALSE),"")</f>
        <v>5</v>
      </c>
      <c r="H53" s="33" t="str">
        <f>IFERROR(VLOOKUP(B53,'08_GDE_RISK_ENGINE'!A:G,7,FALSE),"")</f>
        <v>High</v>
      </c>
      <c r="I53" s="33" t="str">
        <f t="shared" si="0"/>
        <v>OK</v>
      </c>
      <c r="J53" s="8"/>
    </row>
    <row r="54" spans="1:10">
      <c r="A54" s="33">
        <v>19</v>
      </c>
      <c r="B54" s="33" t="str">
        <f>'01_ASSET_INPUT_FULL'!A22</f>
        <v>P2LBA10 BR002</v>
      </c>
      <c r="C54" s="33" t="str">
        <f>IF(B54="","",IF(COUNTIF('01_ASSET_INPUT_FULL'!A:A,B54)&gt;0,"YES","NO"))</f>
        <v>YES</v>
      </c>
      <c r="D54" s="33" t="str">
        <f>IF(B54="","",IF(COUNTIF('08_GDE_RISK_ENGINE'!A:A,B54)&gt;0,"YES","NO"))</f>
        <v>YES</v>
      </c>
      <c r="E54" s="33" t="str">
        <f>IF(B54="","",IF(COUNTIF('15_RISK_MATRIX_LINK_DATA'!A:A,B54)&gt;0,"YES","NO"))</f>
        <v>YES</v>
      </c>
      <c r="F54" s="33">
        <f>IFERROR(VLOOKUP(B54,'08_GDE_RISK_ENGINE'!A:G,5,FALSE),"")</f>
        <v>2</v>
      </c>
      <c r="G54" s="33">
        <f>IFERROR(VLOOKUP(B54,'08_GDE_RISK_ENGINE'!A:G,6,FALSE),"")</f>
        <v>5</v>
      </c>
      <c r="H54" s="33" t="str">
        <f>IFERROR(VLOOKUP(B54,'08_GDE_RISK_ENGINE'!A:G,7,FALSE),"")</f>
        <v>High</v>
      </c>
      <c r="I54" s="33" t="str">
        <f t="shared" si="0"/>
        <v>OK</v>
      </c>
      <c r="J54" s="8"/>
    </row>
    <row r="55" spans="1:10">
      <c r="A55" s="33">
        <v>20</v>
      </c>
      <c r="B55" s="33" t="str">
        <f>'01_ASSET_INPUT_FULL'!A23</f>
        <v>P2LBA14 BR001</v>
      </c>
      <c r="C55" s="33" t="str">
        <f>IF(B55="","",IF(COUNTIF('01_ASSET_INPUT_FULL'!A:A,B55)&gt;0,"YES","NO"))</f>
        <v>YES</v>
      </c>
      <c r="D55" s="33" t="str">
        <f>IF(B55="","",IF(COUNTIF('08_GDE_RISK_ENGINE'!A:A,B55)&gt;0,"YES","NO"))</f>
        <v>YES</v>
      </c>
      <c r="E55" s="33" t="str">
        <f>IF(B55="","",IF(COUNTIF('15_RISK_MATRIX_LINK_DATA'!A:A,B55)&gt;0,"YES","NO"))</f>
        <v>YES</v>
      </c>
      <c r="F55" s="33">
        <f>IFERROR(VLOOKUP(B55,'08_GDE_RISK_ENGINE'!A:G,5,FALSE),"")</f>
        <v>2</v>
      </c>
      <c r="G55" s="33">
        <f>IFERROR(VLOOKUP(B55,'08_GDE_RISK_ENGINE'!A:G,6,FALSE),"")</f>
        <v>5</v>
      </c>
      <c r="H55" s="33" t="str">
        <f>IFERROR(VLOOKUP(B55,'08_GDE_RISK_ENGINE'!A:G,7,FALSE),"")</f>
        <v>High</v>
      </c>
      <c r="I55" s="33" t="str">
        <f t="shared" si="0"/>
        <v>OK</v>
      </c>
      <c r="J55" s="8"/>
    </row>
    <row r="56" spans="1:10">
      <c r="A56" s="33">
        <v>21</v>
      </c>
      <c r="B56" s="33" t="str">
        <f>'01_ASSET_INPUT_FULL'!A24</f>
        <v>P2LBA14 BR501</v>
      </c>
      <c r="C56" s="33" t="str">
        <f>IF(B56="","",IF(COUNTIF('01_ASSET_INPUT_FULL'!A:A,B56)&gt;0,"YES","NO"))</f>
        <v>YES</v>
      </c>
      <c r="D56" s="33" t="str">
        <f>IF(B56="","",IF(COUNTIF('08_GDE_RISK_ENGINE'!A:A,B56)&gt;0,"YES","NO"))</f>
        <v>YES</v>
      </c>
      <c r="E56" s="33" t="str">
        <f>IF(B56="","",IF(COUNTIF('15_RISK_MATRIX_LINK_DATA'!A:A,B56)&gt;0,"YES","NO"))</f>
        <v>YES</v>
      </c>
      <c r="F56" s="33">
        <f>IFERROR(VLOOKUP(B56,'08_GDE_RISK_ENGINE'!A:G,5,FALSE),"")</f>
        <v>2</v>
      </c>
      <c r="G56" s="33">
        <f>IFERROR(VLOOKUP(B56,'08_GDE_RISK_ENGINE'!A:G,6,FALSE),"")</f>
        <v>5</v>
      </c>
      <c r="H56" s="33" t="str">
        <f>IFERROR(VLOOKUP(B56,'08_GDE_RISK_ENGINE'!A:G,7,FALSE),"")</f>
        <v>High</v>
      </c>
      <c r="I56" s="33" t="str">
        <f t="shared" si="0"/>
        <v>OK</v>
      </c>
      <c r="J56" s="8"/>
    </row>
    <row r="57" spans="1:10">
      <c r="A57" s="33">
        <v>22</v>
      </c>
      <c r="B57" s="33" t="str">
        <f>'01_ASSET_INPUT_FULL'!A25</f>
        <v>P2LBA14 BR003</v>
      </c>
      <c r="C57" s="33" t="str">
        <f>IF(B57="","",IF(COUNTIF('01_ASSET_INPUT_FULL'!A:A,B57)&gt;0,"YES","NO"))</f>
        <v>YES</v>
      </c>
      <c r="D57" s="33" t="str">
        <f>IF(B57="","",IF(COUNTIF('08_GDE_RISK_ENGINE'!A:A,B57)&gt;0,"YES","NO"))</f>
        <v>YES</v>
      </c>
      <c r="E57" s="33" t="str">
        <f>IF(B57="","",IF(COUNTIF('15_RISK_MATRIX_LINK_DATA'!A:A,B57)&gt;0,"YES","NO"))</f>
        <v>YES</v>
      </c>
      <c r="F57" s="33">
        <f>IFERROR(VLOOKUP(B57,'08_GDE_RISK_ENGINE'!A:G,5,FALSE),"")</f>
        <v>2</v>
      </c>
      <c r="G57" s="33">
        <f>IFERROR(VLOOKUP(B57,'08_GDE_RISK_ENGINE'!A:G,6,FALSE),"")</f>
        <v>5</v>
      </c>
      <c r="H57" s="33" t="str">
        <f>IFERROR(VLOOKUP(B57,'08_GDE_RISK_ENGINE'!A:G,7,FALSE),"")</f>
        <v>High</v>
      </c>
      <c r="I57" s="33" t="str">
        <f t="shared" si="0"/>
        <v>OK</v>
      </c>
      <c r="J57" s="8"/>
    </row>
    <row r="58" spans="1:10">
      <c r="A58" s="33">
        <v>23</v>
      </c>
      <c r="B58" s="33" t="str">
        <f>'01_ASSET_INPUT_FULL'!A26</f>
        <v>P2LBA14 BR011</v>
      </c>
      <c r="C58" s="33" t="str">
        <f>IF(B58="","",IF(COUNTIF('01_ASSET_INPUT_FULL'!A:A,B58)&gt;0,"YES","NO"))</f>
        <v>YES</v>
      </c>
      <c r="D58" s="33" t="str">
        <f>IF(B58="","",IF(COUNTIF('08_GDE_RISK_ENGINE'!A:A,B58)&gt;0,"YES","NO"))</f>
        <v>YES</v>
      </c>
      <c r="E58" s="33" t="str">
        <f>IF(B58="","",IF(COUNTIF('15_RISK_MATRIX_LINK_DATA'!A:A,B58)&gt;0,"YES","NO"))</f>
        <v>YES</v>
      </c>
      <c r="F58" s="33">
        <f>IFERROR(VLOOKUP(B58,'08_GDE_RISK_ENGINE'!A:G,5,FALSE),"")</f>
        <v>2</v>
      </c>
      <c r="G58" s="33">
        <f>IFERROR(VLOOKUP(B58,'08_GDE_RISK_ENGINE'!A:G,6,FALSE),"")</f>
        <v>5</v>
      </c>
      <c r="H58" s="33" t="str">
        <f>IFERROR(VLOOKUP(B58,'08_GDE_RISK_ENGINE'!A:G,7,FALSE),"")</f>
        <v>High</v>
      </c>
      <c r="I58" s="33" t="str">
        <f t="shared" si="0"/>
        <v>OK</v>
      </c>
      <c r="J58" s="8"/>
    </row>
    <row r="59" spans="1:10">
      <c r="A59" s="33">
        <v>24</v>
      </c>
      <c r="B59" s="33" t="str">
        <f>'01_ASSET_INPUT_FULL'!A27</f>
        <v>P2LBA14 BR010</v>
      </c>
      <c r="C59" s="33" t="str">
        <f>IF(B59="","",IF(COUNTIF('01_ASSET_INPUT_FULL'!A:A,B59)&gt;0,"YES","NO"))</f>
        <v>YES</v>
      </c>
      <c r="D59" s="33" t="str">
        <f>IF(B59="","",IF(COUNTIF('08_GDE_RISK_ENGINE'!A:A,B59)&gt;0,"YES","NO"))</f>
        <v>YES</v>
      </c>
      <c r="E59" s="33" t="str">
        <f>IF(B59="","",IF(COUNTIF('15_RISK_MATRIX_LINK_DATA'!A:A,B59)&gt;0,"YES","NO"))</f>
        <v>YES</v>
      </c>
      <c r="F59" s="33">
        <f>IFERROR(VLOOKUP(B59,'08_GDE_RISK_ENGINE'!A:G,5,FALSE),"")</f>
        <v>2</v>
      </c>
      <c r="G59" s="33">
        <f>IFERROR(VLOOKUP(B59,'08_GDE_RISK_ENGINE'!A:G,6,FALSE),"")</f>
        <v>5</v>
      </c>
      <c r="H59" s="33" t="str">
        <f>IFERROR(VLOOKUP(B59,'08_GDE_RISK_ENGINE'!A:G,7,FALSE),"")</f>
        <v>High</v>
      </c>
      <c r="I59" s="33" t="str">
        <f t="shared" si="0"/>
        <v>OK</v>
      </c>
      <c r="J59" s="8"/>
    </row>
    <row r="60" spans="1:10">
      <c r="A60" s="33">
        <v>25</v>
      </c>
      <c r="B60" s="33" t="str">
        <f>'01_ASSET_INPUT_FULL'!A28</f>
        <v>P2LBA14 BR301</v>
      </c>
      <c r="C60" s="33" t="str">
        <f>IF(B60="","",IF(COUNTIF('01_ASSET_INPUT_FULL'!A:A,B60)&gt;0,"YES","NO"))</f>
        <v>YES</v>
      </c>
      <c r="D60" s="33" t="str">
        <f>IF(B60="","",IF(COUNTIF('08_GDE_RISK_ENGINE'!A:A,B60)&gt;0,"YES","NO"))</f>
        <v>YES</v>
      </c>
      <c r="E60" s="33" t="str">
        <f>IF(B60="","",IF(COUNTIF('15_RISK_MATRIX_LINK_DATA'!A:A,B60)&gt;0,"YES","NO"))</f>
        <v>YES</v>
      </c>
      <c r="F60" s="33">
        <f>IFERROR(VLOOKUP(B60,'08_GDE_RISK_ENGINE'!A:G,5,FALSE),"")</f>
        <v>2</v>
      </c>
      <c r="G60" s="33">
        <f>IFERROR(VLOOKUP(B60,'08_GDE_RISK_ENGINE'!A:G,6,FALSE),"")</f>
        <v>5</v>
      </c>
      <c r="H60" s="33" t="str">
        <f>IFERROR(VLOOKUP(B60,'08_GDE_RISK_ENGINE'!A:G,7,FALSE),"")</f>
        <v>High</v>
      </c>
      <c r="I60" s="33" t="str">
        <f t="shared" si="0"/>
        <v>OK</v>
      </c>
      <c r="J60" s="8"/>
    </row>
    <row r="61" spans="1:10">
      <c r="A61" s="33">
        <v>26</v>
      </c>
      <c r="B61" s="33" t="str">
        <f>'01_ASSET_INPUT_FULL'!A29</f>
        <v>P2LBA21 BR001</v>
      </c>
      <c r="C61" s="33" t="str">
        <f>IF(B61="","",IF(COUNTIF('01_ASSET_INPUT_FULL'!A:A,B61)&gt;0,"YES","NO"))</f>
        <v>YES</v>
      </c>
      <c r="D61" s="33" t="str">
        <f>IF(B61="","",IF(COUNTIF('08_GDE_RISK_ENGINE'!A:A,B61)&gt;0,"YES","NO"))</f>
        <v>YES</v>
      </c>
      <c r="E61" s="33" t="str">
        <f>IF(B61="","",IF(COUNTIF('15_RISK_MATRIX_LINK_DATA'!A:A,B61)&gt;0,"YES","NO"))</f>
        <v>YES</v>
      </c>
      <c r="F61" s="33">
        <f>IFERROR(VLOOKUP(B61,'08_GDE_RISK_ENGINE'!A:G,5,FALSE),"")</f>
        <v>2</v>
      </c>
      <c r="G61" s="33">
        <f>IFERROR(VLOOKUP(B61,'08_GDE_RISK_ENGINE'!A:G,6,FALSE),"")</f>
        <v>5</v>
      </c>
      <c r="H61" s="33" t="str">
        <f>IFERROR(VLOOKUP(B61,'08_GDE_RISK_ENGINE'!A:G,7,FALSE),"")</f>
        <v>High</v>
      </c>
      <c r="I61" s="33" t="str">
        <f t="shared" si="0"/>
        <v>OK</v>
      </c>
      <c r="J61" s="8"/>
    </row>
    <row r="62" spans="1:10">
      <c r="A62" s="33">
        <v>27</v>
      </c>
      <c r="B62" s="33" t="str">
        <f>'01_ASSET_INPUT_FULL'!A30</f>
        <v>P2LBA21 BR501</v>
      </c>
      <c r="C62" s="33" t="str">
        <f>IF(B62="","",IF(COUNTIF('01_ASSET_INPUT_FULL'!A:A,B62)&gt;0,"YES","NO"))</f>
        <v>YES</v>
      </c>
      <c r="D62" s="33" t="str">
        <f>IF(B62="","",IF(COUNTIF('08_GDE_RISK_ENGINE'!A:A,B62)&gt;0,"YES","NO"))</f>
        <v>YES</v>
      </c>
      <c r="E62" s="33" t="str">
        <f>IF(B62="","",IF(COUNTIF('15_RISK_MATRIX_LINK_DATA'!A:A,B62)&gt;0,"YES","NO"))</f>
        <v>YES</v>
      </c>
      <c r="F62" s="33">
        <f>IFERROR(VLOOKUP(B62,'08_GDE_RISK_ENGINE'!A:G,5,FALSE),"")</f>
        <v>2</v>
      </c>
      <c r="G62" s="33">
        <f>IFERROR(VLOOKUP(B62,'08_GDE_RISK_ENGINE'!A:G,6,FALSE),"")</f>
        <v>5</v>
      </c>
      <c r="H62" s="33" t="str">
        <f>IFERROR(VLOOKUP(B62,'08_GDE_RISK_ENGINE'!A:G,7,FALSE),"")</f>
        <v>High</v>
      </c>
      <c r="I62" s="33" t="str">
        <f t="shared" si="0"/>
        <v>OK</v>
      </c>
      <c r="J62" s="8"/>
    </row>
    <row r="63" spans="1:10">
      <c r="A63" s="33">
        <v>28</v>
      </c>
      <c r="B63" s="33" t="str">
        <f>'01_ASSET_INPUT_FULL'!A31</f>
        <v>P2LBA21 BR010</v>
      </c>
      <c r="C63" s="33" t="str">
        <f>IF(B63="","",IF(COUNTIF('01_ASSET_INPUT_FULL'!A:A,B63)&gt;0,"YES","NO"))</f>
        <v>YES</v>
      </c>
      <c r="D63" s="33" t="str">
        <f>IF(B63="","",IF(COUNTIF('08_GDE_RISK_ENGINE'!A:A,B63)&gt;0,"YES","NO"))</f>
        <v>YES</v>
      </c>
      <c r="E63" s="33" t="str">
        <f>IF(B63="","",IF(COUNTIF('15_RISK_MATRIX_LINK_DATA'!A:A,B63)&gt;0,"YES","NO"))</f>
        <v>YES</v>
      </c>
      <c r="F63" s="33">
        <f>IFERROR(VLOOKUP(B63,'08_GDE_RISK_ENGINE'!A:G,5,FALSE),"")</f>
        <v>2</v>
      </c>
      <c r="G63" s="33">
        <f>IFERROR(VLOOKUP(B63,'08_GDE_RISK_ENGINE'!A:G,6,FALSE),"")</f>
        <v>5</v>
      </c>
      <c r="H63" s="33" t="str">
        <f>IFERROR(VLOOKUP(B63,'08_GDE_RISK_ENGINE'!A:G,7,FALSE),"")</f>
        <v>High</v>
      </c>
      <c r="I63" s="33" t="str">
        <f t="shared" si="0"/>
        <v>OK</v>
      </c>
      <c r="J63" s="8"/>
    </row>
    <row r="64" spans="1:10">
      <c r="A64" s="33">
        <v>29</v>
      </c>
      <c r="B64" s="33" t="str">
        <f>'01_ASSET_INPUT_FULL'!A32</f>
        <v>P2LBA21 BR301</v>
      </c>
      <c r="C64" s="33" t="str">
        <f>IF(B64="","",IF(COUNTIF('01_ASSET_INPUT_FULL'!A:A,B64)&gt;0,"YES","NO"))</f>
        <v>YES</v>
      </c>
      <c r="D64" s="33" t="str">
        <f>IF(B64="","",IF(COUNTIF('08_GDE_RISK_ENGINE'!A:A,B64)&gt;0,"YES","NO"))</f>
        <v>YES</v>
      </c>
      <c r="E64" s="33" t="str">
        <f>IF(B64="","",IF(COUNTIF('15_RISK_MATRIX_LINK_DATA'!A:A,B64)&gt;0,"YES","NO"))</f>
        <v>YES</v>
      </c>
      <c r="F64" s="33">
        <f>IFERROR(VLOOKUP(B64,'08_GDE_RISK_ENGINE'!A:G,5,FALSE),"")</f>
        <v>2</v>
      </c>
      <c r="G64" s="33">
        <f>IFERROR(VLOOKUP(B64,'08_GDE_RISK_ENGINE'!A:G,6,FALSE),"")</f>
        <v>5</v>
      </c>
      <c r="H64" s="33" t="str">
        <f>IFERROR(VLOOKUP(B64,'08_GDE_RISK_ENGINE'!A:G,7,FALSE),"")</f>
        <v>High</v>
      </c>
      <c r="I64" s="33" t="str">
        <f t="shared" si="0"/>
        <v>OK</v>
      </c>
      <c r="J64" s="8"/>
    </row>
    <row r="65" spans="1:10">
      <c r="A65" s="33">
        <v>30</v>
      </c>
      <c r="B65" s="33" t="str">
        <f>'01_ASSET_INPUT_FULL'!A33</f>
        <v>P2LBA22 BR001</v>
      </c>
      <c r="C65" s="33" t="str">
        <f>IF(B65="","",IF(COUNTIF('01_ASSET_INPUT_FULL'!A:A,B65)&gt;0,"YES","NO"))</f>
        <v>YES</v>
      </c>
      <c r="D65" s="33" t="str">
        <f>IF(B65="","",IF(COUNTIF('08_GDE_RISK_ENGINE'!A:A,B65)&gt;0,"YES","NO"))</f>
        <v>YES</v>
      </c>
      <c r="E65" s="33" t="str">
        <f>IF(B65="","",IF(COUNTIF('15_RISK_MATRIX_LINK_DATA'!A:A,B65)&gt;0,"YES","NO"))</f>
        <v>YES</v>
      </c>
      <c r="F65" s="33">
        <f>IFERROR(VLOOKUP(B65,'08_GDE_RISK_ENGINE'!A:G,5,FALSE),"")</f>
        <v>2</v>
      </c>
      <c r="G65" s="33">
        <f>IFERROR(VLOOKUP(B65,'08_GDE_RISK_ENGINE'!A:G,6,FALSE),"")</f>
        <v>5</v>
      </c>
      <c r="H65" s="33" t="str">
        <f>IFERROR(VLOOKUP(B65,'08_GDE_RISK_ENGINE'!A:G,7,FALSE),"")</f>
        <v>High</v>
      </c>
      <c r="I65" s="33" t="str">
        <f t="shared" si="0"/>
        <v>OK</v>
      </c>
      <c r="J65" s="8"/>
    </row>
    <row r="66" spans="1:10">
      <c r="A66" s="33">
        <v>31</v>
      </c>
      <c r="B66" s="33" t="str">
        <f>'01_ASSET_INPUT_FULL'!A34</f>
        <v>P2LBA22 BR501</v>
      </c>
      <c r="C66" s="33" t="str">
        <f>IF(B66="","",IF(COUNTIF('01_ASSET_INPUT_FULL'!A:A,B66)&gt;0,"YES","NO"))</f>
        <v>YES</v>
      </c>
      <c r="D66" s="33" t="str">
        <f>IF(B66="","",IF(COUNTIF('08_GDE_RISK_ENGINE'!A:A,B66)&gt;0,"YES","NO"))</f>
        <v>YES</v>
      </c>
      <c r="E66" s="33" t="str">
        <f>IF(B66="","",IF(COUNTIF('15_RISK_MATRIX_LINK_DATA'!A:A,B66)&gt;0,"YES","NO"))</f>
        <v>YES</v>
      </c>
      <c r="F66" s="33">
        <f>IFERROR(VLOOKUP(B66,'08_GDE_RISK_ENGINE'!A:G,5,FALSE),"")</f>
        <v>2</v>
      </c>
      <c r="G66" s="33">
        <f>IFERROR(VLOOKUP(B66,'08_GDE_RISK_ENGINE'!A:G,6,FALSE),"")</f>
        <v>5</v>
      </c>
      <c r="H66" s="33" t="str">
        <f>IFERROR(VLOOKUP(B66,'08_GDE_RISK_ENGINE'!A:G,7,FALSE),"")</f>
        <v>High</v>
      </c>
      <c r="I66" s="33" t="str">
        <f t="shared" si="0"/>
        <v>OK</v>
      </c>
      <c r="J66" s="8"/>
    </row>
    <row r="67" spans="1:10">
      <c r="A67" s="33">
        <v>32</v>
      </c>
      <c r="B67" s="33" t="str">
        <f>'01_ASSET_INPUT_FULL'!A35</f>
        <v>P2LBA22 BR011</v>
      </c>
      <c r="C67" s="33" t="str">
        <f>IF(B67="","",IF(COUNTIF('01_ASSET_INPUT_FULL'!A:A,B67)&gt;0,"YES","NO"))</f>
        <v>YES</v>
      </c>
      <c r="D67" s="33" t="str">
        <f>IF(B67="","",IF(COUNTIF('08_GDE_RISK_ENGINE'!A:A,B67)&gt;0,"YES","NO"))</f>
        <v>YES</v>
      </c>
      <c r="E67" s="33" t="str">
        <f>IF(B67="","",IF(COUNTIF('15_RISK_MATRIX_LINK_DATA'!A:A,B67)&gt;0,"YES","NO"))</f>
        <v>YES</v>
      </c>
      <c r="F67" s="33">
        <f>IFERROR(VLOOKUP(B67,'08_GDE_RISK_ENGINE'!A:G,5,FALSE),"")</f>
        <v>2</v>
      </c>
      <c r="G67" s="33">
        <f>IFERROR(VLOOKUP(B67,'08_GDE_RISK_ENGINE'!A:G,6,FALSE),"")</f>
        <v>5</v>
      </c>
      <c r="H67" s="33" t="str">
        <f>IFERROR(VLOOKUP(B67,'08_GDE_RISK_ENGINE'!A:G,7,FALSE),"")</f>
        <v>High</v>
      </c>
      <c r="I67" s="33" t="str">
        <f t="shared" si="0"/>
        <v>OK</v>
      </c>
      <c r="J67" s="8"/>
    </row>
    <row r="68" spans="1:10">
      <c r="A68" s="33">
        <v>33</v>
      </c>
      <c r="B68" s="33" t="str">
        <f>'01_ASSET_INPUT_FULL'!A36</f>
        <v>P2LBA22 BR010</v>
      </c>
      <c r="C68" s="33" t="str">
        <f>IF(B68="","",IF(COUNTIF('01_ASSET_INPUT_FULL'!A:A,B68)&gt;0,"YES","NO"))</f>
        <v>YES</v>
      </c>
      <c r="D68" s="33" t="str">
        <f>IF(B68="","",IF(COUNTIF('08_GDE_RISK_ENGINE'!A:A,B68)&gt;0,"YES","NO"))</f>
        <v>YES</v>
      </c>
      <c r="E68" s="33" t="str">
        <f>IF(B68="","",IF(COUNTIF('15_RISK_MATRIX_LINK_DATA'!A:A,B68)&gt;0,"YES","NO"))</f>
        <v>YES</v>
      </c>
      <c r="F68" s="33">
        <f>IFERROR(VLOOKUP(B68,'08_GDE_RISK_ENGINE'!A:G,5,FALSE),"")</f>
        <v>2</v>
      </c>
      <c r="G68" s="33">
        <f>IFERROR(VLOOKUP(B68,'08_GDE_RISK_ENGINE'!A:G,6,FALSE),"")</f>
        <v>5</v>
      </c>
      <c r="H68" s="33" t="str">
        <f>IFERROR(VLOOKUP(B68,'08_GDE_RISK_ENGINE'!A:G,7,FALSE),"")</f>
        <v>High</v>
      </c>
      <c r="I68" s="33" t="str">
        <f t="shared" si="0"/>
        <v>OK</v>
      </c>
      <c r="J68" s="8"/>
    </row>
    <row r="69" spans="1:10">
      <c r="A69" s="33">
        <v>34</v>
      </c>
      <c r="B69" s="33" t="str">
        <f>'01_ASSET_INPUT_FULL'!A37</f>
        <v>P2LBA22 BR301</v>
      </c>
      <c r="C69" s="33" t="str">
        <f>IF(B69="","",IF(COUNTIF('01_ASSET_INPUT_FULL'!A:A,B69)&gt;0,"YES","NO"))</f>
        <v>YES</v>
      </c>
      <c r="D69" s="33" t="str">
        <f>IF(B69="","",IF(COUNTIF('08_GDE_RISK_ENGINE'!A:A,B69)&gt;0,"YES","NO"))</f>
        <v>YES</v>
      </c>
      <c r="E69" s="33" t="str">
        <f>IF(B69="","",IF(COUNTIF('15_RISK_MATRIX_LINK_DATA'!A:A,B69)&gt;0,"YES","NO"))</f>
        <v>YES</v>
      </c>
      <c r="F69" s="33">
        <f>IFERROR(VLOOKUP(B69,'08_GDE_RISK_ENGINE'!A:G,5,FALSE),"")</f>
        <v>2</v>
      </c>
      <c r="G69" s="33">
        <f>IFERROR(VLOOKUP(B69,'08_GDE_RISK_ENGINE'!A:G,6,FALSE),"")</f>
        <v>5</v>
      </c>
      <c r="H69" s="33" t="str">
        <f>IFERROR(VLOOKUP(B69,'08_GDE_RISK_ENGINE'!A:G,7,FALSE),"")</f>
        <v>High</v>
      </c>
      <c r="I69" s="33" t="str">
        <f t="shared" si="0"/>
        <v>OK</v>
      </c>
      <c r="J69" s="8"/>
    </row>
    <row r="70" spans="1:10">
      <c r="A70" s="33">
        <v>35</v>
      </c>
      <c r="B70" s="33" t="str">
        <f>'01_ASSET_INPUT_FULL'!A38</f>
        <v>P2LBA25 BR001</v>
      </c>
      <c r="C70" s="33" t="str">
        <f>IF(B70="","",IF(COUNTIF('01_ASSET_INPUT_FULL'!A:A,B70)&gt;0,"YES","NO"))</f>
        <v>YES</v>
      </c>
      <c r="D70" s="33" t="str">
        <f>IF(B70="","",IF(COUNTIF('08_GDE_RISK_ENGINE'!A:A,B70)&gt;0,"YES","NO"))</f>
        <v>YES</v>
      </c>
      <c r="E70" s="33" t="str">
        <f>IF(B70="","",IF(COUNTIF('15_RISK_MATRIX_LINK_DATA'!A:A,B70)&gt;0,"YES","NO"))</f>
        <v>YES</v>
      </c>
      <c r="F70" s="33">
        <f>IFERROR(VLOOKUP(B70,'08_GDE_RISK_ENGINE'!A:G,5,FALSE),"")</f>
        <v>2</v>
      </c>
      <c r="G70" s="33">
        <f>IFERROR(VLOOKUP(B70,'08_GDE_RISK_ENGINE'!A:G,6,FALSE),"")</f>
        <v>5</v>
      </c>
      <c r="H70" s="33" t="str">
        <f>IFERROR(VLOOKUP(B70,'08_GDE_RISK_ENGINE'!A:G,7,FALSE),"")</f>
        <v>High</v>
      </c>
      <c r="I70" s="33" t="str">
        <f t="shared" si="0"/>
        <v>OK</v>
      </c>
      <c r="J70" s="8"/>
    </row>
    <row r="71" spans="1:10">
      <c r="A71" s="33">
        <v>36</v>
      </c>
      <c r="B71" s="33" t="str">
        <f>'01_ASSET_INPUT_FULL'!A39</f>
        <v>P2LBA25 BR501</v>
      </c>
      <c r="C71" s="33" t="str">
        <f>IF(B71="","",IF(COUNTIF('01_ASSET_INPUT_FULL'!A:A,B71)&gt;0,"YES","NO"))</f>
        <v>YES</v>
      </c>
      <c r="D71" s="33" t="str">
        <f>IF(B71="","",IF(COUNTIF('08_GDE_RISK_ENGINE'!A:A,B71)&gt;0,"YES","NO"))</f>
        <v>YES</v>
      </c>
      <c r="E71" s="33" t="str">
        <f>IF(B71="","",IF(COUNTIF('15_RISK_MATRIX_LINK_DATA'!A:A,B71)&gt;0,"YES","NO"))</f>
        <v>YES</v>
      </c>
      <c r="F71" s="33">
        <f>IFERROR(VLOOKUP(B71,'08_GDE_RISK_ENGINE'!A:G,5,FALSE),"")</f>
        <v>2</v>
      </c>
      <c r="G71" s="33">
        <f>IFERROR(VLOOKUP(B71,'08_GDE_RISK_ENGINE'!A:G,6,FALSE),"")</f>
        <v>5</v>
      </c>
      <c r="H71" s="33" t="str">
        <f>IFERROR(VLOOKUP(B71,'08_GDE_RISK_ENGINE'!A:G,7,FALSE),"")</f>
        <v>High</v>
      </c>
      <c r="I71" s="33" t="str">
        <f t="shared" si="0"/>
        <v>OK</v>
      </c>
      <c r="J71" s="8"/>
    </row>
    <row r="72" spans="1:10">
      <c r="A72" s="33">
        <v>37</v>
      </c>
      <c r="B72" s="33" t="str">
        <f>'01_ASSET_INPUT_FULL'!A40</f>
        <v>P2LBA25 BR003</v>
      </c>
      <c r="C72" s="33" t="str">
        <f>IF(B72="","",IF(COUNTIF('01_ASSET_INPUT_FULL'!A:A,B72)&gt;0,"YES","NO"))</f>
        <v>YES</v>
      </c>
      <c r="D72" s="33" t="str">
        <f>IF(B72="","",IF(COUNTIF('08_GDE_RISK_ENGINE'!A:A,B72)&gt;0,"YES","NO"))</f>
        <v>YES</v>
      </c>
      <c r="E72" s="33" t="str">
        <f>IF(B72="","",IF(COUNTIF('15_RISK_MATRIX_LINK_DATA'!A:A,B72)&gt;0,"YES","NO"))</f>
        <v>YES</v>
      </c>
      <c r="F72" s="33">
        <f>IFERROR(VLOOKUP(B72,'08_GDE_RISK_ENGINE'!A:G,5,FALSE),"")</f>
        <v>2</v>
      </c>
      <c r="G72" s="33">
        <f>IFERROR(VLOOKUP(B72,'08_GDE_RISK_ENGINE'!A:G,6,FALSE),"")</f>
        <v>5</v>
      </c>
      <c r="H72" s="33" t="str">
        <f>IFERROR(VLOOKUP(B72,'08_GDE_RISK_ENGINE'!A:G,7,FALSE),"")</f>
        <v>High</v>
      </c>
      <c r="I72" s="33" t="str">
        <f t="shared" si="0"/>
        <v>OK</v>
      </c>
      <c r="J72" s="8"/>
    </row>
    <row r="73" spans="1:10">
      <c r="A73" s="33">
        <v>38</v>
      </c>
      <c r="B73" s="33" t="str">
        <f>'01_ASSET_INPUT_FULL'!A41</f>
        <v>P2LBA25 BR011</v>
      </c>
      <c r="C73" s="33" t="str">
        <f>IF(B73="","",IF(COUNTIF('01_ASSET_INPUT_FULL'!A:A,B73)&gt;0,"YES","NO"))</f>
        <v>YES</v>
      </c>
      <c r="D73" s="33" t="str">
        <f>IF(B73="","",IF(COUNTIF('08_GDE_RISK_ENGINE'!A:A,B73)&gt;0,"YES","NO"))</f>
        <v>YES</v>
      </c>
      <c r="E73" s="33" t="str">
        <f>IF(B73="","",IF(COUNTIF('15_RISK_MATRIX_LINK_DATA'!A:A,B73)&gt;0,"YES","NO"))</f>
        <v>YES</v>
      </c>
      <c r="F73" s="33">
        <f>IFERROR(VLOOKUP(B73,'08_GDE_RISK_ENGINE'!A:G,5,FALSE),"")</f>
        <v>2</v>
      </c>
      <c r="G73" s="33">
        <f>IFERROR(VLOOKUP(B73,'08_GDE_RISK_ENGINE'!A:G,6,FALSE),"")</f>
        <v>5</v>
      </c>
      <c r="H73" s="33" t="str">
        <f>IFERROR(VLOOKUP(B73,'08_GDE_RISK_ENGINE'!A:G,7,FALSE),"")</f>
        <v>High</v>
      </c>
      <c r="I73" s="33" t="str">
        <f t="shared" si="0"/>
        <v>OK</v>
      </c>
      <c r="J73" s="8"/>
    </row>
    <row r="74" spans="1:10">
      <c r="A74" s="33">
        <v>39</v>
      </c>
      <c r="B74" s="33" t="str">
        <f>'01_ASSET_INPUT_FULL'!A42</f>
        <v>P2LBA25 BR010</v>
      </c>
      <c r="C74" s="33" t="str">
        <f>IF(B74="","",IF(COUNTIF('01_ASSET_INPUT_FULL'!A:A,B74)&gt;0,"YES","NO"))</f>
        <v>YES</v>
      </c>
      <c r="D74" s="33" t="str">
        <f>IF(B74="","",IF(COUNTIF('08_GDE_RISK_ENGINE'!A:A,B74)&gt;0,"YES","NO"))</f>
        <v>YES</v>
      </c>
      <c r="E74" s="33" t="str">
        <f>IF(B74="","",IF(COUNTIF('15_RISK_MATRIX_LINK_DATA'!A:A,B74)&gt;0,"YES","NO"))</f>
        <v>YES</v>
      </c>
      <c r="F74" s="33">
        <f>IFERROR(VLOOKUP(B74,'08_GDE_RISK_ENGINE'!A:G,5,FALSE),"")</f>
        <v>2</v>
      </c>
      <c r="G74" s="33">
        <f>IFERROR(VLOOKUP(B74,'08_GDE_RISK_ENGINE'!A:G,6,FALSE),"")</f>
        <v>5</v>
      </c>
      <c r="H74" s="33" t="str">
        <f>IFERROR(VLOOKUP(B74,'08_GDE_RISK_ENGINE'!A:G,7,FALSE),"")</f>
        <v>High</v>
      </c>
      <c r="I74" s="33" t="str">
        <f t="shared" si="0"/>
        <v>OK</v>
      </c>
      <c r="J74" s="8"/>
    </row>
    <row r="75" spans="1:10">
      <c r="A75" s="33">
        <v>40</v>
      </c>
      <c r="B75" s="33" t="str">
        <f>'01_ASSET_INPUT_FULL'!A43</f>
        <v>P2LBA25 BR301</v>
      </c>
      <c r="C75" s="33" t="str">
        <f>IF(B75="","",IF(COUNTIF('01_ASSET_INPUT_FULL'!A:A,B75)&gt;0,"YES","NO"))</f>
        <v>YES</v>
      </c>
      <c r="D75" s="33" t="str">
        <f>IF(B75="","",IF(COUNTIF('08_GDE_RISK_ENGINE'!A:A,B75)&gt;0,"YES","NO"))</f>
        <v>YES</v>
      </c>
      <c r="E75" s="33" t="str">
        <f>IF(B75="","",IF(COUNTIF('15_RISK_MATRIX_LINK_DATA'!A:A,B75)&gt;0,"YES","NO"))</f>
        <v>YES</v>
      </c>
      <c r="F75" s="33">
        <f>IFERROR(VLOOKUP(B75,'08_GDE_RISK_ENGINE'!A:G,5,FALSE),"")</f>
        <v>2</v>
      </c>
      <c r="G75" s="33">
        <f>IFERROR(VLOOKUP(B75,'08_GDE_RISK_ENGINE'!A:G,6,FALSE),"")</f>
        <v>5</v>
      </c>
      <c r="H75" s="33" t="str">
        <f>IFERROR(VLOOKUP(B75,'08_GDE_RISK_ENGINE'!A:G,7,FALSE),"")</f>
        <v>High</v>
      </c>
      <c r="I75" s="33" t="str">
        <f t="shared" si="0"/>
        <v>OK</v>
      </c>
      <c r="J75" s="8"/>
    </row>
    <row r="76" spans="1:10">
      <c r="A76" s="33">
        <v>41</v>
      </c>
      <c r="B76" s="33" t="str">
        <f>'01_ASSET_INPUT_FULL'!A44</f>
        <v>P2LBA26 BR001</v>
      </c>
      <c r="C76" s="33" t="str">
        <f>IF(B76="","",IF(COUNTIF('01_ASSET_INPUT_FULL'!A:A,B76)&gt;0,"YES","NO"))</f>
        <v>YES</v>
      </c>
      <c r="D76" s="33" t="str">
        <f>IF(B76="","",IF(COUNTIF('08_GDE_RISK_ENGINE'!A:A,B76)&gt;0,"YES","NO"))</f>
        <v>YES</v>
      </c>
      <c r="E76" s="33" t="str">
        <f>IF(B76="","",IF(COUNTIF('15_RISK_MATRIX_LINK_DATA'!A:A,B76)&gt;0,"YES","NO"))</f>
        <v>YES</v>
      </c>
      <c r="F76" s="33">
        <f>IFERROR(VLOOKUP(B76,'08_GDE_RISK_ENGINE'!A:G,5,FALSE),"")</f>
        <v>4</v>
      </c>
      <c r="G76" s="33">
        <f>IFERROR(VLOOKUP(B76,'08_GDE_RISK_ENGINE'!A:G,6,FALSE),"")</f>
        <v>5</v>
      </c>
      <c r="H76" s="33" t="str">
        <f>IFERROR(VLOOKUP(B76,'08_GDE_RISK_ENGINE'!A:G,7,FALSE),"")</f>
        <v>Extreme High</v>
      </c>
      <c r="I76" s="33" t="str">
        <f t="shared" si="0"/>
        <v>OK</v>
      </c>
      <c r="J76" s="8"/>
    </row>
    <row r="77" spans="1:10">
      <c r="A77" s="33">
        <v>42</v>
      </c>
      <c r="B77" s="33" t="str">
        <f>'01_ASSET_INPUT_FULL'!A45</f>
        <v>P2LBA26 BR501</v>
      </c>
      <c r="C77" s="33" t="str">
        <f>IF(B77="","",IF(COUNTIF('01_ASSET_INPUT_FULL'!A:A,B77)&gt;0,"YES","NO"))</f>
        <v>YES</v>
      </c>
      <c r="D77" s="33" t="str">
        <f>IF(B77="","",IF(COUNTIF('08_GDE_RISK_ENGINE'!A:A,B77)&gt;0,"YES","NO"))</f>
        <v>YES</v>
      </c>
      <c r="E77" s="33" t="str">
        <f>IF(B77="","",IF(COUNTIF('15_RISK_MATRIX_LINK_DATA'!A:A,B77)&gt;0,"YES","NO"))</f>
        <v>YES</v>
      </c>
      <c r="F77" s="33">
        <f>IFERROR(VLOOKUP(B77,'08_GDE_RISK_ENGINE'!A:G,5,FALSE),"")</f>
        <v>4</v>
      </c>
      <c r="G77" s="33">
        <f>IFERROR(VLOOKUP(B77,'08_GDE_RISK_ENGINE'!A:G,6,FALSE),"")</f>
        <v>5</v>
      </c>
      <c r="H77" s="33" t="str">
        <f>IFERROR(VLOOKUP(B77,'08_GDE_RISK_ENGINE'!A:G,7,FALSE),"")</f>
        <v>Extreme High</v>
      </c>
      <c r="I77" s="33" t="str">
        <f t="shared" si="0"/>
        <v>OK</v>
      </c>
      <c r="J77" s="8"/>
    </row>
    <row r="78" spans="1:10">
      <c r="A78" s="33">
        <v>43</v>
      </c>
      <c r="B78" s="33" t="str">
        <f>'01_ASSET_INPUT_FULL'!A46</f>
        <v>P2LBA26 BR003</v>
      </c>
      <c r="C78" s="33" t="str">
        <f>IF(B78="","",IF(COUNTIF('01_ASSET_INPUT_FULL'!A:A,B78)&gt;0,"YES","NO"))</f>
        <v>YES</v>
      </c>
      <c r="D78" s="33" t="str">
        <f>IF(B78="","",IF(COUNTIF('08_GDE_RISK_ENGINE'!A:A,B78)&gt;0,"YES","NO"))</f>
        <v>YES</v>
      </c>
      <c r="E78" s="33" t="str">
        <f>IF(B78="","",IF(COUNTIF('15_RISK_MATRIX_LINK_DATA'!A:A,B78)&gt;0,"YES","NO"))</f>
        <v>YES</v>
      </c>
      <c r="F78" s="33">
        <f>IFERROR(VLOOKUP(B78,'08_GDE_RISK_ENGINE'!A:G,5,FALSE),"")</f>
        <v>4</v>
      </c>
      <c r="G78" s="33">
        <f>IFERROR(VLOOKUP(B78,'08_GDE_RISK_ENGINE'!A:G,6,FALSE),"")</f>
        <v>5</v>
      </c>
      <c r="H78" s="33" t="str">
        <f>IFERROR(VLOOKUP(B78,'08_GDE_RISK_ENGINE'!A:G,7,FALSE),"")</f>
        <v>Extreme High</v>
      </c>
      <c r="I78" s="33" t="str">
        <f t="shared" si="0"/>
        <v>OK</v>
      </c>
      <c r="J78" s="8"/>
    </row>
    <row r="79" spans="1:10">
      <c r="A79" s="33">
        <v>44</v>
      </c>
      <c r="B79" s="33" t="str">
        <f>'01_ASSET_INPUT_FULL'!A47</f>
        <v>P2LBA26 BR011</v>
      </c>
      <c r="C79" s="33" t="str">
        <f>IF(B79="","",IF(COUNTIF('01_ASSET_INPUT_FULL'!A:A,B79)&gt;0,"YES","NO"))</f>
        <v>YES</v>
      </c>
      <c r="D79" s="33" t="str">
        <f>IF(B79="","",IF(COUNTIF('08_GDE_RISK_ENGINE'!A:A,B79)&gt;0,"YES","NO"))</f>
        <v>YES</v>
      </c>
      <c r="E79" s="33" t="str">
        <f>IF(B79="","",IF(COUNTIF('15_RISK_MATRIX_LINK_DATA'!A:A,B79)&gt;0,"YES","NO"))</f>
        <v>YES</v>
      </c>
      <c r="F79" s="33">
        <f>IFERROR(VLOOKUP(B79,'08_GDE_RISK_ENGINE'!A:G,5,FALSE),"")</f>
        <v>4</v>
      </c>
      <c r="G79" s="33">
        <f>IFERROR(VLOOKUP(B79,'08_GDE_RISK_ENGINE'!A:G,6,FALSE),"")</f>
        <v>5</v>
      </c>
      <c r="H79" s="33" t="str">
        <f>IFERROR(VLOOKUP(B79,'08_GDE_RISK_ENGINE'!A:G,7,FALSE),"")</f>
        <v>Extreme High</v>
      </c>
      <c r="I79" s="33" t="str">
        <f t="shared" si="0"/>
        <v>OK</v>
      </c>
      <c r="J79" s="8"/>
    </row>
    <row r="80" spans="1:10">
      <c r="A80" s="33">
        <v>45</v>
      </c>
      <c r="B80" s="33" t="str">
        <f>'01_ASSET_INPUT_FULL'!A48</f>
        <v>P2LBA26 BR010</v>
      </c>
      <c r="C80" s="33" t="str">
        <f>IF(B80="","",IF(COUNTIF('01_ASSET_INPUT_FULL'!A:A,B80)&gt;0,"YES","NO"))</f>
        <v>YES</v>
      </c>
      <c r="D80" s="33" t="str">
        <f>IF(B80="","",IF(COUNTIF('08_GDE_RISK_ENGINE'!A:A,B80)&gt;0,"YES","NO"))</f>
        <v>YES</v>
      </c>
      <c r="E80" s="33" t="str">
        <f>IF(B80="","",IF(COUNTIF('15_RISK_MATRIX_LINK_DATA'!A:A,B80)&gt;0,"YES","NO"))</f>
        <v>YES</v>
      </c>
      <c r="F80" s="33">
        <f>IFERROR(VLOOKUP(B80,'08_GDE_RISK_ENGINE'!A:G,5,FALSE),"")</f>
        <v>4</v>
      </c>
      <c r="G80" s="33">
        <f>IFERROR(VLOOKUP(B80,'08_GDE_RISK_ENGINE'!A:G,6,FALSE),"")</f>
        <v>5</v>
      </c>
      <c r="H80" s="33" t="str">
        <f>IFERROR(VLOOKUP(B80,'08_GDE_RISK_ENGINE'!A:G,7,FALSE),"")</f>
        <v>Extreme High</v>
      </c>
      <c r="I80" s="33" t="str">
        <f t="shared" si="0"/>
        <v>OK</v>
      </c>
      <c r="J80" s="8"/>
    </row>
    <row r="81" spans="1:10">
      <c r="A81" s="33">
        <v>46</v>
      </c>
      <c r="B81" s="33" t="str">
        <f>'01_ASSET_INPUT_FULL'!A49</f>
        <v>P2LBA26 BR301</v>
      </c>
      <c r="C81" s="33" t="str">
        <f>IF(B81="","",IF(COUNTIF('01_ASSET_INPUT_FULL'!A:A,B81)&gt;0,"YES","NO"))</f>
        <v>YES</v>
      </c>
      <c r="D81" s="33" t="str">
        <f>IF(B81="","",IF(COUNTIF('08_GDE_RISK_ENGINE'!A:A,B81)&gt;0,"YES","NO"))</f>
        <v>YES</v>
      </c>
      <c r="E81" s="33" t="str">
        <f>IF(B81="","",IF(COUNTIF('15_RISK_MATRIX_LINK_DATA'!A:A,B81)&gt;0,"YES","NO"))</f>
        <v>YES</v>
      </c>
      <c r="F81" s="33">
        <f>IFERROR(VLOOKUP(B81,'08_GDE_RISK_ENGINE'!A:G,5,FALSE),"")</f>
        <v>4</v>
      </c>
      <c r="G81" s="33">
        <f>IFERROR(VLOOKUP(B81,'08_GDE_RISK_ENGINE'!A:G,6,FALSE),"")</f>
        <v>5</v>
      </c>
      <c r="H81" s="33" t="str">
        <f>IFERROR(VLOOKUP(B81,'08_GDE_RISK_ENGINE'!A:G,7,FALSE),"")</f>
        <v>Extreme High</v>
      </c>
      <c r="I81" s="33" t="str">
        <f t="shared" si="0"/>
        <v>OK</v>
      </c>
      <c r="J81" s="8"/>
    </row>
    <row r="82" spans="1:10">
      <c r="A82" s="33">
        <v>47</v>
      </c>
      <c r="B82" s="33" t="str">
        <f>'01_ASSET_INPUT_FULL'!A50</f>
        <v>P2LBA27 BR001</v>
      </c>
      <c r="C82" s="33" t="str">
        <f>IF(B82="","",IF(COUNTIF('01_ASSET_INPUT_FULL'!A:A,B82)&gt;0,"YES","NO"))</f>
        <v>YES</v>
      </c>
      <c r="D82" s="33" t="str">
        <f>IF(B82="","",IF(COUNTIF('08_GDE_RISK_ENGINE'!A:A,B82)&gt;0,"YES","NO"))</f>
        <v>YES</v>
      </c>
      <c r="E82" s="33" t="str">
        <f>IF(B82="","",IF(COUNTIF('15_RISK_MATRIX_LINK_DATA'!A:A,B82)&gt;0,"YES","NO"))</f>
        <v>YES</v>
      </c>
      <c r="F82" s="33">
        <f>IFERROR(VLOOKUP(B82,'08_GDE_RISK_ENGINE'!A:G,5,FALSE),"")</f>
        <v>4</v>
      </c>
      <c r="G82" s="33">
        <f>IFERROR(VLOOKUP(B82,'08_GDE_RISK_ENGINE'!A:G,6,FALSE),"")</f>
        <v>5</v>
      </c>
      <c r="H82" s="33" t="str">
        <f>IFERROR(VLOOKUP(B82,'08_GDE_RISK_ENGINE'!A:G,7,FALSE),"")</f>
        <v>Extreme High</v>
      </c>
      <c r="I82" s="33" t="str">
        <f t="shared" si="0"/>
        <v>OK</v>
      </c>
      <c r="J82" s="8"/>
    </row>
    <row r="83" spans="1:10">
      <c r="A83" s="33">
        <v>48</v>
      </c>
      <c r="B83" s="33" t="str">
        <f>'01_ASSET_INPUT_FULL'!A51</f>
        <v>P2LBA27 BR501</v>
      </c>
      <c r="C83" s="33" t="str">
        <f>IF(B83="","",IF(COUNTIF('01_ASSET_INPUT_FULL'!A:A,B83)&gt;0,"YES","NO"))</f>
        <v>YES</v>
      </c>
      <c r="D83" s="33" t="str">
        <f>IF(B83="","",IF(COUNTIF('08_GDE_RISK_ENGINE'!A:A,B83)&gt;0,"YES","NO"))</f>
        <v>YES</v>
      </c>
      <c r="E83" s="33" t="str">
        <f>IF(B83="","",IF(COUNTIF('15_RISK_MATRIX_LINK_DATA'!A:A,B83)&gt;0,"YES","NO"))</f>
        <v>YES</v>
      </c>
      <c r="F83" s="33">
        <f>IFERROR(VLOOKUP(B83,'08_GDE_RISK_ENGINE'!A:G,5,FALSE),"")</f>
        <v>4</v>
      </c>
      <c r="G83" s="33">
        <f>IFERROR(VLOOKUP(B83,'08_GDE_RISK_ENGINE'!A:G,6,FALSE),"")</f>
        <v>5</v>
      </c>
      <c r="H83" s="33" t="str">
        <f>IFERROR(VLOOKUP(B83,'08_GDE_RISK_ENGINE'!A:G,7,FALSE),"")</f>
        <v>Extreme High</v>
      </c>
      <c r="I83" s="33" t="str">
        <f t="shared" si="0"/>
        <v>OK</v>
      </c>
      <c r="J83" s="8"/>
    </row>
    <row r="84" spans="1:10">
      <c r="A84" s="33">
        <v>49</v>
      </c>
      <c r="B84" s="33" t="str">
        <f>'01_ASSET_INPUT_FULL'!A52</f>
        <v>P2LBA27 BR011</v>
      </c>
      <c r="C84" s="33" t="str">
        <f>IF(B84="","",IF(COUNTIF('01_ASSET_INPUT_FULL'!A:A,B84)&gt;0,"YES","NO"))</f>
        <v>YES</v>
      </c>
      <c r="D84" s="33" t="str">
        <f>IF(B84="","",IF(COUNTIF('08_GDE_RISK_ENGINE'!A:A,B84)&gt;0,"YES","NO"))</f>
        <v>YES</v>
      </c>
      <c r="E84" s="33" t="str">
        <f>IF(B84="","",IF(COUNTIF('15_RISK_MATRIX_LINK_DATA'!A:A,B84)&gt;0,"YES","NO"))</f>
        <v>YES</v>
      </c>
      <c r="F84" s="33">
        <f>IFERROR(VLOOKUP(B84,'08_GDE_RISK_ENGINE'!A:G,5,FALSE),"")</f>
        <v>4</v>
      </c>
      <c r="G84" s="33">
        <f>IFERROR(VLOOKUP(B84,'08_GDE_RISK_ENGINE'!A:G,6,FALSE),"")</f>
        <v>5</v>
      </c>
      <c r="H84" s="33" t="str">
        <f>IFERROR(VLOOKUP(B84,'08_GDE_RISK_ENGINE'!A:G,7,FALSE),"")</f>
        <v>Extreme High</v>
      </c>
      <c r="I84" s="33" t="str">
        <f t="shared" si="0"/>
        <v>OK</v>
      </c>
      <c r="J84" s="8"/>
    </row>
    <row r="85" spans="1:10">
      <c r="A85" s="33">
        <v>50</v>
      </c>
      <c r="B85" s="33" t="str">
        <f>'01_ASSET_INPUT_FULL'!A53</f>
        <v>P2LBA27 BR010</v>
      </c>
      <c r="C85" s="33" t="str">
        <f>IF(B85="","",IF(COUNTIF('01_ASSET_INPUT_FULL'!A:A,B85)&gt;0,"YES","NO"))</f>
        <v>YES</v>
      </c>
      <c r="D85" s="33" t="str">
        <f>IF(B85="","",IF(COUNTIF('08_GDE_RISK_ENGINE'!A:A,B85)&gt;0,"YES","NO"))</f>
        <v>YES</v>
      </c>
      <c r="E85" s="33" t="str">
        <f>IF(B85="","",IF(COUNTIF('15_RISK_MATRIX_LINK_DATA'!A:A,B85)&gt;0,"YES","NO"))</f>
        <v>YES</v>
      </c>
      <c r="F85" s="33">
        <f>IFERROR(VLOOKUP(B85,'08_GDE_RISK_ENGINE'!A:G,5,FALSE),"")</f>
        <v>4</v>
      </c>
      <c r="G85" s="33">
        <f>IFERROR(VLOOKUP(B85,'08_GDE_RISK_ENGINE'!A:G,6,FALSE),"")</f>
        <v>5</v>
      </c>
      <c r="H85" s="33" t="str">
        <f>IFERROR(VLOOKUP(B85,'08_GDE_RISK_ENGINE'!A:G,7,FALSE),"")</f>
        <v>Extreme High</v>
      </c>
      <c r="I85" s="33" t="str">
        <f t="shared" si="0"/>
        <v>OK</v>
      </c>
      <c r="J85" s="8"/>
    </row>
    <row r="86" spans="1:10">
      <c r="A86" s="33">
        <v>51</v>
      </c>
      <c r="B86" s="33" t="str">
        <f>'01_ASSET_INPUT_FULL'!A54</f>
        <v>P2LBA27 BR301</v>
      </c>
      <c r="C86" s="33" t="str">
        <f>IF(B86="","",IF(COUNTIF('01_ASSET_INPUT_FULL'!A:A,B86)&gt;0,"YES","NO"))</f>
        <v>YES</v>
      </c>
      <c r="D86" s="33" t="str">
        <f>IF(B86="","",IF(COUNTIF('08_GDE_RISK_ENGINE'!A:A,B86)&gt;0,"YES","NO"))</f>
        <v>YES</v>
      </c>
      <c r="E86" s="33" t="str">
        <f>IF(B86="","",IF(COUNTIF('15_RISK_MATRIX_LINK_DATA'!A:A,B86)&gt;0,"YES","NO"))</f>
        <v>YES</v>
      </c>
      <c r="F86" s="33">
        <f>IFERROR(VLOOKUP(B86,'08_GDE_RISK_ENGINE'!A:G,5,FALSE),"")</f>
        <v>4</v>
      </c>
      <c r="G86" s="33">
        <f>IFERROR(VLOOKUP(B86,'08_GDE_RISK_ENGINE'!A:G,6,FALSE),"")</f>
        <v>5</v>
      </c>
      <c r="H86" s="33" t="str">
        <f>IFERROR(VLOOKUP(B86,'08_GDE_RISK_ENGINE'!A:G,7,FALSE),"")</f>
        <v>Extreme High</v>
      </c>
      <c r="I86" s="33" t="str">
        <f t="shared" si="0"/>
        <v>OK</v>
      </c>
      <c r="J86" s="8"/>
    </row>
    <row r="87" spans="1:10">
      <c r="A87" s="33">
        <v>52</v>
      </c>
      <c r="B87" s="33" t="str">
        <f>'01_ASSET_INPUT_FULL'!A55</f>
        <v>P2LBA28 BR001</v>
      </c>
      <c r="C87" s="33" t="str">
        <f>IF(B87="","",IF(COUNTIF('01_ASSET_INPUT_FULL'!A:A,B87)&gt;0,"YES","NO"))</f>
        <v>YES</v>
      </c>
      <c r="D87" s="33" t="str">
        <f>IF(B87="","",IF(COUNTIF('08_GDE_RISK_ENGINE'!A:A,B87)&gt;0,"YES","NO"))</f>
        <v>YES</v>
      </c>
      <c r="E87" s="33" t="str">
        <f>IF(B87="","",IF(COUNTIF('15_RISK_MATRIX_LINK_DATA'!A:A,B87)&gt;0,"YES","NO"))</f>
        <v>YES</v>
      </c>
      <c r="F87" s="33">
        <f>IFERROR(VLOOKUP(B87,'08_GDE_RISK_ENGINE'!A:G,5,FALSE),"")</f>
        <v>2</v>
      </c>
      <c r="G87" s="33">
        <f>IFERROR(VLOOKUP(B87,'08_GDE_RISK_ENGINE'!A:G,6,FALSE),"")</f>
        <v>5</v>
      </c>
      <c r="H87" s="33" t="str">
        <f>IFERROR(VLOOKUP(B87,'08_GDE_RISK_ENGINE'!A:G,7,FALSE),"")</f>
        <v>High</v>
      </c>
      <c r="I87" s="33" t="str">
        <f t="shared" si="0"/>
        <v>OK</v>
      </c>
      <c r="J87" s="8"/>
    </row>
    <row r="88" spans="1:10">
      <c r="A88" s="33">
        <v>53</v>
      </c>
      <c r="B88" s="33" t="str">
        <f>'01_ASSET_INPUT_FULL'!A56</f>
        <v>P2LBA28 BR501</v>
      </c>
      <c r="C88" s="33" t="str">
        <f>IF(B88="","",IF(COUNTIF('01_ASSET_INPUT_FULL'!A:A,B88)&gt;0,"YES","NO"))</f>
        <v>YES</v>
      </c>
      <c r="D88" s="33" t="str">
        <f>IF(B88="","",IF(COUNTIF('08_GDE_RISK_ENGINE'!A:A,B88)&gt;0,"YES","NO"))</f>
        <v>YES</v>
      </c>
      <c r="E88" s="33" t="str">
        <f>IF(B88="","",IF(COUNTIF('15_RISK_MATRIX_LINK_DATA'!A:A,B88)&gt;0,"YES","NO"))</f>
        <v>YES</v>
      </c>
      <c r="F88" s="33">
        <f>IFERROR(VLOOKUP(B88,'08_GDE_RISK_ENGINE'!A:G,5,FALSE),"")</f>
        <v>2</v>
      </c>
      <c r="G88" s="33">
        <f>IFERROR(VLOOKUP(B88,'08_GDE_RISK_ENGINE'!A:G,6,FALSE),"")</f>
        <v>5</v>
      </c>
      <c r="H88" s="33" t="str">
        <f>IFERROR(VLOOKUP(B88,'08_GDE_RISK_ENGINE'!A:G,7,FALSE),"")</f>
        <v>High</v>
      </c>
      <c r="I88" s="33" t="str">
        <f t="shared" si="0"/>
        <v>OK</v>
      </c>
      <c r="J88" s="8"/>
    </row>
    <row r="89" spans="1:10">
      <c r="A89" s="33">
        <v>54</v>
      </c>
      <c r="B89" s="33" t="str">
        <f>'01_ASSET_INPUT_FULL'!A57</f>
        <v>P2LBA28 BR011</v>
      </c>
      <c r="C89" s="33" t="str">
        <f>IF(B89="","",IF(COUNTIF('01_ASSET_INPUT_FULL'!A:A,B89)&gt;0,"YES","NO"))</f>
        <v>YES</v>
      </c>
      <c r="D89" s="33" t="str">
        <f>IF(B89="","",IF(COUNTIF('08_GDE_RISK_ENGINE'!A:A,B89)&gt;0,"YES","NO"))</f>
        <v>YES</v>
      </c>
      <c r="E89" s="33" t="str">
        <f>IF(B89="","",IF(COUNTIF('15_RISK_MATRIX_LINK_DATA'!A:A,B89)&gt;0,"YES","NO"))</f>
        <v>YES</v>
      </c>
      <c r="F89" s="33">
        <f>IFERROR(VLOOKUP(B89,'08_GDE_RISK_ENGINE'!A:G,5,FALSE),"")</f>
        <v>2</v>
      </c>
      <c r="G89" s="33">
        <f>IFERROR(VLOOKUP(B89,'08_GDE_RISK_ENGINE'!A:G,6,FALSE),"")</f>
        <v>5</v>
      </c>
      <c r="H89" s="33" t="str">
        <f>IFERROR(VLOOKUP(B89,'08_GDE_RISK_ENGINE'!A:G,7,FALSE),"")</f>
        <v>High</v>
      </c>
      <c r="I89" s="33" t="str">
        <f t="shared" si="0"/>
        <v>OK</v>
      </c>
      <c r="J89" s="8"/>
    </row>
    <row r="90" spans="1:10">
      <c r="A90" s="33">
        <v>55</v>
      </c>
      <c r="B90" s="33" t="str">
        <f>'01_ASSET_INPUT_FULL'!A58</f>
        <v>P2LBA28 BR010</v>
      </c>
      <c r="C90" s="33" t="str">
        <f>IF(B90="","",IF(COUNTIF('01_ASSET_INPUT_FULL'!A:A,B90)&gt;0,"YES","NO"))</f>
        <v>YES</v>
      </c>
      <c r="D90" s="33" t="str">
        <f>IF(B90="","",IF(COUNTIF('08_GDE_RISK_ENGINE'!A:A,B90)&gt;0,"YES","NO"))</f>
        <v>YES</v>
      </c>
      <c r="E90" s="33" t="str">
        <f>IF(B90="","",IF(COUNTIF('15_RISK_MATRIX_LINK_DATA'!A:A,B90)&gt;0,"YES","NO"))</f>
        <v>YES</v>
      </c>
      <c r="F90" s="33">
        <f>IFERROR(VLOOKUP(B90,'08_GDE_RISK_ENGINE'!A:G,5,FALSE),"")</f>
        <v>2</v>
      </c>
      <c r="G90" s="33">
        <f>IFERROR(VLOOKUP(B90,'08_GDE_RISK_ENGINE'!A:G,6,FALSE),"")</f>
        <v>5</v>
      </c>
      <c r="H90" s="33" t="str">
        <f>IFERROR(VLOOKUP(B90,'08_GDE_RISK_ENGINE'!A:G,7,FALSE),"")</f>
        <v>High</v>
      </c>
      <c r="I90" s="33" t="str">
        <f t="shared" si="0"/>
        <v>OK</v>
      </c>
      <c r="J90" s="8"/>
    </row>
    <row r="91" spans="1:10">
      <c r="A91" s="33">
        <v>56</v>
      </c>
      <c r="B91" s="33" t="str">
        <f>'01_ASSET_INPUT_FULL'!A59</f>
        <v>P2LBA28 BR301</v>
      </c>
      <c r="C91" s="33" t="str">
        <f>IF(B91="","",IF(COUNTIF('01_ASSET_INPUT_FULL'!A:A,B91)&gt;0,"YES","NO"))</f>
        <v>YES</v>
      </c>
      <c r="D91" s="33" t="str">
        <f>IF(B91="","",IF(COUNTIF('08_GDE_RISK_ENGINE'!A:A,B91)&gt;0,"YES","NO"))</f>
        <v>YES</v>
      </c>
      <c r="E91" s="33" t="str">
        <f>IF(B91="","",IF(COUNTIF('15_RISK_MATRIX_LINK_DATA'!A:A,B91)&gt;0,"YES","NO"))</f>
        <v>YES</v>
      </c>
      <c r="F91" s="33">
        <f>IFERROR(VLOOKUP(B91,'08_GDE_RISK_ENGINE'!A:G,5,FALSE),"")</f>
        <v>2</v>
      </c>
      <c r="G91" s="33">
        <f>IFERROR(VLOOKUP(B91,'08_GDE_RISK_ENGINE'!A:G,6,FALSE),"")</f>
        <v>5</v>
      </c>
      <c r="H91" s="33" t="str">
        <f>IFERROR(VLOOKUP(B91,'08_GDE_RISK_ENGINE'!A:G,7,FALSE),"")</f>
        <v>High</v>
      </c>
      <c r="I91" s="33" t="str">
        <f t="shared" si="0"/>
        <v>OK</v>
      </c>
      <c r="J91" s="8"/>
    </row>
    <row r="92" spans="1:10">
      <c r="A92" s="33">
        <v>57</v>
      </c>
      <c r="B92" s="33" t="str">
        <f>'01_ASSET_INPUT_FULL'!A60</f>
        <v>P2LBA29 BR001</v>
      </c>
      <c r="C92" s="33" t="str">
        <f>IF(B92="","",IF(COUNTIF('01_ASSET_INPUT_FULL'!A:A,B92)&gt;0,"YES","NO"))</f>
        <v>YES</v>
      </c>
      <c r="D92" s="33" t="str">
        <f>IF(B92="","",IF(COUNTIF('08_GDE_RISK_ENGINE'!A:A,B92)&gt;0,"YES","NO"))</f>
        <v>YES</v>
      </c>
      <c r="E92" s="33" t="str">
        <f>IF(B92="","",IF(COUNTIF('15_RISK_MATRIX_LINK_DATA'!A:A,B92)&gt;0,"YES","NO"))</f>
        <v>YES</v>
      </c>
      <c r="F92" s="33">
        <f>IFERROR(VLOOKUP(B92,'08_GDE_RISK_ENGINE'!A:G,5,FALSE),"")</f>
        <v>2</v>
      </c>
      <c r="G92" s="33">
        <f>IFERROR(VLOOKUP(B92,'08_GDE_RISK_ENGINE'!A:G,6,FALSE),"")</f>
        <v>5</v>
      </c>
      <c r="H92" s="33" t="str">
        <f>IFERROR(VLOOKUP(B92,'08_GDE_RISK_ENGINE'!A:G,7,FALSE),"")</f>
        <v>High</v>
      </c>
      <c r="I92" s="33" t="str">
        <f t="shared" si="0"/>
        <v>OK</v>
      </c>
      <c r="J92" s="8"/>
    </row>
    <row r="93" spans="1:10">
      <c r="A93" s="33">
        <v>58</v>
      </c>
      <c r="B93" s="33" t="str">
        <f>'01_ASSET_INPUT_FULL'!A61</f>
        <v>P2LBA29 BR501</v>
      </c>
      <c r="C93" s="33" t="str">
        <f>IF(B93="","",IF(COUNTIF('01_ASSET_INPUT_FULL'!A:A,B93)&gt;0,"YES","NO"))</f>
        <v>YES</v>
      </c>
      <c r="D93" s="33" t="str">
        <f>IF(B93="","",IF(COUNTIF('08_GDE_RISK_ENGINE'!A:A,B93)&gt;0,"YES","NO"))</f>
        <v>YES</v>
      </c>
      <c r="E93" s="33" t="str">
        <f>IF(B93="","",IF(COUNTIF('15_RISK_MATRIX_LINK_DATA'!A:A,B93)&gt;0,"YES","NO"))</f>
        <v>YES</v>
      </c>
      <c r="F93" s="33">
        <f>IFERROR(VLOOKUP(B93,'08_GDE_RISK_ENGINE'!A:G,5,FALSE),"")</f>
        <v>2</v>
      </c>
      <c r="G93" s="33">
        <f>IFERROR(VLOOKUP(B93,'08_GDE_RISK_ENGINE'!A:G,6,FALSE),"")</f>
        <v>5</v>
      </c>
      <c r="H93" s="33" t="str">
        <f>IFERROR(VLOOKUP(B93,'08_GDE_RISK_ENGINE'!A:G,7,FALSE),"")</f>
        <v>High</v>
      </c>
      <c r="I93" s="33" t="str">
        <f t="shared" si="0"/>
        <v>OK</v>
      </c>
      <c r="J93" s="8"/>
    </row>
    <row r="94" spans="1:10">
      <c r="A94" s="33">
        <v>59</v>
      </c>
      <c r="B94" s="33" t="str">
        <f>'01_ASSET_INPUT_FULL'!A62</f>
        <v>P2LBA29 BR011</v>
      </c>
      <c r="C94" s="33" t="str">
        <f>IF(B94="","",IF(COUNTIF('01_ASSET_INPUT_FULL'!A:A,B94)&gt;0,"YES","NO"))</f>
        <v>YES</v>
      </c>
      <c r="D94" s="33" t="str">
        <f>IF(B94="","",IF(COUNTIF('08_GDE_RISK_ENGINE'!A:A,B94)&gt;0,"YES","NO"))</f>
        <v>YES</v>
      </c>
      <c r="E94" s="33" t="str">
        <f>IF(B94="","",IF(COUNTIF('15_RISK_MATRIX_LINK_DATA'!A:A,B94)&gt;0,"YES","NO"))</f>
        <v>YES</v>
      </c>
      <c r="F94" s="33">
        <f>IFERROR(VLOOKUP(B94,'08_GDE_RISK_ENGINE'!A:G,5,FALSE),"")</f>
        <v>2</v>
      </c>
      <c r="G94" s="33">
        <f>IFERROR(VLOOKUP(B94,'08_GDE_RISK_ENGINE'!A:G,6,FALSE),"")</f>
        <v>5</v>
      </c>
      <c r="H94" s="33" t="str">
        <f>IFERROR(VLOOKUP(B94,'08_GDE_RISK_ENGINE'!A:G,7,FALSE),"")</f>
        <v>High</v>
      </c>
      <c r="I94" s="33" t="str">
        <f t="shared" si="0"/>
        <v>OK</v>
      </c>
      <c r="J94" s="8"/>
    </row>
    <row r="95" spans="1:10">
      <c r="A95" s="33">
        <v>60</v>
      </c>
      <c r="B95" s="33" t="str">
        <f>'01_ASSET_INPUT_FULL'!A63</f>
        <v>P2LBA29 BR010</v>
      </c>
      <c r="C95" s="33" t="str">
        <f>IF(B95="","",IF(COUNTIF('01_ASSET_INPUT_FULL'!A:A,B95)&gt;0,"YES","NO"))</f>
        <v>YES</v>
      </c>
      <c r="D95" s="33" t="str">
        <f>IF(B95="","",IF(COUNTIF('08_GDE_RISK_ENGINE'!A:A,B95)&gt;0,"YES","NO"))</f>
        <v>YES</v>
      </c>
      <c r="E95" s="33" t="str">
        <f>IF(B95="","",IF(COUNTIF('15_RISK_MATRIX_LINK_DATA'!A:A,B95)&gt;0,"YES","NO"))</f>
        <v>YES</v>
      </c>
      <c r="F95" s="33">
        <f>IFERROR(VLOOKUP(B95,'08_GDE_RISK_ENGINE'!A:G,5,FALSE),"")</f>
        <v>2</v>
      </c>
      <c r="G95" s="33">
        <f>IFERROR(VLOOKUP(B95,'08_GDE_RISK_ENGINE'!A:G,6,FALSE),"")</f>
        <v>5</v>
      </c>
      <c r="H95" s="33" t="str">
        <f>IFERROR(VLOOKUP(B95,'08_GDE_RISK_ENGINE'!A:G,7,FALSE),"")</f>
        <v>High</v>
      </c>
      <c r="I95" s="33" t="str">
        <f t="shared" si="0"/>
        <v>OK</v>
      </c>
      <c r="J95" s="8"/>
    </row>
    <row r="96" spans="1:10">
      <c r="A96" s="33">
        <v>61</v>
      </c>
      <c r="B96" s="33" t="str">
        <f>'01_ASSET_INPUT_FULL'!A64</f>
        <v>P2LBA29 BR301</v>
      </c>
      <c r="C96" s="33" t="str">
        <f>IF(B96="","",IF(COUNTIF('01_ASSET_INPUT_FULL'!A:A,B96)&gt;0,"YES","NO"))</f>
        <v>YES</v>
      </c>
      <c r="D96" s="33" t="str">
        <f>IF(B96="","",IF(COUNTIF('08_GDE_RISK_ENGINE'!A:A,B96)&gt;0,"YES","NO"))</f>
        <v>YES</v>
      </c>
      <c r="E96" s="33" t="str">
        <f>IF(B96="","",IF(COUNTIF('15_RISK_MATRIX_LINK_DATA'!A:A,B96)&gt;0,"YES","NO"))</f>
        <v>YES</v>
      </c>
      <c r="F96" s="33">
        <f>IFERROR(VLOOKUP(B96,'08_GDE_RISK_ENGINE'!A:G,5,FALSE),"")</f>
        <v>2</v>
      </c>
      <c r="G96" s="33">
        <f>IFERROR(VLOOKUP(B96,'08_GDE_RISK_ENGINE'!A:G,6,FALSE),"")</f>
        <v>5</v>
      </c>
      <c r="H96" s="33" t="str">
        <f>IFERROR(VLOOKUP(B96,'08_GDE_RISK_ENGINE'!A:G,7,FALSE),"")</f>
        <v>High</v>
      </c>
      <c r="I96" s="33" t="str">
        <f t="shared" si="0"/>
        <v>OK</v>
      </c>
      <c r="J96" s="8"/>
    </row>
    <row r="97" spans="1:10">
      <c r="A97" s="33">
        <v>62</v>
      </c>
      <c r="B97" s="33" t="str">
        <f>'01_ASSET_INPUT_FULL'!A65</f>
        <v>P2LBA20 BR007</v>
      </c>
      <c r="C97" s="33" t="str">
        <f>IF(B97="","",IF(COUNTIF('01_ASSET_INPUT_FULL'!A:A,B97)&gt;0,"YES","NO"))</f>
        <v>YES</v>
      </c>
      <c r="D97" s="33" t="str">
        <f>IF(B97="","",IF(COUNTIF('08_GDE_RISK_ENGINE'!A:A,B97)&gt;0,"YES","NO"))</f>
        <v>YES</v>
      </c>
      <c r="E97" s="33" t="str">
        <f>IF(B97="","",IF(COUNTIF('15_RISK_MATRIX_LINK_DATA'!A:A,B97)&gt;0,"YES","NO"))</f>
        <v>YES</v>
      </c>
      <c r="F97" s="33">
        <f>IFERROR(VLOOKUP(B97,'08_GDE_RISK_ENGINE'!A:G,5,FALSE),"")</f>
        <v>2</v>
      </c>
      <c r="G97" s="33">
        <f>IFERROR(VLOOKUP(B97,'08_GDE_RISK_ENGINE'!A:G,6,FALSE),"")</f>
        <v>5</v>
      </c>
      <c r="H97" s="33" t="str">
        <f>IFERROR(VLOOKUP(B97,'08_GDE_RISK_ENGINE'!A:G,7,FALSE),"")</f>
        <v>High</v>
      </c>
      <c r="I97" s="33" t="str">
        <f t="shared" si="0"/>
        <v>OK</v>
      </c>
      <c r="J97" s="8"/>
    </row>
    <row r="98" spans="1:10">
      <c r="A98" s="33">
        <v>63</v>
      </c>
      <c r="B98" s="33" t="str">
        <f>'01_ASSET_INPUT_FULL'!A66</f>
        <v>P2LCM01 BR010</v>
      </c>
      <c r="C98" s="33" t="str">
        <f>IF(B98="","",IF(COUNTIF('01_ASSET_INPUT_FULL'!A:A,B98)&gt;0,"YES","NO"))</f>
        <v>YES</v>
      </c>
      <c r="D98" s="33" t="str">
        <f>IF(B98="","",IF(COUNTIF('08_GDE_RISK_ENGINE'!A:A,B98)&gt;0,"YES","NO"))</f>
        <v>YES</v>
      </c>
      <c r="E98" s="33" t="str">
        <f>IF(B98="","",IF(COUNTIF('15_RISK_MATRIX_LINK_DATA'!A:A,B98)&gt;0,"YES","NO"))</f>
        <v>YES</v>
      </c>
      <c r="F98" s="33">
        <f>IFERROR(VLOOKUP(B98,'08_GDE_RISK_ENGINE'!A:G,5,FALSE),"")</f>
        <v>4</v>
      </c>
      <c r="G98" s="33">
        <f>IFERROR(VLOOKUP(B98,'08_GDE_RISK_ENGINE'!A:G,6,FALSE),"")</f>
        <v>2</v>
      </c>
      <c r="H98" s="33" t="str">
        <f>IFERROR(VLOOKUP(B98,'08_GDE_RISK_ENGINE'!A:G,7,FALSE),"")</f>
        <v>High</v>
      </c>
      <c r="I98" s="33" t="str">
        <f t="shared" si="0"/>
        <v>OK</v>
      </c>
      <c r="J98" s="8"/>
    </row>
    <row r="99" spans="1:10">
      <c r="A99" s="33">
        <v>64</v>
      </c>
      <c r="B99" s="33" t="str">
        <f>'01_ASSET_INPUT_FULL'!A67</f>
        <v>P2LCM01 BR009</v>
      </c>
      <c r="C99" s="33" t="str">
        <f>IF(B99="","",IF(COUNTIF('01_ASSET_INPUT_FULL'!A:A,B99)&gt;0,"YES","NO"))</f>
        <v>YES</v>
      </c>
      <c r="D99" s="33" t="str">
        <f>IF(B99="","",IF(COUNTIF('08_GDE_RISK_ENGINE'!A:A,B99)&gt;0,"YES","NO"))</f>
        <v>YES</v>
      </c>
      <c r="E99" s="33" t="str">
        <f>IF(B99="","",IF(COUNTIF('15_RISK_MATRIX_LINK_DATA'!A:A,B99)&gt;0,"YES","NO"))</f>
        <v>YES</v>
      </c>
      <c r="F99" s="33">
        <f>IFERROR(VLOOKUP(B99,'08_GDE_RISK_ENGINE'!A:G,5,FALSE),"")</f>
        <v>4</v>
      </c>
      <c r="G99" s="33">
        <f>IFERROR(VLOOKUP(B99,'08_GDE_RISK_ENGINE'!A:G,6,FALSE),"")</f>
        <v>2</v>
      </c>
      <c r="H99" s="33" t="str">
        <f>IFERROR(VLOOKUP(B99,'08_GDE_RISK_ENGINE'!A:G,7,FALSE),"")</f>
        <v>High</v>
      </c>
      <c r="I99" s="33" t="str">
        <f t="shared" si="0"/>
        <v>OK</v>
      </c>
      <c r="J99" s="8"/>
    </row>
    <row r="100" spans="1:10">
      <c r="A100" s="33">
        <v>65</v>
      </c>
      <c r="B100" s="33" t="str">
        <f>'01_ASSET_INPUT_FULL'!A68</f>
        <v>P2LBA10 BR591</v>
      </c>
      <c r="C100" s="33" t="str">
        <f>IF(B100="","",IF(COUNTIF('01_ASSET_INPUT_FULL'!A:A,B100)&gt;0,"YES","NO"))</f>
        <v>YES</v>
      </c>
      <c r="D100" s="33" t="str">
        <f>IF(B100="","",IF(COUNTIF('08_GDE_RISK_ENGINE'!A:A,B100)&gt;0,"YES","NO"))</f>
        <v>YES</v>
      </c>
      <c r="E100" s="33" t="str">
        <f>IF(B100="","",IF(COUNTIF('15_RISK_MATRIX_LINK_DATA'!A:A,B100)&gt;0,"YES","NO"))</f>
        <v>YES</v>
      </c>
      <c r="F100" s="33">
        <f>IFERROR(VLOOKUP(B100,'08_GDE_RISK_ENGINE'!A:G,5,FALSE),"")</f>
        <v>2</v>
      </c>
      <c r="G100" s="33">
        <f>IFERROR(VLOOKUP(B100,'08_GDE_RISK_ENGINE'!A:G,6,FALSE),"")</f>
        <v>5</v>
      </c>
      <c r="H100" s="33" t="str">
        <f>IFERROR(VLOOKUP(B100,'08_GDE_RISK_ENGINE'!A:G,7,FALSE),"")</f>
        <v>High</v>
      </c>
      <c r="I100" s="33" t="str">
        <f t="shared" ref="I100:I163" si="1">IF(B100="","",IF(AND(D100="YES",E100="YES",F100&lt;&gt;"",G100&lt;&gt;"",H100&lt;&gt;""),"OK","CHECK"))</f>
        <v>OK</v>
      </c>
      <c r="J100" s="8"/>
    </row>
    <row r="101" spans="1:10">
      <c r="A101" s="33">
        <v>66</v>
      </c>
      <c r="B101" s="33" t="str">
        <f>'01_ASSET_INPUT_FULL'!A69</f>
        <v>P2LBA10 BR592</v>
      </c>
      <c r="C101" s="33" t="str">
        <f>IF(B101="","",IF(COUNTIF('01_ASSET_INPUT_FULL'!A:A,B101)&gt;0,"YES","NO"))</f>
        <v>YES</v>
      </c>
      <c r="D101" s="33" t="str">
        <f>IF(B101="","",IF(COUNTIF('08_GDE_RISK_ENGINE'!A:A,B101)&gt;0,"YES","NO"))</f>
        <v>YES</v>
      </c>
      <c r="E101" s="33" t="str">
        <f>IF(B101="","",IF(COUNTIF('15_RISK_MATRIX_LINK_DATA'!A:A,B101)&gt;0,"YES","NO"))</f>
        <v>YES</v>
      </c>
      <c r="F101" s="33">
        <f>IFERROR(VLOOKUP(B101,'08_GDE_RISK_ENGINE'!A:G,5,FALSE),"")</f>
        <v>2</v>
      </c>
      <c r="G101" s="33">
        <f>IFERROR(VLOOKUP(B101,'08_GDE_RISK_ENGINE'!A:G,6,FALSE),"")</f>
        <v>5</v>
      </c>
      <c r="H101" s="33" t="str">
        <f>IFERROR(VLOOKUP(B101,'08_GDE_RISK_ENGINE'!A:G,7,FALSE),"")</f>
        <v>High</v>
      </c>
      <c r="I101" s="33" t="str">
        <f t="shared" si="1"/>
        <v>OK</v>
      </c>
      <c r="J101" s="8"/>
    </row>
    <row r="102" spans="1:10">
      <c r="A102" s="33">
        <v>67</v>
      </c>
      <c r="B102" s="33" t="str">
        <f>'01_ASSET_INPUT_FULL'!A70</f>
        <v>P2LBA10 BR593</v>
      </c>
      <c r="C102" s="33" t="str">
        <f>IF(B102="","",IF(COUNTIF('01_ASSET_INPUT_FULL'!A:A,B102)&gt;0,"YES","NO"))</f>
        <v>YES</v>
      </c>
      <c r="D102" s="33" t="str">
        <f>IF(B102="","",IF(COUNTIF('08_GDE_RISK_ENGINE'!A:A,B102)&gt;0,"YES","NO"))</f>
        <v>YES</v>
      </c>
      <c r="E102" s="33" t="str">
        <f>IF(B102="","",IF(COUNTIF('15_RISK_MATRIX_LINK_DATA'!A:A,B102)&gt;0,"YES","NO"))</f>
        <v>YES</v>
      </c>
      <c r="F102" s="33">
        <f>IFERROR(VLOOKUP(B102,'08_GDE_RISK_ENGINE'!A:G,5,FALSE),"")</f>
        <v>2</v>
      </c>
      <c r="G102" s="33">
        <f>IFERROR(VLOOKUP(B102,'08_GDE_RISK_ENGINE'!A:G,6,FALSE),"")</f>
        <v>5</v>
      </c>
      <c r="H102" s="33" t="str">
        <f>IFERROR(VLOOKUP(B102,'08_GDE_RISK_ENGINE'!A:G,7,FALSE),"")</f>
        <v>High</v>
      </c>
      <c r="I102" s="33" t="str">
        <f t="shared" si="1"/>
        <v>OK</v>
      </c>
      <c r="J102" s="8"/>
    </row>
    <row r="103" spans="1:10">
      <c r="A103" s="33">
        <v>68</v>
      </c>
      <c r="B103" s="33" t="str">
        <f>'01_ASSET_INPUT_FULL'!A71</f>
        <v>P2LBA10 BR594</v>
      </c>
      <c r="C103" s="33" t="str">
        <f>IF(B103="","",IF(COUNTIF('01_ASSET_INPUT_FULL'!A:A,B103)&gt;0,"YES","NO"))</f>
        <v>YES</v>
      </c>
      <c r="D103" s="33" t="str">
        <f>IF(B103="","",IF(COUNTIF('08_GDE_RISK_ENGINE'!A:A,B103)&gt;0,"YES","NO"))</f>
        <v>YES</v>
      </c>
      <c r="E103" s="33" t="str">
        <f>IF(B103="","",IF(COUNTIF('15_RISK_MATRIX_LINK_DATA'!A:A,B103)&gt;0,"YES","NO"))</f>
        <v>YES</v>
      </c>
      <c r="F103" s="33">
        <f>IFERROR(VLOOKUP(B103,'08_GDE_RISK_ENGINE'!A:G,5,FALSE),"")</f>
        <v>2</v>
      </c>
      <c r="G103" s="33">
        <f>IFERROR(VLOOKUP(B103,'08_GDE_RISK_ENGINE'!A:G,6,FALSE),"")</f>
        <v>5</v>
      </c>
      <c r="H103" s="33" t="str">
        <f>IFERROR(VLOOKUP(B103,'08_GDE_RISK_ENGINE'!A:G,7,FALSE),"")</f>
        <v>High</v>
      </c>
      <c r="I103" s="33" t="str">
        <f t="shared" si="1"/>
        <v>OK</v>
      </c>
      <c r="J103" s="8"/>
    </row>
    <row r="104" spans="1:10">
      <c r="A104" s="33">
        <v>69</v>
      </c>
      <c r="B104" s="33" t="str">
        <f>'01_ASSET_INPUT_FULL'!A72</f>
        <v>P2LBA10 BR595</v>
      </c>
      <c r="C104" s="33" t="str">
        <f>IF(B104="","",IF(COUNTIF('01_ASSET_INPUT_FULL'!A:A,B104)&gt;0,"YES","NO"))</f>
        <v>YES</v>
      </c>
      <c r="D104" s="33" t="str">
        <f>IF(B104="","",IF(COUNTIF('08_GDE_RISK_ENGINE'!A:A,B104)&gt;0,"YES","NO"))</f>
        <v>YES</v>
      </c>
      <c r="E104" s="33" t="str">
        <f>IF(B104="","",IF(COUNTIF('15_RISK_MATRIX_LINK_DATA'!A:A,B104)&gt;0,"YES","NO"))</f>
        <v>YES</v>
      </c>
      <c r="F104" s="33">
        <f>IFERROR(VLOOKUP(B104,'08_GDE_RISK_ENGINE'!A:G,5,FALSE),"")</f>
        <v>2</v>
      </c>
      <c r="G104" s="33">
        <f>IFERROR(VLOOKUP(B104,'08_GDE_RISK_ENGINE'!A:G,6,FALSE),"")</f>
        <v>5</v>
      </c>
      <c r="H104" s="33" t="str">
        <f>IFERROR(VLOOKUP(B104,'08_GDE_RISK_ENGINE'!A:G,7,FALSE),"")</f>
        <v>High</v>
      </c>
      <c r="I104" s="33" t="str">
        <f t="shared" si="1"/>
        <v>OK</v>
      </c>
      <c r="J104" s="8"/>
    </row>
    <row r="105" spans="1:10">
      <c r="A105" s="33">
        <v>70</v>
      </c>
      <c r="B105" s="33" t="str">
        <f>'01_ASSET_INPUT_FULL'!A73</f>
        <v>P2LBF10 BR009</v>
      </c>
      <c r="C105" s="33" t="str">
        <f>IF(B105="","",IF(COUNTIF('01_ASSET_INPUT_FULL'!A:A,B105)&gt;0,"YES","NO"))</f>
        <v>YES</v>
      </c>
      <c r="D105" s="33" t="str">
        <f>IF(B105="","",IF(COUNTIF('08_GDE_RISK_ENGINE'!A:A,B105)&gt;0,"YES","NO"))</f>
        <v>YES</v>
      </c>
      <c r="E105" s="33" t="str">
        <f>IF(B105="","",IF(COUNTIF('15_RISK_MATRIX_LINK_DATA'!A:A,B105)&gt;0,"YES","NO"))</f>
        <v>YES</v>
      </c>
      <c r="F105" s="33">
        <f>IFERROR(VLOOKUP(B105,'08_GDE_RISK_ENGINE'!A:G,5,FALSE),"")</f>
        <v>2</v>
      </c>
      <c r="G105" s="33">
        <f>IFERROR(VLOOKUP(B105,'08_GDE_RISK_ENGINE'!A:G,6,FALSE),"")</f>
        <v>2</v>
      </c>
      <c r="H105" s="33" t="str">
        <f>IFERROR(VLOOKUP(B105,'08_GDE_RISK_ENGINE'!A:G,7,FALSE),"")</f>
        <v>Medium</v>
      </c>
      <c r="I105" s="33" t="str">
        <f t="shared" si="1"/>
        <v>OK</v>
      </c>
      <c r="J105" s="8"/>
    </row>
    <row r="106" spans="1:10">
      <c r="A106" s="33">
        <v>71</v>
      </c>
      <c r="B106" s="33" t="str">
        <f>'01_ASSET_INPUT_FULL'!A74</f>
        <v>P2LBF10 BR010</v>
      </c>
      <c r="C106" s="33" t="str">
        <f>IF(B106="","",IF(COUNTIF('01_ASSET_INPUT_FULL'!A:A,B106)&gt;0,"YES","NO"))</f>
        <v>YES</v>
      </c>
      <c r="D106" s="33" t="str">
        <f>IF(B106="","",IF(COUNTIF('08_GDE_RISK_ENGINE'!A:A,B106)&gt;0,"YES","NO"))</f>
        <v>YES</v>
      </c>
      <c r="E106" s="33" t="str">
        <f>IF(B106="","",IF(COUNTIF('15_RISK_MATRIX_LINK_DATA'!A:A,B106)&gt;0,"YES","NO"))</f>
        <v>YES</v>
      </c>
      <c r="F106" s="33">
        <f>IFERROR(VLOOKUP(B106,'08_GDE_RISK_ENGINE'!A:G,5,FALSE),"")</f>
        <v>2</v>
      </c>
      <c r="G106" s="33">
        <f>IFERROR(VLOOKUP(B106,'08_GDE_RISK_ENGINE'!A:G,6,FALSE),"")</f>
        <v>2</v>
      </c>
      <c r="H106" s="33" t="str">
        <f>IFERROR(VLOOKUP(B106,'08_GDE_RISK_ENGINE'!A:G,7,FALSE),"")</f>
        <v>Medium</v>
      </c>
      <c r="I106" s="33" t="str">
        <f t="shared" si="1"/>
        <v>OK</v>
      </c>
      <c r="J106" s="8"/>
    </row>
    <row r="107" spans="1:10">
      <c r="A107" s="33">
        <v>72</v>
      </c>
      <c r="B107" s="33" t="str">
        <f>'01_ASSET_INPUT_FULL'!A75</f>
        <v>P2LBF10 BR011</v>
      </c>
      <c r="C107" s="33" t="str">
        <f>IF(B107="","",IF(COUNTIF('01_ASSET_INPUT_FULL'!A:A,B107)&gt;0,"YES","NO"))</f>
        <v>YES</v>
      </c>
      <c r="D107" s="33" t="str">
        <f>IF(B107="","",IF(COUNTIF('08_GDE_RISK_ENGINE'!A:A,B107)&gt;0,"YES","NO"))</f>
        <v>YES</v>
      </c>
      <c r="E107" s="33" t="str">
        <f>IF(B107="","",IF(COUNTIF('15_RISK_MATRIX_LINK_DATA'!A:A,B107)&gt;0,"YES","NO"))</f>
        <v>YES</v>
      </c>
      <c r="F107" s="33">
        <f>IFERROR(VLOOKUP(B107,'08_GDE_RISK_ENGINE'!A:G,5,FALSE),"")</f>
        <v>2</v>
      </c>
      <c r="G107" s="33">
        <f>IFERROR(VLOOKUP(B107,'08_GDE_RISK_ENGINE'!A:G,6,FALSE),"")</f>
        <v>2</v>
      </c>
      <c r="H107" s="33" t="str">
        <f>IFERROR(VLOOKUP(B107,'08_GDE_RISK_ENGINE'!A:G,7,FALSE),"")</f>
        <v>Medium</v>
      </c>
      <c r="I107" s="33" t="str">
        <f t="shared" si="1"/>
        <v>OK</v>
      </c>
      <c r="J107" s="8"/>
    </row>
    <row r="108" spans="1:10">
      <c r="A108" s="33">
        <v>73</v>
      </c>
      <c r="B108" s="33" t="str">
        <f>'01_ASSET_INPUT_FULL'!A76</f>
        <v>P2LBF10 BR012</v>
      </c>
      <c r="C108" s="33" t="str">
        <f>IF(B108="","",IF(COUNTIF('01_ASSET_INPUT_FULL'!A:A,B108)&gt;0,"YES","NO"))</f>
        <v>YES</v>
      </c>
      <c r="D108" s="33" t="str">
        <f>IF(B108="","",IF(COUNTIF('08_GDE_RISK_ENGINE'!A:A,B108)&gt;0,"YES","NO"))</f>
        <v>YES</v>
      </c>
      <c r="E108" s="33" t="str">
        <f>IF(B108="","",IF(COUNTIF('15_RISK_MATRIX_LINK_DATA'!A:A,B108)&gt;0,"YES","NO"))</f>
        <v>YES</v>
      </c>
      <c r="F108" s="33">
        <f>IFERROR(VLOOKUP(B108,'08_GDE_RISK_ENGINE'!A:G,5,FALSE),"")</f>
        <v>2</v>
      </c>
      <c r="G108" s="33">
        <f>IFERROR(VLOOKUP(B108,'08_GDE_RISK_ENGINE'!A:G,6,FALSE),"")</f>
        <v>2</v>
      </c>
      <c r="H108" s="33" t="str">
        <f>IFERROR(VLOOKUP(B108,'08_GDE_RISK_ENGINE'!A:G,7,FALSE),"")</f>
        <v>Medium</v>
      </c>
      <c r="I108" s="33" t="str">
        <f t="shared" si="1"/>
        <v>OK</v>
      </c>
      <c r="J108" s="8"/>
    </row>
    <row r="109" spans="1:10">
      <c r="A109" s="33">
        <v>74</v>
      </c>
      <c r="B109" s="33" t="str">
        <f>'01_ASSET_INPUT_FULL'!A77</f>
        <v>P2LBF10 BR013</v>
      </c>
      <c r="C109" s="33" t="str">
        <f>IF(B109="","",IF(COUNTIF('01_ASSET_INPUT_FULL'!A:A,B109)&gt;0,"YES","NO"))</f>
        <v>YES</v>
      </c>
      <c r="D109" s="33" t="str">
        <f>IF(B109="","",IF(COUNTIF('08_GDE_RISK_ENGINE'!A:A,B109)&gt;0,"YES","NO"))</f>
        <v>YES</v>
      </c>
      <c r="E109" s="33" t="str">
        <f>IF(B109="","",IF(COUNTIF('15_RISK_MATRIX_LINK_DATA'!A:A,B109)&gt;0,"YES","NO"))</f>
        <v>YES</v>
      </c>
      <c r="F109" s="33">
        <f>IFERROR(VLOOKUP(B109,'08_GDE_RISK_ENGINE'!A:G,5,FALSE),"")</f>
        <v>2</v>
      </c>
      <c r="G109" s="33">
        <f>IFERROR(VLOOKUP(B109,'08_GDE_RISK_ENGINE'!A:G,6,FALSE),"")</f>
        <v>2</v>
      </c>
      <c r="H109" s="33" t="str">
        <f>IFERROR(VLOOKUP(B109,'08_GDE_RISK_ENGINE'!A:G,7,FALSE),"")</f>
        <v>Medium</v>
      </c>
      <c r="I109" s="33" t="str">
        <f t="shared" si="1"/>
        <v>OK</v>
      </c>
      <c r="J109" s="8"/>
    </row>
    <row r="110" spans="1:10">
      <c r="A110" s="33">
        <v>75</v>
      </c>
      <c r="B110" s="33" t="str">
        <f>'01_ASSET_INPUT_FULL'!A78</f>
        <v>P2LBF10 BR008</v>
      </c>
      <c r="C110" s="33" t="str">
        <f>IF(B110="","",IF(COUNTIF('01_ASSET_INPUT_FULL'!A:A,B110)&gt;0,"YES","NO"))</f>
        <v>YES</v>
      </c>
      <c r="D110" s="33" t="str">
        <f>IF(B110="","",IF(COUNTIF('08_GDE_RISK_ENGINE'!A:A,B110)&gt;0,"YES","NO"))</f>
        <v>YES</v>
      </c>
      <c r="E110" s="33" t="str">
        <f>IF(B110="","",IF(COUNTIF('15_RISK_MATRIX_LINK_DATA'!A:A,B110)&gt;0,"YES","NO"))</f>
        <v>YES</v>
      </c>
      <c r="F110" s="33">
        <f>IFERROR(VLOOKUP(B110,'08_GDE_RISK_ENGINE'!A:G,5,FALSE),"")</f>
        <v>2</v>
      </c>
      <c r="G110" s="33">
        <f>IFERROR(VLOOKUP(B110,'08_GDE_RISK_ENGINE'!A:G,6,FALSE),"")</f>
        <v>2</v>
      </c>
      <c r="H110" s="33" t="str">
        <f>IFERROR(VLOOKUP(B110,'08_GDE_RISK_ENGINE'!A:G,7,FALSE),"")</f>
        <v>Medium</v>
      </c>
      <c r="I110" s="33" t="str">
        <f t="shared" si="1"/>
        <v>OK</v>
      </c>
      <c r="J110" s="8"/>
    </row>
    <row r="111" spans="1:10">
      <c r="A111" s="33">
        <v>76</v>
      </c>
      <c r="B111" s="33" t="str">
        <f>'01_ASSET_INPUT_FULL'!A79</f>
        <v>P2LBA10 BR503</v>
      </c>
      <c r="C111" s="33" t="str">
        <f>IF(B111="","",IF(COUNTIF('01_ASSET_INPUT_FULL'!A:A,B111)&gt;0,"YES","NO"))</f>
        <v>YES</v>
      </c>
      <c r="D111" s="33" t="str">
        <f>IF(B111="","",IF(COUNTIF('08_GDE_RISK_ENGINE'!A:A,B111)&gt;0,"YES","NO"))</f>
        <v>YES</v>
      </c>
      <c r="E111" s="33" t="str">
        <f>IF(B111="","",IF(COUNTIF('15_RISK_MATRIX_LINK_DATA'!A:A,B111)&gt;0,"YES","NO"))</f>
        <v>YES</v>
      </c>
      <c r="F111" s="33">
        <f>IFERROR(VLOOKUP(B111,'08_GDE_RISK_ENGINE'!A:G,5,FALSE),"")</f>
        <v>2</v>
      </c>
      <c r="G111" s="33">
        <f>IFERROR(VLOOKUP(B111,'08_GDE_RISK_ENGINE'!A:G,6,FALSE),"")</f>
        <v>5</v>
      </c>
      <c r="H111" s="33" t="str">
        <f>IFERROR(VLOOKUP(B111,'08_GDE_RISK_ENGINE'!A:G,7,FALSE),"")</f>
        <v>High</v>
      </c>
      <c r="I111" s="33" t="str">
        <f t="shared" si="1"/>
        <v>OK</v>
      </c>
      <c r="J111" s="8"/>
    </row>
    <row r="112" spans="1:10">
      <c r="A112" s="33">
        <v>77</v>
      </c>
      <c r="B112" s="33" t="str">
        <f>'01_ASSET_INPUT_FULL'!A80</f>
        <v>P2PAB08 BR005</v>
      </c>
      <c r="C112" s="33" t="str">
        <f>IF(B112="","",IF(COUNTIF('01_ASSET_INPUT_FULL'!A:A,B112)&gt;0,"YES","NO"))</f>
        <v>YES</v>
      </c>
      <c r="D112" s="33" t="str">
        <f>IF(B112="","",IF(COUNTIF('08_GDE_RISK_ENGINE'!A:A,B112)&gt;0,"YES","NO"))</f>
        <v>YES</v>
      </c>
      <c r="E112" s="33" t="str">
        <f>IF(B112="","",IF(COUNTIF('15_RISK_MATRIX_LINK_DATA'!A:A,B112)&gt;0,"YES","NO"))</f>
        <v>YES</v>
      </c>
      <c r="F112" s="33">
        <f>IFERROR(VLOOKUP(B112,'08_GDE_RISK_ENGINE'!A:G,5,FALSE),"")</f>
        <v>2</v>
      </c>
      <c r="G112" s="33">
        <f>IFERROR(VLOOKUP(B112,'08_GDE_RISK_ENGINE'!A:G,6,FALSE),"")</f>
        <v>3</v>
      </c>
      <c r="H112" s="33" t="str">
        <f>IFERROR(VLOOKUP(B112,'08_GDE_RISK_ENGINE'!A:G,7,FALSE),"")</f>
        <v>High</v>
      </c>
      <c r="I112" s="33" t="str">
        <f t="shared" si="1"/>
        <v>OK</v>
      </c>
      <c r="J112" s="8"/>
    </row>
    <row r="113" spans="1:10">
      <c r="A113" s="33">
        <v>78</v>
      </c>
      <c r="B113" s="33" t="str">
        <f>'01_ASSET_INPUT_FULL'!A81</f>
        <v>P2PAB08 BR006</v>
      </c>
      <c r="C113" s="33" t="str">
        <f>IF(B113="","",IF(COUNTIF('01_ASSET_INPUT_FULL'!A:A,B113)&gt;0,"YES","NO"))</f>
        <v>YES</v>
      </c>
      <c r="D113" s="33" t="str">
        <f>IF(B113="","",IF(COUNTIF('08_GDE_RISK_ENGINE'!A:A,B113)&gt;0,"YES","NO"))</f>
        <v>YES</v>
      </c>
      <c r="E113" s="33" t="str">
        <f>IF(B113="","",IF(COUNTIF('15_RISK_MATRIX_LINK_DATA'!A:A,B113)&gt;0,"YES","NO"))</f>
        <v>YES</v>
      </c>
      <c r="F113" s="33">
        <f>IFERROR(VLOOKUP(B113,'08_GDE_RISK_ENGINE'!A:G,5,FALSE),"")</f>
        <v>2</v>
      </c>
      <c r="G113" s="33">
        <f>IFERROR(VLOOKUP(B113,'08_GDE_RISK_ENGINE'!A:G,6,FALSE),"")</f>
        <v>3</v>
      </c>
      <c r="H113" s="33" t="str">
        <f>IFERROR(VLOOKUP(B113,'08_GDE_RISK_ENGINE'!A:G,7,FALSE),"")</f>
        <v>High</v>
      </c>
      <c r="I113" s="33" t="str">
        <f t="shared" si="1"/>
        <v>OK</v>
      </c>
      <c r="J113" s="8"/>
    </row>
    <row r="114" spans="1:10">
      <c r="A114" s="33">
        <v>79</v>
      </c>
      <c r="B114" s="33" t="str">
        <f>'01_ASSET_INPUT_FULL'!A82</f>
        <v>P2PAB08 BR007</v>
      </c>
      <c r="C114" s="33" t="str">
        <f>IF(B114="","",IF(COUNTIF('01_ASSET_INPUT_FULL'!A:A,B114)&gt;0,"YES","NO"))</f>
        <v>YES</v>
      </c>
      <c r="D114" s="33" t="str">
        <f>IF(B114="","",IF(COUNTIF('08_GDE_RISK_ENGINE'!A:A,B114)&gt;0,"YES","NO"))</f>
        <v>YES</v>
      </c>
      <c r="E114" s="33" t="str">
        <f>IF(B114="","",IF(COUNTIF('15_RISK_MATRIX_LINK_DATA'!A:A,B114)&gt;0,"YES","NO"))</f>
        <v>YES</v>
      </c>
      <c r="F114" s="33">
        <f>IFERROR(VLOOKUP(B114,'08_GDE_RISK_ENGINE'!A:G,5,FALSE),"")</f>
        <v>2</v>
      </c>
      <c r="G114" s="33">
        <f>IFERROR(VLOOKUP(B114,'08_GDE_RISK_ENGINE'!A:G,6,FALSE),"")</f>
        <v>3</v>
      </c>
      <c r="H114" s="33" t="str">
        <f>IFERROR(VLOOKUP(B114,'08_GDE_RISK_ENGINE'!A:G,7,FALSE),"")</f>
        <v>High</v>
      </c>
      <c r="I114" s="33" t="str">
        <f t="shared" si="1"/>
        <v>OK</v>
      </c>
      <c r="J114" s="8"/>
    </row>
    <row r="115" spans="1:10">
      <c r="A115" s="33">
        <v>80</v>
      </c>
      <c r="B115" s="33" t="str">
        <f>'01_ASSET_INPUT_FULL'!A83</f>
        <v>P2PAB08 BR008</v>
      </c>
      <c r="C115" s="33" t="str">
        <f>IF(B115="","",IF(COUNTIF('01_ASSET_INPUT_FULL'!A:A,B115)&gt;0,"YES","NO"))</f>
        <v>YES</v>
      </c>
      <c r="D115" s="33" t="str">
        <f>IF(B115="","",IF(COUNTIF('08_GDE_RISK_ENGINE'!A:A,B115)&gt;0,"YES","NO"))</f>
        <v>YES</v>
      </c>
      <c r="E115" s="33" t="str">
        <f>IF(B115="","",IF(COUNTIF('15_RISK_MATRIX_LINK_DATA'!A:A,B115)&gt;0,"YES","NO"))</f>
        <v>YES</v>
      </c>
      <c r="F115" s="33">
        <f>IFERROR(VLOOKUP(B115,'08_GDE_RISK_ENGINE'!A:G,5,FALSE),"")</f>
        <v>2</v>
      </c>
      <c r="G115" s="33">
        <f>IFERROR(VLOOKUP(B115,'08_GDE_RISK_ENGINE'!A:G,6,FALSE),"")</f>
        <v>3</v>
      </c>
      <c r="H115" s="33" t="str">
        <f>IFERROR(VLOOKUP(B115,'08_GDE_RISK_ENGINE'!A:G,7,FALSE),"")</f>
        <v>High</v>
      </c>
      <c r="I115" s="33" t="str">
        <f t="shared" si="1"/>
        <v>OK</v>
      </c>
      <c r="J115" s="8"/>
    </row>
    <row r="116" spans="1:10">
      <c r="A116" s="33">
        <v>81</v>
      </c>
      <c r="B116" s="33" t="str">
        <f>'01_ASSET_INPUT_FULL'!A84</f>
        <v>P2LCM01 BR016</v>
      </c>
      <c r="C116" s="33" t="str">
        <f>IF(B116="","",IF(COUNTIF('01_ASSET_INPUT_FULL'!A:A,B116)&gt;0,"YES","NO"))</f>
        <v>YES</v>
      </c>
      <c r="D116" s="33" t="str">
        <f>IF(B116="","",IF(COUNTIF('08_GDE_RISK_ENGINE'!A:A,B116)&gt;0,"YES","NO"))</f>
        <v>YES</v>
      </c>
      <c r="E116" s="33" t="str">
        <f>IF(B116="","",IF(COUNTIF('15_RISK_MATRIX_LINK_DATA'!A:A,B116)&gt;0,"YES","NO"))</f>
        <v>YES</v>
      </c>
      <c r="F116" s="33">
        <f>IFERROR(VLOOKUP(B116,'08_GDE_RISK_ENGINE'!A:G,5,FALSE),"")</f>
        <v>4</v>
      </c>
      <c r="G116" s="33">
        <f>IFERROR(VLOOKUP(B116,'08_GDE_RISK_ENGINE'!A:G,6,FALSE),"")</f>
        <v>2</v>
      </c>
      <c r="H116" s="33" t="str">
        <f>IFERROR(VLOOKUP(B116,'08_GDE_RISK_ENGINE'!A:G,7,FALSE),"")</f>
        <v>High</v>
      </c>
      <c r="I116" s="33" t="str">
        <f t="shared" si="1"/>
        <v>OK</v>
      </c>
      <c r="J116" s="8"/>
    </row>
    <row r="117" spans="1:10">
      <c r="A117" s="33">
        <v>82</v>
      </c>
      <c r="B117" s="33" t="str">
        <f>'01_ASSET_INPUT_FULL'!A85</f>
        <v>P2LBF10 BR001</v>
      </c>
      <c r="C117" s="33" t="str">
        <f>IF(B117="","",IF(COUNTIF('01_ASSET_INPUT_FULL'!A:A,B117)&gt;0,"YES","NO"))</f>
        <v>YES</v>
      </c>
      <c r="D117" s="33" t="str">
        <f>IF(B117="","",IF(COUNTIF('08_GDE_RISK_ENGINE'!A:A,B117)&gt;0,"YES","NO"))</f>
        <v>YES</v>
      </c>
      <c r="E117" s="33" t="str">
        <f>IF(B117="","",IF(COUNTIF('15_RISK_MATRIX_LINK_DATA'!A:A,B117)&gt;0,"YES","NO"))</f>
        <v>YES</v>
      </c>
      <c r="F117" s="33">
        <f>IFERROR(VLOOKUP(B117,'08_GDE_RISK_ENGINE'!A:G,5,FALSE),"")</f>
        <v>2</v>
      </c>
      <c r="G117" s="33">
        <f>IFERROR(VLOOKUP(B117,'08_GDE_RISK_ENGINE'!A:G,6,FALSE),"")</f>
        <v>2</v>
      </c>
      <c r="H117" s="33" t="str">
        <f>IFERROR(VLOOKUP(B117,'08_GDE_RISK_ENGINE'!A:G,7,FALSE),"")</f>
        <v>Medium</v>
      </c>
      <c r="I117" s="33" t="str">
        <f t="shared" si="1"/>
        <v>OK</v>
      </c>
      <c r="J117" s="8"/>
    </row>
    <row r="118" spans="1:10">
      <c r="A118" s="33">
        <v>83</v>
      </c>
      <c r="B118" s="33" t="str">
        <f>'01_ASSET_INPUT_FULL'!A86</f>
        <v>P2LBF10 BR002</v>
      </c>
      <c r="C118" s="33" t="str">
        <f>IF(B118="","",IF(COUNTIF('01_ASSET_INPUT_FULL'!A:A,B118)&gt;0,"YES","NO"))</f>
        <v>YES</v>
      </c>
      <c r="D118" s="33" t="str">
        <f>IF(B118="","",IF(COUNTIF('08_GDE_RISK_ENGINE'!A:A,B118)&gt;0,"YES","NO"))</f>
        <v>YES</v>
      </c>
      <c r="E118" s="33" t="str">
        <f>IF(B118="","",IF(COUNTIF('15_RISK_MATRIX_LINK_DATA'!A:A,B118)&gt;0,"YES","NO"))</f>
        <v>YES</v>
      </c>
      <c r="F118" s="33">
        <f>IFERROR(VLOOKUP(B118,'08_GDE_RISK_ENGINE'!A:G,5,FALSE),"")</f>
        <v>2</v>
      </c>
      <c r="G118" s="33">
        <f>IFERROR(VLOOKUP(B118,'08_GDE_RISK_ENGINE'!A:G,6,FALSE),"")</f>
        <v>2</v>
      </c>
      <c r="H118" s="33" t="str">
        <f>IFERROR(VLOOKUP(B118,'08_GDE_RISK_ENGINE'!A:G,7,FALSE),"")</f>
        <v>Medium</v>
      </c>
      <c r="I118" s="33" t="str">
        <f t="shared" si="1"/>
        <v>OK</v>
      </c>
      <c r="J118" s="8"/>
    </row>
    <row r="119" spans="1:10">
      <c r="A119" s="33">
        <v>84</v>
      </c>
      <c r="B119" s="33" t="str">
        <f>'01_ASSET_INPUT_FULL'!A87</f>
        <v>P2LBF10 BR014</v>
      </c>
      <c r="C119" s="33" t="str">
        <f>IF(B119="","",IF(COUNTIF('01_ASSET_INPUT_FULL'!A:A,B119)&gt;0,"YES","NO"))</f>
        <v>YES</v>
      </c>
      <c r="D119" s="33" t="str">
        <f>IF(B119="","",IF(COUNTIF('08_GDE_RISK_ENGINE'!A:A,B119)&gt;0,"YES","NO"))</f>
        <v>YES</v>
      </c>
      <c r="E119" s="33" t="str">
        <f>IF(B119="","",IF(COUNTIF('15_RISK_MATRIX_LINK_DATA'!A:A,B119)&gt;0,"YES","NO"))</f>
        <v>YES</v>
      </c>
      <c r="F119" s="33">
        <f>IFERROR(VLOOKUP(B119,'08_GDE_RISK_ENGINE'!A:G,5,FALSE),"")</f>
        <v>2</v>
      </c>
      <c r="G119" s="33">
        <f>IFERROR(VLOOKUP(B119,'08_GDE_RISK_ENGINE'!A:G,6,FALSE),"")</f>
        <v>2</v>
      </c>
      <c r="H119" s="33" t="str">
        <f>IFERROR(VLOOKUP(B119,'08_GDE_RISK_ENGINE'!A:G,7,FALSE),"")</f>
        <v>Medium</v>
      </c>
      <c r="I119" s="33" t="str">
        <f t="shared" si="1"/>
        <v>OK</v>
      </c>
      <c r="J119" s="8"/>
    </row>
    <row r="120" spans="1:10">
      <c r="A120" s="33">
        <v>85</v>
      </c>
      <c r="B120" s="33" t="str">
        <f>'01_ASSET_INPUT_FULL'!A88</f>
        <v>P2LBF10 BR003</v>
      </c>
      <c r="C120" s="33" t="str">
        <f>IF(B120="","",IF(COUNTIF('01_ASSET_INPUT_FULL'!A:A,B120)&gt;0,"YES","NO"))</f>
        <v>YES</v>
      </c>
      <c r="D120" s="33" t="str">
        <f>IF(B120="","",IF(COUNTIF('08_GDE_RISK_ENGINE'!A:A,B120)&gt;0,"YES","NO"))</f>
        <v>YES</v>
      </c>
      <c r="E120" s="33" t="str">
        <f>IF(B120="","",IF(COUNTIF('15_RISK_MATRIX_LINK_DATA'!A:A,B120)&gt;0,"YES","NO"))</f>
        <v>YES</v>
      </c>
      <c r="F120" s="33">
        <f>IFERROR(VLOOKUP(B120,'08_GDE_RISK_ENGINE'!A:G,5,FALSE),"")</f>
        <v>2</v>
      </c>
      <c r="G120" s="33">
        <f>IFERROR(VLOOKUP(B120,'08_GDE_RISK_ENGINE'!A:G,6,FALSE),"")</f>
        <v>2</v>
      </c>
      <c r="H120" s="33" t="str">
        <f>IFERROR(VLOOKUP(B120,'08_GDE_RISK_ENGINE'!A:G,7,FALSE),"")</f>
        <v>Medium</v>
      </c>
      <c r="I120" s="33" t="str">
        <f t="shared" si="1"/>
        <v>OK</v>
      </c>
      <c r="J120" s="8"/>
    </row>
    <row r="121" spans="1:10">
      <c r="A121" s="33">
        <v>86</v>
      </c>
      <c r="B121" s="33" t="str">
        <f>'01_ASSET_INPUT_FULL'!A89</f>
        <v>P2LBF10 BR004</v>
      </c>
      <c r="C121" s="33" t="str">
        <f>IF(B121="","",IF(COUNTIF('01_ASSET_INPUT_FULL'!A:A,B121)&gt;0,"YES","NO"))</f>
        <v>YES</v>
      </c>
      <c r="D121" s="33" t="str">
        <f>IF(B121="","",IF(COUNTIF('08_GDE_RISK_ENGINE'!A:A,B121)&gt;0,"YES","NO"))</f>
        <v>YES</v>
      </c>
      <c r="E121" s="33" t="str">
        <f>IF(B121="","",IF(COUNTIF('15_RISK_MATRIX_LINK_DATA'!A:A,B121)&gt;0,"YES","NO"))</f>
        <v>YES</v>
      </c>
      <c r="F121" s="33">
        <f>IFERROR(VLOOKUP(B121,'08_GDE_RISK_ENGINE'!A:G,5,FALSE),"")</f>
        <v>2</v>
      </c>
      <c r="G121" s="33">
        <f>IFERROR(VLOOKUP(B121,'08_GDE_RISK_ENGINE'!A:G,6,FALSE),"")</f>
        <v>2</v>
      </c>
      <c r="H121" s="33" t="str">
        <f>IFERROR(VLOOKUP(B121,'08_GDE_RISK_ENGINE'!A:G,7,FALSE),"")</f>
        <v>Medium</v>
      </c>
      <c r="I121" s="33" t="str">
        <f t="shared" si="1"/>
        <v>OK</v>
      </c>
      <c r="J121" s="8"/>
    </row>
    <row r="122" spans="1:10">
      <c r="A122" s="33">
        <v>87</v>
      </c>
      <c r="B122" s="33" t="str">
        <f>'01_ASSET_INPUT_FULL'!A90</f>
        <v>P2LBF10 BR015</v>
      </c>
      <c r="C122" s="33" t="str">
        <f>IF(B122="","",IF(COUNTIF('01_ASSET_INPUT_FULL'!A:A,B122)&gt;0,"YES","NO"))</f>
        <v>YES</v>
      </c>
      <c r="D122" s="33" t="str">
        <f>IF(B122="","",IF(COUNTIF('08_GDE_RISK_ENGINE'!A:A,B122)&gt;0,"YES","NO"))</f>
        <v>YES</v>
      </c>
      <c r="E122" s="33" t="str">
        <f>IF(B122="","",IF(COUNTIF('15_RISK_MATRIX_LINK_DATA'!A:A,B122)&gt;0,"YES","NO"))</f>
        <v>YES</v>
      </c>
      <c r="F122" s="33">
        <f>IFERROR(VLOOKUP(B122,'08_GDE_RISK_ENGINE'!A:G,5,FALSE),"")</f>
        <v>2</v>
      </c>
      <c r="G122" s="33">
        <f>IFERROR(VLOOKUP(B122,'08_GDE_RISK_ENGINE'!A:G,6,FALSE),"")</f>
        <v>2</v>
      </c>
      <c r="H122" s="33" t="str">
        <f>IFERROR(VLOOKUP(B122,'08_GDE_RISK_ENGINE'!A:G,7,FALSE),"")</f>
        <v>Medium</v>
      </c>
      <c r="I122" s="33" t="str">
        <f t="shared" si="1"/>
        <v>OK</v>
      </c>
      <c r="J122" s="8"/>
    </row>
    <row r="123" spans="1:10">
      <c r="A123" s="33">
        <v>88</v>
      </c>
      <c r="B123" s="33" t="str">
        <f>'01_ASSET_INPUT_FULL'!A91</f>
        <v>P2LBF10 BR005</v>
      </c>
      <c r="C123" s="33" t="str">
        <f>IF(B123="","",IF(COUNTIF('01_ASSET_INPUT_FULL'!A:A,B123)&gt;0,"YES","NO"))</f>
        <v>YES</v>
      </c>
      <c r="D123" s="33" t="str">
        <f>IF(B123="","",IF(COUNTIF('08_GDE_RISK_ENGINE'!A:A,B123)&gt;0,"YES","NO"))</f>
        <v>YES</v>
      </c>
      <c r="E123" s="33" t="str">
        <f>IF(B123="","",IF(COUNTIF('15_RISK_MATRIX_LINK_DATA'!A:A,B123)&gt;0,"YES","NO"))</f>
        <v>YES</v>
      </c>
      <c r="F123" s="33">
        <f>IFERROR(VLOOKUP(B123,'08_GDE_RISK_ENGINE'!A:G,5,FALSE),"")</f>
        <v>2</v>
      </c>
      <c r="G123" s="33">
        <f>IFERROR(VLOOKUP(B123,'08_GDE_RISK_ENGINE'!A:G,6,FALSE),"")</f>
        <v>2</v>
      </c>
      <c r="H123" s="33" t="str">
        <f>IFERROR(VLOOKUP(B123,'08_GDE_RISK_ENGINE'!A:G,7,FALSE),"")</f>
        <v>Medium</v>
      </c>
      <c r="I123" s="33" t="str">
        <f t="shared" si="1"/>
        <v>OK</v>
      </c>
      <c r="J123" s="8"/>
    </row>
    <row r="124" spans="1:10">
      <c r="A124" s="33">
        <v>89</v>
      </c>
      <c r="B124" s="33" t="str">
        <f>'01_ASSET_INPUT_FULL'!A92</f>
        <v>P2LBF10 BR006</v>
      </c>
      <c r="C124" s="33" t="str">
        <f>IF(B124="","",IF(COUNTIF('01_ASSET_INPUT_FULL'!A:A,B124)&gt;0,"YES","NO"))</f>
        <v>YES</v>
      </c>
      <c r="D124" s="33" t="str">
        <f>IF(B124="","",IF(COUNTIF('08_GDE_RISK_ENGINE'!A:A,B124)&gt;0,"YES","NO"))</f>
        <v>YES</v>
      </c>
      <c r="E124" s="33" t="str">
        <f>IF(B124="","",IF(COUNTIF('15_RISK_MATRIX_LINK_DATA'!A:A,B124)&gt;0,"YES","NO"))</f>
        <v>YES</v>
      </c>
      <c r="F124" s="33">
        <f>IFERROR(VLOOKUP(B124,'08_GDE_RISK_ENGINE'!A:G,5,FALSE),"")</f>
        <v>2</v>
      </c>
      <c r="G124" s="33">
        <f>IFERROR(VLOOKUP(B124,'08_GDE_RISK_ENGINE'!A:G,6,FALSE),"")</f>
        <v>2</v>
      </c>
      <c r="H124" s="33" t="str">
        <f>IFERROR(VLOOKUP(B124,'08_GDE_RISK_ENGINE'!A:G,7,FALSE),"")</f>
        <v>Medium</v>
      </c>
      <c r="I124" s="33" t="str">
        <f t="shared" si="1"/>
        <v>OK</v>
      </c>
      <c r="J124" s="8"/>
    </row>
    <row r="125" spans="1:10">
      <c r="A125" s="33">
        <v>90</v>
      </c>
      <c r="B125" s="33" t="str">
        <f>'01_ASSET_INPUT_FULL'!A93</f>
        <v>P2LBF10 BR016</v>
      </c>
      <c r="C125" s="33" t="str">
        <f>IF(B125="","",IF(COUNTIF('01_ASSET_INPUT_FULL'!A:A,B125)&gt;0,"YES","NO"))</f>
        <v>YES</v>
      </c>
      <c r="D125" s="33" t="str">
        <f>IF(B125="","",IF(COUNTIF('08_GDE_RISK_ENGINE'!A:A,B125)&gt;0,"YES","NO"))</f>
        <v>YES</v>
      </c>
      <c r="E125" s="33" t="str">
        <f>IF(B125="","",IF(COUNTIF('15_RISK_MATRIX_LINK_DATA'!A:A,B125)&gt;0,"YES","NO"))</f>
        <v>YES</v>
      </c>
      <c r="F125" s="33">
        <f>IFERROR(VLOOKUP(B125,'08_GDE_RISK_ENGINE'!A:G,5,FALSE),"")</f>
        <v>2</v>
      </c>
      <c r="G125" s="33">
        <f>IFERROR(VLOOKUP(B125,'08_GDE_RISK_ENGINE'!A:G,6,FALSE),"")</f>
        <v>2</v>
      </c>
      <c r="H125" s="33" t="str">
        <f>IFERROR(VLOOKUP(B125,'08_GDE_RISK_ENGINE'!A:G,7,FALSE),"")</f>
        <v>Medium</v>
      </c>
      <c r="I125" s="33" t="str">
        <f t="shared" si="1"/>
        <v>OK</v>
      </c>
      <c r="J125" s="8"/>
    </row>
    <row r="126" spans="1:10">
      <c r="A126" s="33">
        <v>91</v>
      </c>
      <c r="B126" s="33" t="str">
        <f>'01_ASSET_INPUT_FULL'!A94</f>
        <v>P2LBF10 BR401</v>
      </c>
      <c r="C126" s="33" t="str">
        <f>IF(B126="","",IF(COUNTIF('01_ASSET_INPUT_FULL'!A:A,B126)&gt;0,"YES","NO"))</f>
        <v>YES</v>
      </c>
      <c r="D126" s="33" t="str">
        <f>IF(B126="","",IF(COUNTIF('08_GDE_RISK_ENGINE'!A:A,B126)&gt;0,"YES","NO"))</f>
        <v>YES</v>
      </c>
      <c r="E126" s="33" t="str">
        <f>IF(B126="","",IF(COUNTIF('15_RISK_MATRIX_LINK_DATA'!A:A,B126)&gt;0,"YES","NO"))</f>
        <v>YES</v>
      </c>
      <c r="F126" s="33">
        <f>IFERROR(VLOOKUP(B126,'08_GDE_RISK_ENGINE'!A:G,5,FALSE),"")</f>
        <v>4</v>
      </c>
      <c r="G126" s="33">
        <f>IFERROR(VLOOKUP(B126,'08_GDE_RISK_ENGINE'!A:G,6,FALSE),"")</f>
        <v>2</v>
      </c>
      <c r="H126" s="33" t="str">
        <f>IFERROR(VLOOKUP(B126,'08_GDE_RISK_ENGINE'!A:G,7,FALSE),"")</f>
        <v>High</v>
      </c>
      <c r="I126" s="33" t="str">
        <f t="shared" si="1"/>
        <v>OK</v>
      </c>
      <c r="J126" s="8"/>
    </row>
    <row r="127" spans="1:10">
      <c r="A127" s="33">
        <v>92</v>
      </c>
      <c r="B127" s="33" t="str">
        <f>'01_ASSET_INPUT_FULL'!A95</f>
        <v>P2LBF10 BR402</v>
      </c>
      <c r="C127" s="33" t="str">
        <f>IF(B127="","",IF(COUNTIF('01_ASSET_INPUT_FULL'!A:A,B127)&gt;0,"YES","NO"))</f>
        <v>YES</v>
      </c>
      <c r="D127" s="33" t="str">
        <f>IF(B127="","",IF(COUNTIF('08_GDE_RISK_ENGINE'!A:A,B127)&gt;0,"YES","NO"))</f>
        <v>YES</v>
      </c>
      <c r="E127" s="33" t="str">
        <f>IF(B127="","",IF(COUNTIF('15_RISK_MATRIX_LINK_DATA'!A:A,B127)&gt;0,"YES","NO"))</f>
        <v>YES</v>
      </c>
      <c r="F127" s="33">
        <f>IFERROR(VLOOKUP(B127,'08_GDE_RISK_ENGINE'!A:G,5,FALSE),"")</f>
        <v>4</v>
      </c>
      <c r="G127" s="33">
        <f>IFERROR(VLOOKUP(B127,'08_GDE_RISK_ENGINE'!A:G,6,FALSE),"")</f>
        <v>2</v>
      </c>
      <c r="H127" s="33" t="str">
        <f>IFERROR(VLOOKUP(B127,'08_GDE_RISK_ENGINE'!A:G,7,FALSE),"")</f>
        <v>High</v>
      </c>
      <c r="I127" s="33" t="str">
        <f t="shared" si="1"/>
        <v>OK</v>
      </c>
      <c r="J127" s="8"/>
    </row>
    <row r="128" spans="1:10">
      <c r="A128" s="33">
        <v>93</v>
      </c>
      <c r="B128" s="33" t="str">
        <f>'01_ASSET_INPUT_FULL'!A96</f>
        <v>P2LBF10 BR403</v>
      </c>
      <c r="C128" s="33" t="str">
        <f>IF(B128="","",IF(COUNTIF('01_ASSET_INPUT_FULL'!A:A,B128)&gt;0,"YES","NO"))</f>
        <v>YES</v>
      </c>
      <c r="D128" s="33" t="str">
        <f>IF(B128="","",IF(COUNTIF('08_GDE_RISK_ENGINE'!A:A,B128)&gt;0,"YES","NO"))</f>
        <v>YES</v>
      </c>
      <c r="E128" s="33" t="str">
        <f>IF(B128="","",IF(COUNTIF('15_RISK_MATRIX_LINK_DATA'!A:A,B128)&gt;0,"YES","NO"))</f>
        <v>YES</v>
      </c>
      <c r="F128" s="33">
        <f>IFERROR(VLOOKUP(B128,'08_GDE_RISK_ENGINE'!A:G,5,FALSE),"")</f>
        <v>4</v>
      </c>
      <c r="G128" s="33">
        <f>IFERROR(VLOOKUP(B128,'08_GDE_RISK_ENGINE'!A:G,6,FALSE),"")</f>
        <v>2</v>
      </c>
      <c r="H128" s="33" t="str">
        <f>IFERROR(VLOOKUP(B128,'08_GDE_RISK_ENGINE'!A:G,7,FALSE),"")</f>
        <v>High</v>
      </c>
      <c r="I128" s="33" t="str">
        <f t="shared" si="1"/>
        <v>OK</v>
      </c>
      <c r="J128" s="8"/>
    </row>
    <row r="129" spans="1:10">
      <c r="A129" s="33">
        <v>94</v>
      </c>
      <c r="B129" s="33" t="str">
        <f>'01_ASSET_INPUT_FULL'!A97</f>
        <v>P2LBF10 BR405</v>
      </c>
      <c r="C129" s="33" t="str">
        <f>IF(B129="","",IF(COUNTIF('01_ASSET_INPUT_FULL'!A:A,B129)&gt;0,"YES","NO"))</f>
        <v>YES</v>
      </c>
      <c r="D129" s="33" t="str">
        <f>IF(B129="","",IF(COUNTIF('08_GDE_RISK_ENGINE'!A:A,B129)&gt;0,"YES","NO"))</f>
        <v>YES</v>
      </c>
      <c r="E129" s="33" t="str">
        <f>IF(B129="","",IF(COUNTIF('15_RISK_MATRIX_LINK_DATA'!A:A,B129)&gt;0,"YES","NO"))</f>
        <v>YES</v>
      </c>
      <c r="F129" s="33">
        <f>IFERROR(VLOOKUP(B129,'08_GDE_RISK_ENGINE'!A:G,5,FALSE),"")</f>
        <v>4</v>
      </c>
      <c r="G129" s="33">
        <f>IFERROR(VLOOKUP(B129,'08_GDE_RISK_ENGINE'!A:G,6,FALSE),"")</f>
        <v>2</v>
      </c>
      <c r="H129" s="33" t="str">
        <f>IFERROR(VLOOKUP(B129,'08_GDE_RISK_ENGINE'!A:G,7,FALSE),"")</f>
        <v>High</v>
      </c>
      <c r="I129" s="33" t="str">
        <f t="shared" si="1"/>
        <v>OK</v>
      </c>
      <c r="J129" s="8"/>
    </row>
    <row r="130" spans="1:10">
      <c r="A130" s="33">
        <v>95</v>
      </c>
      <c r="B130" s="33" t="str">
        <f>'01_ASSET_INPUT_FULL'!A98</f>
        <v>P2LBA10 BR009</v>
      </c>
      <c r="C130" s="33" t="str">
        <f>IF(B130="","",IF(COUNTIF('01_ASSET_INPUT_FULL'!A:A,B130)&gt;0,"YES","NO"))</f>
        <v>YES</v>
      </c>
      <c r="D130" s="33" t="str">
        <f>IF(B130="","",IF(COUNTIF('08_GDE_RISK_ENGINE'!A:A,B130)&gt;0,"YES","NO"))</f>
        <v>YES</v>
      </c>
      <c r="E130" s="33" t="str">
        <f>IF(B130="","",IF(COUNTIF('15_RISK_MATRIX_LINK_DATA'!A:A,B130)&gt;0,"YES","NO"))</f>
        <v>YES</v>
      </c>
      <c r="F130" s="33">
        <f>IFERROR(VLOOKUP(B130,'08_GDE_RISK_ENGINE'!A:G,5,FALSE),"")</f>
        <v>2</v>
      </c>
      <c r="G130" s="33">
        <f>IFERROR(VLOOKUP(B130,'08_GDE_RISK_ENGINE'!A:G,6,FALSE),"")</f>
        <v>5</v>
      </c>
      <c r="H130" s="33" t="str">
        <f>IFERROR(VLOOKUP(B130,'08_GDE_RISK_ENGINE'!A:G,7,FALSE),"")</f>
        <v>High</v>
      </c>
      <c r="I130" s="33" t="str">
        <f t="shared" si="1"/>
        <v>OK</v>
      </c>
      <c r="J130" s="8"/>
    </row>
    <row r="131" spans="1:10">
      <c r="A131" s="33">
        <v>96</v>
      </c>
      <c r="B131" s="33" t="str">
        <f>'01_ASSET_INPUT_FULL'!A99</f>
        <v>P2LCA10 BR017</v>
      </c>
      <c r="C131" s="33" t="str">
        <f>IF(B131="","",IF(COUNTIF('01_ASSET_INPUT_FULL'!A:A,B131)&gt;0,"YES","NO"))</f>
        <v>YES</v>
      </c>
      <c r="D131" s="33" t="str">
        <f>IF(B131="","",IF(COUNTIF('08_GDE_RISK_ENGINE'!A:A,B131)&gt;0,"YES","NO"))</f>
        <v>YES</v>
      </c>
      <c r="E131" s="33" t="str">
        <f>IF(B131="","",IF(COUNTIF('15_RISK_MATRIX_LINK_DATA'!A:A,B131)&gt;0,"YES","NO"))</f>
        <v>YES</v>
      </c>
      <c r="F131" s="33">
        <f>IFERROR(VLOOKUP(B131,'08_GDE_RISK_ENGINE'!A:G,5,FALSE),"")</f>
        <v>4</v>
      </c>
      <c r="G131" s="33">
        <f>IFERROR(VLOOKUP(B131,'08_GDE_RISK_ENGINE'!A:G,6,FALSE),"")</f>
        <v>2</v>
      </c>
      <c r="H131" s="33" t="str">
        <f>IFERROR(VLOOKUP(B131,'08_GDE_RISK_ENGINE'!A:G,7,FALSE),"")</f>
        <v>High</v>
      </c>
      <c r="I131" s="33" t="str">
        <f t="shared" si="1"/>
        <v>OK</v>
      </c>
      <c r="J131" s="8"/>
    </row>
    <row r="132" spans="1:10">
      <c r="A132" s="33">
        <v>97</v>
      </c>
      <c r="B132" s="33" t="str">
        <f>'01_ASSET_INPUT_FULL'!A100</f>
        <v>P2LCA10 BR018</v>
      </c>
      <c r="C132" s="33" t="str">
        <f>IF(B132="","",IF(COUNTIF('01_ASSET_INPUT_FULL'!A:A,B132)&gt;0,"YES","NO"))</f>
        <v>YES</v>
      </c>
      <c r="D132" s="33" t="str">
        <f>IF(B132="","",IF(COUNTIF('08_GDE_RISK_ENGINE'!A:A,B132)&gt;0,"YES","NO"))</f>
        <v>YES</v>
      </c>
      <c r="E132" s="33" t="str">
        <f>IF(B132="","",IF(COUNTIF('15_RISK_MATRIX_LINK_DATA'!A:A,B132)&gt;0,"YES","NO"))</f>
        <v>YES</v>
      </c>
      <c r="F132" s="33">
        <f>IFERROR(VLOOKUP(B132,'08_GDE_RISK_ENGINE'!A:G,5,FALSE),"")</f>
        <v>4</v>
      </c>
      <c r="G132" s="33">
        <f>IFERROR(VLOOKUP(B132,'08_GDE_RISK_ENGINE'!A:G,6,FALSE),"")</f>
        <v>2</v>
      </c>
      <c r="H132" s="33" t="str">
        <f>IFERROR(VLOOKUP(B132,'08_GDE_RISK_ENGINE'!A:G,7,FALSE),"")</f>
        <v>High</v>
      </c>
      <c r="I132" s="33" t="str">
        <f t="shared" si="1"/>
        <v>OK</v>
      </c>
      <c r="J132" s="8"/>
    </row>
    <row r="133" spans="1:10">
      <c r="A133" s="33">
        <v>98</v>
      </c>
      <c r="B133" s="33" t="str">
        <f>'01_ASSET_INPUT_FULL'!A101</f>
        <v>P2LCA10 BR019</v>
      </c>
      <c r="C133" s="33" t="str">
        <f>IF(B133="","",IF(COUNTIF('01_ASSET_INPUT_FULL'!A:A,B133)&gt;0,"YES","NO"))</f>
        <v>YES</v>
      </c>
      <c r="D133" s="33" t="str">
        <f>IF(B133="","",IF(COUNTIF('08_GDE_RISK_ENGINE'!A:A,B133)&gt;0,"YES","NO"))</f>
        <v>YES</v>
      </c>
      <c r="E133" s="33" t="str">
        <f>IF(B133="","",IF(COUNTIF('15_RISK_MATRIX_LINK_DATA'!A:A,B133)&gt;0,"YES","NO"))</f>
        <v>YES</v>
      </c>
      <c r="F133" s="33">
        <f>IFERROR(VLOOKUP(B133,'08_GDE_RISK_ENGINE'!A:G,5,FALSE),"")</f>
        <v>4</v>
      </c>
      <c r="G133" s="33">
        <f>IFERROR(VLOOKUP(B133,'08_GDE_RISK_ENGINE'!A:G,6,FALSE),"")</f>
        <v>2</v>
      </c>
      <c r="H133" s="33" t="str">
        <f>IFERROR(VLOOKUP(B133,'08_GDE_RISK_ENGINE'!A:G,7,FALSE),"")</f>
        <v>High</v>
      </c>
      <c r="I133" s="33" t="str">
        <f t="shared" si="1"/>
        <v>OK</v>
      </c>
      <c r="J133" s="8"/>
    </row>
    <row r="134" spans="1:10">
      <c r="A134" s="33">
        <v>99</v>
      </c>
      <c r="B134" s="33" t="str">
        <f>'01_ASSET_INPUT_FULL'!A102</f>
        <v>P2LBG01 BR001</v>
      </c>
      <c r="C134" s="33" t="str">
        <f>IF(B134="","",IF(COUNTIF('01_ASSET_INPUT_FULL'!A:A,B134)&gt;0,"YES","NO"))</f>
        <v>YES</v>
      </c>
      <c r="D134" s="33" t="str">
        <f>IF(B134="","",IF(COUNTIF('08_GDE_RISK_ENGINE'!A:A,B134)&gt;0,"YES","NO"))</f>
        <v>YES</v>
      </c>
      <c r="E134" s="33" t="str">
        <f>IF(B134="","",IF(COUNTIF('15_RISK_MATRIX_LINK_DATA'!A:A,B134)&gt;0,"YES","NO"))</f>
        <v>YES</v>
      </c>
      <c r="F134" s="33">
        <f>IFERROR(VLOOKUP(B134,'08_GDE_RISK_ENGINE'!A:G,5,FALSE),"")</f>
        <v>2</v>
      </c>
      <c r="G134" s="33">
        <f>IFERROR(VLOOKUP(B134,'08_GDE_RISK_ENGINE'!A:G,6,FALSE),"")</f>
        <v>4</v>
      </c>
      <c r="H134" s="33" t="str">
        <f>IFERROR(VLOOKUP(B134,'08_GDE_RISK_ENGINE'!A:G,7,FALSE),"")</f>
        <v>High</v>
      </c>
      <c r="I134" s="33" t="str">
        <f t="shared" si="1"/>
        <v>OK</v>
      </c>
      <c r="J134" s="8"/>
    </row>
    <row r="135" spans="1:10">
      <c r="A135" s="33">
        <v>100</v>
      </c>
      <c r="B135" s="33" t="str">
        <f>'01_ASSET_INPUT_FULL'!A103</f>
        <v>P2LBA09 BR004</v>
      </c>
      <c r="C135" s="33" t="str">
        <f>IF(B135="","",IF(COUNTIF('01_ASSET_INPUT_FULL'!A:A,B135)&gt;0,"YES","NO"))</f>
        <v>YES</v>
      </c>
      <c r="D135" s="33" t="str">
        <f>IF(B135="","",IF(COUNTIF('08_GDE_RISK_ENGINE'!A:A,B135)&gt;0,"YES","NO"))</f>
        <v>YES</v>
      </c>
      <c r="E135" s="33" t="str">
        <f>IF(B135="","",IF(COUNTIF('15_RISK_MATRIX_LINK_DATA'!A:A,B135)&gt;0,"YES","NO"))</f>
        <v>YES</v>
      </c>
      <c r="F135" s="33">
        <f>IFERROR(VLOOKUP(B135,'08_GDE_RISK_ENGINE'!A:G,5,FALSE),"")</f>
        <v>2</v>
      </c>
      <c r="G135" s="33">
        <f>IFERROR(VLOOKUP(B135,'08_GDE_RISK_ENGINE'!A:G,6,FALSE),"")</f>
        <v>5</v>
      </c>
      <c r="H135" s="33" t="str">
        <f>IFERROR(VLOOKUP(B135,'08_GDE_RISK_ENGINE'!A:G,7,FALSE),"")</f>
        <v>High</v>
      </c>
      <c r="I135" s="33" t="str">
        <f t="shared" si="1"/>
        <v>OK</v>
      </c>
      <c r="J135" s="8"/>
    </row>
    <row r="136" spans="1:10">
      <c r="A136" s="33">
        <v>101</v>
      </c>
      <c r="B136" s="33" t="str">
        <f>'01_ASSET_INPUT_FULL'!A104</f>
        <v>P2LBA09 BR005</v>
      </c>
      <c r="C136" s="33" t="str">
        <f>IF(B136="","",IF(COUNTIF('01_ASSET_INPUT_FULL'!A:A,B136)&gt;0,"YES","NO"))</f>
        <v>YES</v>
      </c>
      <c r="D136" s="33" t="str">
        <f>IF(B136="","",IF(COUNTIF('08_GDE_RISK_ENGINE'!A:A,B136)&gt;0,"YES","NO"))</f>
        <v>YES</v>
      </c>
      <c r="E136" s="33" t="str">
        <f>IF(B136="","",IF(COUNTIF('15_RISK_MATRIX_LINK_DATA'!A:A,B136)&gt;0,"YES","NO"))</f>
        <v>YES</v>
      </c>
      <c r="F136" s="33">
        <f>IFERROR(VLOOKUP(B136,'08_GDE_RISK_ENGINE'!A:G,5,FALSE),"")</f>
        <v>2</v>
      </c>
      <c r="G136" s="33">
        <f>IFERROR(VLOOKUP(B136,'08_GDE_RISK_ENGINE'!A:G,6,FALSE),"")</f>
        <v>5</v>
      </c>
      <c r="H136" s="33" t="str">
        <f>IFERROR(VLOOKUP(B136,'08_GDE_RISK_ENGINE'!A:G,7,FALSE),"")</f>
        <v>High</v>
      </c>
      <c r="I136" s="33" t="str">
        <f t="shared" si="1"/>
        <v>OK</v>
      </c>
      <c r="J136" s="8"/>
    </row>
    <row r="137" spans="1:10">
      <c r="A137" s="33">
        <v>102</v>
      </c>
      <c r="B137" s="33" t="str">
        <f>'01_ASSET_INPUT_FULL'!A105</f>
        <v>P2LBA09 BR006</v>
      </c>
      <c r="C137" s="33" t="str">
        <f>IF(B137="","",IF(COUNTIF('01_ASSET_INPUT_FULL'!A:A,B137)&gt;0,"YES","NO"))</f>
        <v>YES</v>
      </c>
      <c r="D137" s="33" t="str">
        <f>IF(B137="","",IF(COUNTIF('08_GDE_RISK_ENGINE'!A:A,B137)&gt;0,"YES","NO"))</f>
        <v>YES</v>
      </c>
      <c r="E137" s="33" t="str">
        <f>IF(B137="","",IF(COUNTIF('15_RISK_MATRIX_LINK_DATA'!A:A,B137)&gt;0,"YES","NO"))</f>
        <v>YES</v>
      </c>
      <c r="F137" s="33">
        <f>IFERROR(VLOOKUP(B137,'08_GDE_RISK_ENGINE'!A:G,5,FALSE),"")</f>
        <v>2</v>
      </c>
      <c r="G137" s="33">
        <f>IFERROR(VLOOKUP(B137,'08_GDE_RISK_ENGINE'!A:G,6,FALSE),"")</f>
        <v>5</v>
      </c>
      <c r="H137" s="33" t="str">
        <f>IFERROR(VLOOKUP(B137,'08_GDE_RISK_ENGINE'!A:G,7,FALSE),"")</f>
        <v>High</v>
      </c>
      <c r="I137" s="33" t="str">
        <f t="shared" si="1"/>
        <v>OK</v>
      </c>
      <c r="J137" s="8"/>
    </row>
    <row r="138" spans="1:10">
      <c r="A138" s="33">
        <v>103</v>
      </c>
      <c r="B138" s="33" t="str">
        <f>'01_ASSET_INPUT_FULL'!A106</f>
        <v>P2LBB05 BR001</v>
      </c>
      <c r="C138" s="33" t="str">
        <f>IF(B138="","",IF(COUNTIF('01_ASSET_INPUT_FULL'!A:A,B138)&gt;0,"YES","NO"))</f>
        <v>YES</v>
      </c>
      <c r="D138" s="33" t="str">
        <f>IF(B138="","",IF(COUNTIF('08_GDE_RISK_ENGINE'!A:A,B138)&gt;0,"YES","NO"))</f>
        <v>YES</v>
      </c>
      <c r="E138" s="33" t="str">
        <f>IF(B138="","",IF(COUNTIF('15_RISK_MATRIX_LINK_DATA'!A:A,B138)&gt;0,"YES","NO"))</f>
        <v>YES</v>
      </c>
      <c r="F138" s="33">
        <f>IFERROR(VLOOKUP(B138,'08_GDE_RISK_ENGINE'!A:G,5,FALSE),"")</f>
        <v>2</v>
      </c>
      <c r="G138" s="33">
        <f>IFERROR(VLOOKUP(B138,'08_GDE_RISK_ENGINE'!A:G,6,FALSE),"")</f>
        <v>2</v>
      </c>
      <c r="H138" s="33" t="str">
        <f>IFERROR(VLOOKUP(B138,'08_GDE_RISK_ENGINE'!A:G,7,FALSE),"")</f>
        <v>Medium</v>
      </c>
      <c r="I138" s="33" t="str">
        <f t="shared" si="1"/>
        <v>OK</v>
      </c>
      <c r="J138" s="8"/>
    </row>
    <row r="139" spans="1:10">
      <c r="A139" s="33">
        <v>104</v>
      </c>
      <c r="B139" s="33" t="str">
        <f>'01_ASSET_INPUT_FULL'!A107</f>
        <v>P2LBB04 BR001</v>
      </c>
      <c r="C139" s="33" t="str">
        <f>IF(B139="","",IF(COUNTIF('01_ASSET_INPUT_FULL'!A:A,B139)&gt;0,"YES","NO"))</f>
        <v>YES</v>
      </c>
      <c r="D139" s="33" t="str">
        <f>IF(B139="","",IF(COUNTIF('08_GDE_RISK_ENGINE'!A:A,B139)&gt;0,"YES","NO"))</f>
        <v>YES</v>
      </c>
      <c r="E139" s="33" t="str">
        <f>IF(B139="","",IF(COUNTIF('15_RISK_MATRIX_LINK_DATA'!A:A,B139)&gt;0,"YES","NO"))</f>
        <v>YES</v>
      </c>
      <c r="F139" s="33">
        <f>IFERROR(VLOOKUP(B139,'08_GDE_RISK_ENGINE'!A:G,5,FALSE),"")</f>
        <v>2</v>
      </c>
      <c r="G139" s="33">
        <f>IFERROR(VLOOKUP(B139,'08_GDE_RISK_ENGINE'!A:G,6,FALSE),"")</f>
        <v>2</v>
      </c>
      <c r="H139" s="33" t="str">
        <f>IFERROR(VLOOKUP(B139,'08_GDE_RISK_ENGINE'!A:G,7,FALSE),"")</f>
        <v>Medium</v>
      </c>
      <c r="I139" s="33" t="str">
        <f t="shared" si="1"/>
        <v>OK</v>
      </c>
      <c r="J139" s="8"/>
    </row>
    <row r="140" spans="1:10">
      <c r="A140" s="33">
        <v>105</v>
      </c>
      <c r="B140" s="33" t="str">
        <f>'01_ASSET_INPUT_FULL'!A108</f>
        <v>P2LBB03 BR001</v>
      </c>
      <c r="C140" s="33" t="str">
        <f>IF(B140="","",IF(COUNTIF('01_ASSET_INPUT_FULL'!A:A,B140)&gt;0,"YES","NO"))</f>
        <v>YES</v>
      </c>
      <c r="D140" s="33" t="str">
        <f>IF(B140="","",IF(COUNTIF('08_GDE_RISK_ENGINE'!A:A,B140)&gt;0,"YES","NO"))</f>
        <v>YES</v>
      </c>
      <c r="E140" s="33" t="str">
        <f>IF(B140="","",IF(COUNTIF('15_RISK_MATRIX_LINK_DATA'!A:A,B140)&gt;0,"YES","NO"))</f>
        <v>YES</v>
      </c>
      <c r="F140" s="33">
        <f>IFERROR(VLOOKUP(B140,'08_GDE_RISK_ENGINE'!A:G,5,FALSE),"")</f>
        <v>2</v>
      </c>
      <c r="G140" s="33">
        <f>IFERROR(VLOOKUP(B140,'08_GDE_RISK_ENGINE'!A:G,6,FALSE),"")</f>
        <v>2</v>
      </c>
      <c r="H140" s="33" t="str">
        <f>IFERROR(VLOOKUP(B140,'08_GDE_RISK_ENGINE'!A:G,7,FALSE),"")</f>
        <v>Medium</v>
      </c>
      <c r="I140" s="33" t="str">
        <f t="shared" si="1"/>
        <v>OK</v>
      </c>
      <c r="J140" s="8"/>
    </row>
    <row r="141" spans="1:10">
      <c r="A141" s="33">
        <v>106</v>
      </c>
      <c r="B141" s="33" t="str">
        <f>'01_ASSET_INPUT_FULL'!A109</f>
        <v>P2MAW01 BR001</v>
      </c>
      <c r="C141" s="33" t="str">
        <f>IF(B141="","",IF(COUNTIF('01_ASSET_INPUT_FULL'!A:A,B141)&gt;0,"YES","NO"))</f>
        <v>YES</v>
      </c>
      <c r="D141" s="33" t="str">
        <f>IF(B141="","",IF(COUNTIF('08_GDE_RISK_ENGINE'!A:A,B141)&gt;0,"YES","NO"))</f>
        <v>YES</v>
      </c>
      <c r="E141" s="33" t="str">
        <f>IF(B141="","",IF(COUNTIF('15_RISK_MATRIX_LINK_DATA'!A:A,B141)&gt;0,"YES","NO"))</f>
        <v>YES</v>
      </c>
      <c r="F141" s="33">
        <f>IFERROR(VLOOKUP(B141,'08_GDE_RISK_ENGINE'!A:G,5,FALSE),"")</f>
        <v>2</v>
      </c>
      <c r="G141" s="33">
        <f>IFERROR(VLOOKUP(B141,'08_GDE_RISK_ENGINE'!A:G,6,FALSE),"")</f>
        <v>4</v>
      </c>
      <c r="H141" s="33" t="str">
        <f>IFERROR(VLOOKUP(B141,'08_GDE_RISK_ENGINE'!A:G,7,FALSE),"")</f>
        <v>High</v>
      </c>
      <c r="I141" s="33" t="str">
        <f t="shared" si="1"/>
        <v>OK</v>
      </c>
      <c r="J141" s="8"/>
    </row>
    <row r="142" spans="1:10">
      <c r="A142" s="33">
        <v>107</v>
      </c>
      <c r="B142" s="33" t="str">
        <f>'01_ASSET_INPUT_FULL'!A110</f>
        <v>P2PAB01 BR002</v>
      </c>
      <c r="C142" s="33" t="str">
        <f>IF(B142="","",IF(COUNTIF('01_ASSET_INPUT_FULL'!A:A,B142)&gt;0,"YES","NO"))</f>
        <v>YES</v>
      </c>
      <c r="D142" s="33" t="str">
        <f>IF(B142="","",IF(COUNTIF('08_GDE_RISK_ENGINE'!A:A,B142)&gt;0,"YES","NO"))</f>
        <v>YES</v>
      </c>
      <c r="E142" s="33" t="str">
        <f>IF(B142="","",IF(COUNTIF('15_RISK_MATRIX_LINK_DATA'!A:A,B142)&gt;0,"YES","NO"))</f>
        <v>YES</v>
      </c>
      <c r="F142" s="33">
        <f>IFERROR(VLOOKUP(B142,'08_GDE_RISK_ENGINE'!A:G,5,FALSE),"")</f>
        <v>2</v>
      </c>
      <c r="G142" s="33">
        <f>IFERROR(VLOOKUP(B142,'08_GDE_RISK_ENGINE'!A:G,6,FALSE),"")</f>
        <v>3</v>
      </c>
      <c r="H142" s="33" t="str">
        <f>IFERROR(VLOOKUP(B142,'08_GDE_RISK_ENGINE'!A:G,7,FALSE),"")</f>
        <v>High</v>
      </c>
      <c r="I142" s="33" t="str">
        <f t="shared" si="1"/>
        <v>OK</v>
      </c>
      <c r="J142" s="8"/>
    </row>
    <row r="143" spans="1:10">
      <c r="A143" s="33">
        <v>108</v>
      </c>
      <c r="B143" s="33" t="str">
        <f>'01_ASSET_INPUT_FULL'!A111</f>
        <v>P2MAW01 BR002</v>
      </c>
      <c r="C143" s="33" t="str">
        <f>IF(B143="","",IF(COUNTIF('01_ASSET_INPUT_FULL'!A:A,B143)&gt;0,"YES","NO"))</f>
        <v>YES</v>
      </c>
      <c r="D143" s="33" t="str">
        <f>IF(B143="","",IF(COUNTIF('08_GDE_RISK_ENGINE'!A:A,B143)&gt;0,"YES","NO"))</f>
        <v>YES</v>
      </c>
      <c r="E143" s="33" t="str">
        <f>IF(B143="","",IF(COUNTIF('15_RISK_MATRIX_LINK_DATA'!A:A,B143)&gt;0,"YES","NO"))</f>
        <v>YES</v>
      </c>
      <c r="F143" s="33">
        <f>IFERROR(VLOOKUP(B143,'08_GDE_RISK_ENGINE'!A:G,5,FALSE),"")</f>
        <v>2</v>
      </c>
      <c r="G143" s="33">
        <f>IFERROR(VLOOKUP(B143,'08_GDE_RISK_ENGINE'!A:G,6,FALSE),"")</f>
        <v>4</v>
      </c>
      <c r="H143" s="33" t="str">
        <f>IFERROR(VLOOKUP(B143,'08_GDE_RISK_ENGINE'!A:G,7,FALSE),"")</f>
        <v>High</v>
      </c>
      <c r="I143" s="33" t="str">
        <f t="shared" si="1"/>
        <v>OK</v>
      </c>
      <c r="J143" s="8"/>
    </row>
    <row r="144" spans="1:10">
      <c r="A144" s="33">
        <v>109</v>
      </c>
      <c r="B144" s="33" t="str">
        <f>'01_ASSET_INPUT_FULL'!A112</f>
        <v>P2MAW40 BR010</v>
      </c>
      <c r="C144" s="33" t="str">
        <f>IF(B144="","",IF(COUNTIF('01_ASSET_INPUT_FULL'!A:A,B144)&gt;0,"YES","NO"))</f>
        <v>YES</v>
      </c>
      <c r="D144" s="33" t="str">
        <f>IF(B144="","",IF(COUNTIF('08_GDE_RISK_ENGINE'!A:A,B144)&gt;0,"YES","NO"))</f>
        <v>YES</v>
      </c>
      <c r="E144" s="33" t="str">
        <f>IF(B144="","",IF(COUNTIF('15_RISK_MATRIX_LINK_DATA'!A:A,B144)&gt;0,"YES","NO"))</f>
        <v>YES</v>
      </c>
      <c r="F144" s="33">
        <f>IFERROR(VLOOKUP(B144,'08_GDE_RISK_ENGINE'!A:G,5,FALSE),"")</f>
        <v>4</v>
      </c>
      <c r="G144" s="33">
        <f>IFERROR(VLOOKUP(B144,'08_GDE_RISK_ENGINE'!A:G,6,FALSE),"")</f>
        <v>4</v>
      </c>
      <c r="H144" s="33" t="str">
        <f>IFERROR(VLOOKUP(B144,'08_GDE_RISK_ENGINE'!A:G,7,FALSE),"")</f>
        <v>Extreme High</v>
      </c>
      <c r="I144" s="33" t="str">
        <f t="shared" si="1"/>
        <v>OK</v>
      </c>
      <c r="J144" s="8"/>
    </row>
    <row r="145" spans="1:10">
      <c r="A145" s="33">
        <v>110</v>
      </c>
      <c r="B145" s="33" t="str">
        <f>'01_ASSET_INPUT_FULL'!A113</f>
        <v>P2LBG02 BR001</v>
      </c>
      <c r="C145" s="33" t="str">
        <f>IF(B145="","",IF(COUNTIF('01_ASSET_INPUT_FULL'!A:A,B145)&gt;0,"YES","NO"))</f>
        <v>YES</v>
      </c>
      <c r="D145" s="33" t="str">
        <f>IF(B145="","",IF(COUNTIF('08_GDE_RISK_ENGINE'!A:A,B145)&gt;0,"YES","NO"))</f>
        <v>YES</v>
      </c>
      <c r="E145" s="33" t="str">
        <f>IF(B145="","",IF(COUNTIF('15_RISK_MATRIX_LINK_DATA'!A:A,B145)&gt;0,"YES","NO"))</f>
        <v>YES</v>
      </c>
      <c r="F145" s="33">
        <f>IFERROR(VLOOKUP(B145,'08_GDE_RISK_ENGINE'!A:G,5,FALSE),"")</f>
        <v>2</v>
      </c>
      <c r="G145" s="33">
        <f>IFERROR(VLOOKUP(B145,'08_GDE_RISK_ENGINE'!A:G,6,FALSE),"")</f>
        <v>4</v>
      </c>
      <c r="H145" s="33" t="str">
        <f>IFERROR(VLOOKUP(B145,'08_GDE_RISK_ENGINE'!A:G,7,FALSE),"")</f>
        <v>High</v>
      </c>
      <c r="I145" s="33" t="str">
        <f t="shared" si="1"/>
        <v>OK</v>
      </c>
      <c r="J145" s="8"/>
    </row>
    <row r="146" spans="1:10">
      <c r="A146" s="33">
        <v>111</v>
      </c>
      <c r="B146" s="33" t="str">
        <f>'01_ASSET_INPUT_FULL'!A114</f>
        <v>P2LBG03 BR001</v>
      </c>
      <c r="C146" s="33" t="str">
        <f>IF(B146="","",IF(COUNTIF('01_ASSET_INPUT_FULL'!A:A,B146)&gt;0,"YES","NO"))</f>
        <v>YES</v>
      </c>
      <c r="D146" s="33" t="str">
        <f>IF(B146="","",IF(COUNTIF('08_GDE_RISK_ENGINE'!A:A,B146)&gt;0,"YES","NO"))</f>
        <v>YES</v>
      </c>
      <c r="E146" s="33" t="str">
        <f>IF(B146="","",IF(COUNTIF('15_RISK_MATRIX_LINK_DATA'!A:A,B146)&gt;0,"YES","NO"))</f>
        <v>YES</v>
      </c>
      <c r="F146" s="33">
        <f>IFERROR(VLOOKUP(B146,'08_GDE_RISK_ENGINE'!A:G,5,FALSE),"")</f>
        <v>2</v>
      </c>
      <c r="G146" s="33">
        <f>IFERROR(VLOOKUP(B146,'08_GDE_RISK_ENGINE'!A:G,6,FALSE),"")</f>
        <v>4</v>
      </c>
      <c r="H146" s="33" t="str">
        <f>IFERROR(VLOOKUP(B146,'08_GDE_RISK_ENGINE'!A:G,7,FALSE),"")</f>
        <v>High</v>
      </c>
      <c r="I146" s="33" t="str">
        <f t="shared" si="1"/>
        <v>OK</v>
      </c>
      <c r="J146" s="8"/>
    </row>
    <row r="147" spans="1:10">
      <c r="A147" s="33">
        <v>112</v>
      </c>
      <c r="B147" s="33" t="str">
        <f>'01_ASSET_INPUT_FULL'!A115</f>
        <v>P2LBG04 BR001</v>
      </c>
      <c r="C147" s="33" t="str">
        <f>IF(B147="","",IF(COUNTIF('01_ASSET_INPUT_FULL'!A:A,B147)&gt;0,"YES","NO"))</f>
        <v>YES</v>
      </c>
      <c r="D147" s="33" t="str">
        <f>IF(B147="","",IF(COUNTIF('08_GDE_RISK_ENGINE'!A:A,B147)&gt;0,"YES","NO"))</f>
        <v>YES</v>
      </c>
      <c r="E147" s="33" t="str">
        <f>IF(B147="","",IF(COUNTIF('15_RISK_MATRIX_LINK_DATA'!A:A,B147)&gt;0,"YES","NO"))</f>
        <v>YES</v>
      </c>
      <c r="F147" s="33">
        <f>IFERROR(VLOOKUP(B147,'08_GDE_RISK_ENGINE'!A:G,5,FALSE),"")</f>
        <v>2</v>
      </c>
      <c r="G147" s="33">
        <f>IFERROR(VLOOKUP(B147,'08_GDE_RISK_ENGINE'!A:G,6,FALSE),"")</f>
        <v>4</v>
      </c>
      <c r="H147" s="33" t="str">
        <f>IFERROR(VLOOKUP(B147,'08_GDE_RISK_ENGINE'!A:G,7,FALSE),"")</f>
        <v>High</v>
      </c>
      <c r="I147" s="33" t="str">
        <f t="shared" si="1"/>
        <v>OK</v>
      </c>
      <c r="J147" s="8"/>
    </row>
    <row r="148" spans="1:10">
      <c r="A148" s="33">
        <v>113</v>
      </c>
      <c r="B148" s="33" t="str">
        <f>'01_ASSET_INPUT_FULL'!A116</f>
        <v>P2MAJ06 BR001</v>
      </c>
      <c r="C148" s="33" t="str">
        <f>IF(B148="","",IF(COUNTIF('01_ASSET_INPUT_FULL'!A:A,B148)&gt;0,"YES","NO"))</f>
        <v>YES</v>
      </c>
      <c r="D148" s="33" t="str">
        <f>IF(B148="","",IF(COUNTIF('08_GDE_RISK_ENGINE'!A:A,B148)&gt;0,"YES","NO"))</f>
        <v>YES</v>
      </c>
      <c r="E148" s="33" t="str">
        <f>IF(B148="","",IF(COUNTIF('15_RISK_MATRIX_LINK_DATA'!A:A,B148)&gt;0,"YES","NO"))</f>
        <v>YES</v>
      </c>
      <c r="F148" s="33">
        <f>IFERROR(VLOOKUP(B148,'08_GDE_RISK_ENGINE'!A:G,5,FALSE),"")</f>
        <v>2</v>
      </c>
      <c r="G148" s="33">
        <f>IFERROR(VLOOKUP(B148,'08_GDE_RISK_ENGINE'!A:G,6,FALSE),"")</f>
        <v>4</v>
      </c>
      <c r="H148" s="33" t="str">
        <f>IFERROR(VLOOKUP(B148,'08_GDE_RISK_ENGINE'!A:G,7,FALSE),"")</f>
        <v>High</v>
      </c>
      <c r="I148" s="33" t="str">
        <f t="shared" si="1"/>
        <v>OK</v>
      </c>
      <c r="J148" s="8"/>
    </row>
    <row r="149" spans="1:10">
      <c r="A149" s="33">
        <v>114</v>
      </c>
      <c r="B149" s="33" t="str">
        <f>'01_ASSET_INPUT_FULL'!A117</f>
        <v>P2MAJ06 BR002</v>
      </c>
      <c r="C149" s="33" t="str">
        <f>IF(B149="","",IF(COUNTIF('01_ASSET_INPUT_FULL'!A:A,B149)&gt;0,"YES","NO"))</f>
        <v>YES</v>
      </c>
      <c r="D149" s="33" t="str">
        <f>IF(B149="","",IF(COUNTIF('08_GDE_RISK_ENGINE'!A:A,B149)&gt;0,"YES","NO"))</f>
        <v>YES</v>
      </c>
      <c r="E149" s="33" t="str">
        <f>IF(B149="","",IF(COUNTIF('15_RISK_MATRIX_LINK_DATA'!A:A,B149)&gt;0,"YES","NO"))</f>
        <v>YES</v>
      </c>
      <c r="F149" s="33">
        <f>IFERROR(VLOOKUP(B149,'08_GDE_RISK_ENGINE'!A:G,5,FALSE),"")</f>
        <v>2</v>
      </c>
      <c r="G149" s="33">
        <f>IFERROR(VLOOKUP(B149,'08_GDE_RISK_ENGINE'!A:G,6,FALSE),"")</f>
        <v>4</v>
      </c>
      <c r="H149" s="33" t="str">
        <f>IFERROR(VLOOKUP(B149,'08_GDE_RISK_ENGINE'!A:G,7,FALSE),"")</f>
        <v>High</v>
      </c>
      <c r="I149" s="33" t="str">
        <f t="shared" si="1"/>
        <v>OK</v>
      </c>
      <c r="J149" s="8"/>
    </row>
    <row r="150" spans="1:10">
      <c r="A150" s="33">
        <v>115</v>
      </c>
      <c r="B150" s="33" t="str">
        <f>'01_ASSET_INPUT_FULL'!A118</f>
        <v>P2MAJ07 BR001</v>
      </c>
      <c r="C150" s="33" t="str">
        <f>IF(B150="","",IF(COUNTIF('01_ASSET_INPUT_FULL'!A:A,B150)&gt;0,"YES","NO"))</f>
        <v>YES</v>
      </c>
      <c r="D150" s="33" t="str">
        <f>IF(B150="","",IF(COUNTIF('08_GDE_RISK_ENGINE'!A:A,B150)&gt;0,"YES","NO"))</f>
        <v>YES</v>
      </c>
      <c r="E150" s="33" t="str">
        <f>IF(B150="","",IF(COUNTIF('15_RISK_MATRIX_LINK_DATA'!A:A,B150)&gt;0,"YES","NO"))</f>
        <v>YES</v>
      </c>
      <c r="F150" s="33">
        <f>IFERROR(VLOOKUP(B150,'08_GDE_RISK_ENGINE'!A:G,5,FALSE),"")</f>
        <v>2</v>
      </c>
      <c r="G150" s="33">
        <f>IFERROR(VLOOKUP(B150,'08_GDE_RISK_ENGINE'!A:G,6,FALSE),"")</f>
        <v>4</v>
      </c>
      <c r="H150" s="33" t="str">
        <f>IFERROR(VLOOKUP(B150,'08_GDE_RISK_ENGINE'!A:G,7,FALSE),"")</f>
        <v>High</v>
      </c>
      <c r="I150" s="33" t="str">
        <f t="shared" si="1"/>
        <v>OK</v>
      </c>
      <c r="J150" s="8"/>
    </row>
    <row r="151" spans="1:10">
      <c r="A151" s="33">
        <v>116</v>
      </c>
      <c r="B151" s="33" t="str">
        <f>'01_ASSET_INPUT_FULL'!A119</f>
        <v>P2MAJ07 BR002</v>
      </c>
      <c r="C151" s="33" t="str">
        <f>IF(B151="","",IF(COUNTIF('01_ASSET_INPUT_FULL'!A:A,B151)&gt;0,"YES","NO"))</f>
        <v>YES</v>
      </c>
      <c r="D151" s="33" t="str">
        <f>IF(B151="","",IF(COUNTIF('08_GDE_RISK_ENGINE'!A:A,B151)&gt;0,"YES","NO"))</f>
        <v>YES</v>
      </c>
      <c r="E151" s="33" t="str">
        <f>IF(B151="","",IF(COUNTIF('15_RISK_MATRIX_LINK_DATA'!A:A,B151)&gt;0,"YES","NO"))</f>
        <v>YES</v>
      </c>
      <c r="F151" s="33">
        <f>IFERROR(VLOOKUP(B151,'08_GDE_RISK_ENGINE'!A:G,5,FALSE),"")</f>
        <v>2</v>
      </c>
      <c r="G151" s="33">
        <f>IFERROR(VLOOKUP(B151,'08_GDE_RISK_ENGINE'!A:G,6,FALSE),"")</f>
        <v>4</v>
      </c>
      <c r="H151" s="33" t="str">
        <f>IFERROR(VLOOKUP(B151,'08_GDE_RISK_ENGINE'!A:G,7,FALSE),"")</f>
        <v>High</v>
      </c>
      <c r="I151" s="33" t="str">
        <f t="shared" si="1"/>
        <v>OK</v>
      </c>
      <c r="J151" s="8"/>
    </row>
    <row r="152" spans="1:10">
      <c r="A152" s="33">
        <v>117</v>
      </c>
      <c r="B152" s="33" t="str">
        <f>'01_ASSET_INPUT_FULL'!A120</f>
        <v>P2MAJ08 BR001</v>
      </c>
      <c r="C152" s="33" t="str">
        <f>IF(B152="","",IF(COUNTIF('01_ASSET_INPUT_FULL'!A:A,B152)&gt;0,"YES","NO"))</f>
        <v>YES</v>
      </c>
      <c r="D152" s="33" t="str">
        <f>IF(B152="","",IF(COUNTIF('08_GDE_RISK_ENGINE'!A:A,B152)&gt;0,"YES","NO"))</f>
        <v>YES</v>
      </c>
      <c r="E152" s="33" t="str">
        <f>IF(B152="","",IF(COUNTIF('15_RISK_MATRIX_LINK_DATA'!A:A,B152)&gt;0,"YES","NO"))</f>
        <v>YES</v>
      </c>
      <c r="F152" s="33">
        <f>IFERROR(VLOOKUP(B152,'08_GDE_RISK_ENGINE'!A:G,5,FALSE),"")</f>
        <v>2</v>
      </c>
      <c r="G152" s="33">
        <f>IFERROR(VLOOKUP(B152,'08_GDE_RISK_ENGINE'!A:G,6,FALSE),"")</f>
        <v>4</v>
      </c>
      <c r="H152" s="33" t="str">
        <f>IFERROR(VLOOKUP(B152,'08_GDE_RISK_ENGINE'!A:G,7,FALSE),"")</f>
        <v>High</v>
      </c>
      <c r="I152" s="33" t="str">
        <f t="shared" si="1"/>
        <v>OK</v>
      </c>
      <c r="J152" s="8"/>
    </row>
    <row r="153" spans="1:10">
      <c r="A153" s="33">
        <v>118</v>
      </c>
      <c r="B153" s="33" t="str">
        <f>'01_ASSET_INPUT_FULL'!A121</f>
        <v>P2MAJ08 BR002</v>
      </c>
      <c r="C153" s="33" t="str">
        <f>IF(B153="","",IF(COUNTIF('01_ASSET_INPUT_FULL'!A:A,B153)&gt;0,"YES","NO"))</f>
        <v>YES</v>
      </c>
      <c r="D153" s="33" t="str">
        <f>IF(B153="","",IF(COUNTIF('08_GDE_RISK_ENGINE'!A:A,B153)&gt;0,"YES","NO"))</f>
        <v>YES</v>
      </c>
      <c r="E153" s="33" t="str">
        <f>IF(B153="","",IF(COUNTIF('15_RISK_MATRIX_LINK_DATA'!A:A,B153)&gt;0,"YES","NO"))</f>
        <v>YES</v>
      </c>
      <c r="F153" s="33">
        <f>IFERROR(VLOOKUP(B153,'08_GDE_RISK_ENGINE'!A:G,5,FALSE),"")</f>
        <v>2</v>
      </c>
      <c r="G153" s="33">
        <f>IFERROR(VLOOKUP(B153,'08_GDE_RISK_ENGINE'!A:G,6,FALSE),"")</f>
        <v>4</v>
      </c>
      <c r="H153" s="33" t="str">
        <f>IFERROR(VLOOKUP(B153,'08_GDE_RISK_ENGINE'!A:G,7,FALSE),"")</f>
        <v>High</v>
      </c>
      <c r="I153" s="33" t="str">
        <f t="shared" si="1"/>
        <v>OK</v>
      </c>
      <c r="J153" s="8"/>
    </row>
    <row r="154" spans="1:10">
      <c r="A154" s="33">
        <v>119</v>
      </c>
      <c r="B154" s="33" t="str">
        <f>'01_ASSET_INPUT_FULL'!A122</f>
        <v>P2MAJ09 BR001</v>
      </c>
      <c r="C154" s="33" t="str">
        <f>IF(B154="","",IF(COUNTIF('01_ASSET_INPUT_FULL'!A:A,B154)&gt;0,"YES","NO"))</f>
        <v>YES</v>
      </c>
      <c r="D154" s="33" t="str">
        <f>IF(B154="","",IF(COUNTIF('08_GDE_RISK_ENGINE'!A:A,B154)&gt;0,"YES","NO"))</f>
        <v>YES</v>
      </c>
      <c r="E154" s="33" t="str">
        <f>IF(B154="","",IF(COUNTIF('15_RISK_MATRIX_LINK_DATA'!A:A,B154)&gt;0,"YES","NO"))</f>
        <v>YES</v>
      </c>
      <c r="F154" s="33">
        <f>IFERROR(VLOOKUP(B154,'08_GDE_RISK_ENGINE'!A:G,5,FALSE),"")</f>
        <v>2</v>
      </c>
      <c r="G154" s="33">
        <f>IFERROR(VLOOKUP(B154,'08_GDE_RISK_ENGINE'!A:G,6,FALSE),"")</f>
        <v>4</v>
      </c>
      <c r="H154" s="33" t="str">
        <f>IFERROR(VLOOKUP(B154,'08_GDE_RISK_ENGINE'!A:G,7,FALSE),"")</f>
        <v>High</v>
      </c>
      <c r="I154" s="33" t="str">
        <f t="shared" si="1"/>
        <v>OK</v>
      </c>
      <c r="J154" s="8"/>
    </row>
    <row r="155" spans="1:10">
      <c r="A155" s="33">
        <v>120</v>
      </c>
      <c r="B155" s="33" t="str">
        <f>'01_ASSET_INPUT_FULL'!A123</f>
        <v>P2MAJ10 BR001</v>
      </c>
      <c r="C155" s="33" t="str">
        <f>IF(B155="","",IF(COUNTIF('01_ASSET_INPUT_FULL'!A:A,B155)&gt;0,"YES","NO"))</f>
        <v>YES</v>
      </c>
      <c r="D155" s="33" t="str">
        <f>IF(B155="","",IF(COUNTIF('08_GDE_RISK_ENGINE'!A:A,B155)&gt;0,"YES","NO"))</f>
        <v>YES</v>
      </c>
      <c r="E155" s="33" t="str">
        <f>IF(B155="","",IF(COUNTIF('15_RISK_MATRIX_LINK_DATA'!A:A,B155)&gt;0,"YES","NO"))</f>
        <v>YES</v>
      </c>
      <c r="F155" s="33">
        <f>IFERROR(VLOOKUP(B155,'08_GDE_RISK_ENGINE'!A:G,5,FALSE),"")</f>
        <v>2</v>
      </c>
      <c r="G155" s="33">
        <f>IFERROR(VLOOKUP(B155,'08_GDE_RISK_ENGINE'!A:G,6,FALSE),"")</f>
        <v>4</v>
      </c>
      <c r="H155" s="33" t="str">
        <f>IFERROR(VLOOKUP(B155,'08_GDE_RISK_ENGINE'!A:G,7,FALSE),"")</f>
        <v>High</v>
      </c>
      <c r="I155" s="33" t="str">
        <f t="shared" si="1"/>
        <v>OK</v>
      </c>
      <c r="J155" s="8"/>
    </row>
    <row r="156" spans="1:10">
      <c r="A156" s="33">
        <v>121</v>
      </c>
      <c r="B156" s="33" t="str">
        <f>'01_ASSET_INPUT_FULL'!A124</f>
        <v>P2PCB03 BR001</v>
      </c>
      <c r="C156" s="33" t="str">
        <f>IF(B156="","",IF(COUNTIF('01_ASSET_INPUT_FULL'!A:A,B156)&gt;0,"YES","NO"))</f>
        <v>YES</v>
      </c>
      <c r="D156" s="33" t="str">
        <f>IF(B156="","",IF(COUNTIF('08_GDE_RISK_ENGINE'!A:A,B156)&gt;0,"YES","NO"))</f>
        <v>YES</v>
      </c>
      <c r="E156" s="33" t="str">
        <f>IF(B156="","",IF(COUNTIF('15_RISK_MATRIX_LINK_DATA'!A:A,B156)&gt;0,"YES","NO"))</f>
        <v>YES</v>
      </c>
      <c r="F156" s="33">
        <f>IFERROR(VLOOKUP(B156,'08_GDE_RISK_ENGINE'!A:G,5,FALSE),"")</f>
        <v>2</v>
      </c>
      <c r="G156" s="33">
        <f>IFERROR(VLOOKUP(B156,'08_GDE_RISK_ENGINE'!A:G,6,FALSE),"")</f>
        <v>3</v>
      </c>
      <c r="H156" s="33" t="str">
        <f>IFERROR(VLOOKUP(B156,'08_GDE_RISK_ENGINE'!A:G,7,FALSE),"")</f>
        <v>High</v>
      </c>
      <c r="I156" s="33" t="str">
        <f t="shared" si="1"/>
        <v>OK</v>
      </c>
      <c r="J156" s="8"/>
    </row>
    <row r="157" spans="1:10">
      <c r="A157" s="33">
        <v>122</v>
      </c>
      <c r="B157" s="33" t="str">
        <f>'01_ASSET_INPUT_FULL'!A125</f>
        <v>P2MAJ11 BR004</v>
      </c>
      <c r="C157" s="33" t="str">
        <f>IF(B157="","",IF(COUNTIF('01_ASSET_INPUT_FULL'!A:A,B157)&gt;0,"YES","NO"))</f>
        <v>YES</v>
      </c>
      <c r="D157" s="33" t="str">
        <f>IF(B157="","",IF(COUNTIF('08_GDE_RISK_ENGINE'!A:A,B157)&gt;0,"YES","NO"))</f>
        <v>YES</v>
      </c>
      <c r="E157" s="33" t="str">
        <f>IF(B157="","",IF(COUNTIF('15_RISK_MATRIX_LINK_DATA'!A:A,B157)&gt;0,"YES","NO"))</f>
        <v>YES</v>
      </c>
      <c r="F157" s="33">
        <f>IFERROR(VLOOKUP(B157,'08_GDE_RISK_ENGINE'!A:G,5,FALSE),"")</f>
        <v>2</v>
      </c>
      <c r="G157" s="33">
        <f>IFERROR(VLOOKUP(B157,'08_GDE_RISK_ENGINE'!A:G,6,FALSE),"")</f>
        <v>4</v>
      </c>
      <c r="H157" s="33" t="str">
        <f>IFERROR(VLOOKUP(B157,'08_GDE_RISK_ENGINE'!A:G,7,FALSE),"")</f>
        <v>High</v>
      </c>
      <c r="I157" s="33" t="str">
        <f t="shared" si="1"/>
        <v>OK</v>
      </c>
      <c r="J157" s="8"/>
    </row>
    <row r="158" spans="1:10">
      <c r="A158" s="33">
        <v>123</v>
      </c>
      <c r="B158" s="33" t="str">
        <f>'01_ASSET_INPUT_FULL'!A126</f>
        <v>P2PCB01 BR002</v>
      </c>
      <c r="C158" s="33" t="str">
        <f>IF(B158="","",IF(COUNTIF('01_ASSET_INPUT_FULL'!A:A,B158)&gt;0,"YES","NO"))</f>
        <v>YES</v>
      </c>
      <c r="D158" s="33" t="str">
        <f>IF(B158="","",IF(COUNTIF('08_GDE_RISK_ENGINE'!A:A,B158)&gt;0,"YES","NO"))</f>
        <v>YES</v>
      </c>
      <c r="E158" s="33" t="str">
        <f>IF(B158="","",IF(COUNTIF('15_RISK_MATRIX_LINK_DATA'!A:A,B158)&gt;0,"YES","NO"))</f>
        <v>YES</v>
      </c>
      <c r="F158" s="33">
        <f>IFERROR(VLOOKUP(B158,'08_GDE_RISK_ENGINE'!A:G,5,FALSE),"")</f>
        <v>2</v>
      </c>
      <c r="G158" s="33">
        <f>IFERROR(VLOOKUP(B158,'08_GDE_RISK_ENGINE'!A:G,6,FALSE),"")</f>
        <v>3</v>
      </c>
      <c r="H158" s="33" t="str">
        <f>IFERROR(VLOOKUP(B158,'08_GDE_RISK_ENGINE'!A:G,7,FALSE),"")</f>
        <v>High</v>
      </c>
      <c r="I158" s="33" t="str">
        <f t="shared" si="1"/>
        <v>OK</v>
      </c>
      <c r="J158" s="8"/>
    </row>
    <row r="159" spans="1:10">
      <c r="A159" s="33">
        <v>124</v>
      </c>
      <c r="B159" s="33" t="str">
        <f>'01_ASSET_INPUT_FULL'!A127</f>
        <v>P2PCB01 BR003</v>
      </c>
      <c r="C159" s="33" t="str">
        <f>IF(B159="","",IF(COUNTIF('01_ASSET_INPUT_FULL'!A:A,B159)&gt;0,"YES","NO"))</f>
        <v>YES</v>
      </c>
      <c r="D159" s="33" t="str">
        <f>IF(B159="","",IF(COUNTIF('08_GDE_RISK_ENGINE'!A:A,B159)&gt;0,"YES","NO"))</f>
        <v>YES</v>
      </c>
      <c r="E159" s="33" t="str">
        <f>IF(B159="","",IF(COUNTIF('15_RISK_MATRIX_LINK_DATA'!A:A,B159)&gt;0,"YES","NO"))</f>
        <v>YES</v>
      </c>
      <c r="F159" s="33">
        <f>IFERROR(VLOOKUP(B159,'08_GDE_RISK_ENGINE'!A:G,5,FALSE),"")</f>
        <v>2</v>
      </c>
      <c r="G159" s="33">
        <f>IFERROR(VLOOKUP(B159,'08_GDE_RISK_ENGINE'!A:G,6,FALSE),"")</f>
        <v>3</v>
      </c>
      <c r="H159" s="33" t="str">
        <f>IFERROR(VLOOKUP(B159,'08_GDE_RISK_ENGINE'!A:G,7,FALSE),"")</f>
        <v>High</v>
      </c>
      <c r="I159" s="33" t="str">
        <f t="shared" si="1"/>
        <v>OK</v>
      </c>
      <c r="J159" s="8"/>
    </row>
    <row r="160" spans="1:10">
      <c r="A160" s="33">
        <v>125</v>
      </c>
      <c r="B160" s="33" t="str">
        <f>'01_ASSET_INPUT_FULL'!A128</f>
        <v>P2MAJ10 BR002</v>
      </c>
      <c r="C160" s="33" t="str">
        <f>IF(B160="","",IF(COUNTIF('01_ASSET_INPUT_FULL'!A:A,B160)&gt;0,"YES","NO"))</f>
        <v>YES</v>
      </c>
      <c r="D160" s="33" t="str">
        <f>IF(B160="","",IF(COUNTIF('08_GDE_RISK_ENGINE'!A:A,B160)&gt;0,"YES","NO"))</f>
        <v>YES</v>
      </c>
      <c r="E160" s="33" t="str">
        <f>IF(B160="","",IF(COUNTIF('15_RISK_MATRIX_LINK_DATA'!A:A,B160)&gt;0,"YES","NO"))</f>
        <v>YES</v>
      </c>
      <c r="F160" s="33">
        <f>IFERROR(VLOOKUP(B160,'08_GDE_RISK_ENGINE'!A:G,5,FALSE),"")</f>
        <v>1</v>
      </c>
      <c r="G160" s="33">
        <f>IFERROR(VLOOKUP(B160,'08_GDE_RISK_ENGINE'!A:G,6,FALSE),"")</f>
        <v>4</v>
      </c>
      <c r="H160" s="33" t="str">
        <f>IFERROR(VLOOKUP(B160,'08_GDE_RISK_ENGINE'!A:G,7,FALSE),"")</f>
        <v>Medium</v>
      </c>
      <c r="I160" s="33" t="str">
        <f t="shared" si="1"/>
        <v>OK</v>
      </c>
      <c r="J160" s="8"/>
    </row>
    <row r="161" spans="1:10">
      <c r="A161" s="33">
        <v>126</v>
      </c>
      <c r="B161" s="33" t="str">
        <f>'01_ASSET_INPUT_FULL'!A129</f>
        <v>P2MAJ10 BR004</v>
      </c>
      <c r="C161" s="33" t="str">
        <f>IF(B161="","",IF(COUNTIF('01_ASSET_INPUT_FULL'!A:A,B161)&gt;0,"YES","NO"))</f>
        <v>YES</v>
      </c>
      <c r="D161" s="33" t="str">
        <f>IF(B161="","",IF(COUNTIF('08_GDE_RISK_ENGINE'!A:A,B161)&gt;0,"YES","NO"))</f>
        <v>YES</v>
      </c>
      <c r="E161" s="33" t="str">
        <f>IF(B161="","",IF(COUNTIF('15_RISK_MATRIX_LINK_DATA'!A:A,B161)&gt;0,"YES","NO"))</f>
        <v>YES</v>
      </c>
      <c r="F161" s="33">
        <f>IFERROR(VLOOKUP(B161,'08_GDE_RISK_ENGINE'!A:G,5,FALSE),"")</f>
        <v>2</v>
      </c>
      <c r="G161" s="33">
        <f>IFERROR(VLOOKUP(B161,'08_GDE_RISK_ENGINE'!A:G,6,FALSE),"")</f>
        <v>4</v>
      </c>
      <c r="H161" s="33" t="str">
        <f>IFERROR(VLOOKUP(B161,'08_GDE_RISK_ENGINE'!A:G,7,FALSE),"")</f>
        <v>High</v>
      </c>
      <c r="I161" s="33" t="str">
        <f t="shared" si="1"/>
        <v>OK</v>
      </c>
      <c r="J161" s="8"/>
    </row>
    <row r="162" spans="1:10">
      <c r="A162" s="33">
        <v>127</v>
      </c>
      <c r="B162" s="33" t="str">
        <f>'01_ASSET_INPUT_FULL'!A130</f>
        <v>P2MAJ11 BR001</v>
      </c>
      <c r="C162" s="33" t="str">
        <f>IF(B162="","",IF(COUNTIF('01_ASSET_INPUT_FULL'!A:A,B162)&gt;0,"YES","NO"))</f>
        <v>YES</v>
      </c>
      <c r="D162" s="33" t="str">
        <f>IF(B162="","",IF(COUNTIF('08_GDE_RISK_ENGINE'!A:A,B162)&gt;0,"YES","NO"))</f>
        <v>YES</v>
      </c>
      <c r="E162" s="33" t="str">
        <f>IF(B162="","",IF(COUNTIF('15_RISK_MATRIX_LINK_DATA'!A:A,B162)&gt;0,"YES","NO"))</f>
        <v>YES</v>
      </c>
      <c r="F162" s="33">
        <f>IFERROR(VLOOKUP(B162,'08_GDE_RISK_ENGINE'!A:G,5,FALSE),"")</f>
        <v>2</v>
      </c>
      <c r="G162" s="33">
        <f>IFERROR(VLOOKUP(B162,'08_GDE_RISK_ENGINE'!A:G,6,FALSE),"")</f>
        <v>4</v>
      </c>
      <c r="H162" s="33" t="str">
        <f>IFERROR(VLOOKUP(B162,'08_GDE_RISK_ENGINE'!A:G,7,FALSE),"")</f>
        <v>High</v>
      </c>
      <c r="I162" s="33" t="str">
        <f t="shared" si="1"/>
        <v>OK</v>
      </c>
      <c r="J162" s="8"/>
    </row>
    <row r="163" spans="1:10">
      <c r="A163" s="33">
        <v>128</v>
      </c>
      <c r="B163" s="33" t="str">
        <f>'01_ASSET_INPUT_FULL'!A131</f>
        <v>P2MAJ02 BR001</v>
      </c>
      <c r="C163" s="33" t="str">
        <f>IF(B163="","",IF(COUNTIF('01_ASSET_INPUT_FULL'!A:A,B163)&gt;0,"YES","NO"))</f>
        <v>YES</v>
      </c>
      <c r="D163" s="33" t="str">
        <f>IF(B163="","",IF(COUNTIF('08_GDE_RISK_ENGINE'!A:A,B163)&gt;0,"YES","NO"))</f>
        <v>YES</v>
      </c>
      <c r="E163" s="33" t="str">
        <f>IF(B163="","",IF(COUNTIF('15_RISK_MATRIX_LINK_DATA'!A:A,B163)&gt;0,"YES","NO"))</f>
        <v>YES</v>
      </c>
      <c r="F163" s="33">
        <f>IFERROR(VLOOKUP(B163,'08_GDE_RISK_ENGINE'!A:G,5,FALSE),"")</f>
        <v>2</v>
      </c>
      <c r="G163" s="33">
        <f>IFERROR(VLOOKUP(B163,'08_GDE_RISK_ENGINE'!A:G,6,FALSE),"")</f>
        <v>4</v>
      </c>
      <c r="H163" s="33" t="str">
        <f>IFERROR(VLOOKUP(B163,'08_GDE_RISK_ENGINE'!A:G,7,FALSE),"")</f>
        <v>High</v>
      </c>
      <c r="I163" s="33" t="str">
        <f t="shared" si="1"/>
        <v>OK</v>
      </c>
      <c r="J163" s="8"/>
    </row>
    <row r="164" spans="1:10">
      <c r="A164" s="33">
        <v>129</v>
      </c>
      <c r="B164" s="33" t="str">
        <f>'01_ASSET_INPUT_FULL'!A132</f>
        <v>P2MAJ51 BR001</v>
      </c>
      <c r="C164" s="33" t="str">
        <f>IF(B164="","",IF(COUNTIF('01_ASSET_INPUT_FULL'!A:A,B164)&gt;0,"YES","NO"))</f>
        <v>YES</v>
      </c>
      <c r="D164" s="33" t="str">
        <f>IF(B164="","",IF(COUNTIF('08_GDE_RISK_ENGINE'!A:A,B164)&gt;0,"YES","NO"))</f>
        <v>YES</v>
      </c>
      <c r="E164" s="33" t="str">
        <f>IF(B164="","",IF(COUNTIF('15_RISK_MATRIX_LINK_DATA'!A:A,B164)&gt;0,"YES","NO"))</f>
        <v>YES</v>
      </c>
      <c r="F164" s="33">
        <f>IFERROR(VLOOKUP(B164,'08_GDE_RISK_ENGINE'!A:G,5,FALSE),"")</f>
        <v>2</v>
      </c>
      <c r="G164" s="33">
        <f>IFERROR(VLOOKUP(B164,'08_GDE_RISK_ENGINE'!A:G,6,FALSE),"")</f>
        <v>4</v>
      </c>
      <c r="H164" s="33" t="str">
        <f>IFERROR(VLOOKUP(B164,'08_GDE_RISK_ENGINE'!A:G,7,FALSE),"")</f>
        <v>High</v>
      </c>
      <c r="I164" s="33" t="str">
        <f t="shared" ref="I164:I227" si="2">IF(B164="","",IF(AND(D164="YES",E164="YES",F164&lt;&gt;"",G164&lt;&gt;"",H164&lt;&gt;""),"OK","CHECK"))</f>
        <v>OK</v>
      </c>
      <c r="J164" s="8"/>
    </row>
    <row r="165" spans="1:10">
      <c r="A165" s="33">
        <v>130</v>
      </c>
      <c r="B165" s="33" t="str">
        <f>'01_ASSET_INPUT_FULL'!A133</f>
        <v>P2MAJ51 BR002</v>
      </c>
      <c r="C165" s="33" t="str">
        <f>IF(B165="","",IF(COUNTIF('01_ASSET_INPUT_FULL'!A:A,B165)&gt;0,"YES","NO"))</f>
        <v>YES</v>
      </c>
      <c r="D165" s="33" t="str">
        <f>IF(B165="","",IF(COUNTIF('08_GDE_RISK_ENGINE'!A:A,B165)&gt;0,"YES","NO"))</f>
        <v>YES</v>
      </c>
      <c r="E165" s="33" t="str">
        <f>IF(B165="","",IF(COUNTIF('15_RISK_MATRIX_LINK_DATA'!A:A,B165)&gt;0,"YES","NO"))</f>
        <v>YES</v>
      </c>
      <c r="F165" s="33">
        <f>IFERROR(VLOOKUP(B165,'08_GDE_RISK_ENGINE'!A:G,5,FALSE),"")</f>
        <v>2</v>
      </c>
      <c r="G165" s="33">
        <f>IFERROR(VLOOKUP(B165,'08_GDE_RISK_ENGINE'!A:G,6,FALSE),"")</f>
        <v>4</v>
      </c>
      <c r="H165" s="33" t="str">
        <f>IFERROR(VLOOKUP(B165,'08_GDE_RISK_ENGINE'!A:G,7,FALSE),"")</f>
        <v>High</v>
      </c>
      <c r="I165" s="33" t="str">
        <f t="shared" si="2"/>
        <v>OK</v>
      </c>
      <c r="J165" s="8"/>
    </row>
    <row r="166" spans="1:10">
      <c r="A166" s="33">
        <v>131</v>
      </c>
      <c r="B166" s="33" t="str">
        <f>'01_ASSET_INPUT_FULL'!A134</f>
        <v>P2MAJ51 BR003</v>
      </c>
      <c r="C166" s="33" t="str">
        <f>IF(B166="","",IF(COUNTIF('01_ASSET_INPUT_FULL'!A:A,B166)&gt;0,"YES","NO"))</f>
        <v>YES</v>
      </c>
      <c r="D166" s="33" t="str">
        <f>IF(B166="","",IF(COUNTIF('08_GDE_RISK_ENGINE'!A:A,B166)&gt;0,"YES","NO"))</f>
        <v>YES</v>
      </c>
      <c r="E166" s="33" t="str">
        <f>IF(B166="","",IF(COUNTIF('15_RISK_MATRIX_LINK_DATA'!A:A,B166)&gt;0,"YES","NO"))</f>
        <v>YES</v>
      </c>
      <c r="F166" s="33">
        <f>IFERROR(VLOOKUP(B166,'08_GDE_RISK_ENGINE'!A:G,5,FALSE),"")</f>
        <v>2</v>
      </c>
      <c r="G166" s="33">
        <f>IFERROR(VLOOKUP(B166,'08_GDE_RISK_ENGINE'!A:G,6,FALSE),"")</f>
        <v>4</v>
      </c>
      <c r="H166" s="33" t="str">
        <f>IFERROR(VLOOKUP(B166,'08_GDE_RISK_ENGINE'!A:G,7,FALSE),"")</f>
        <v>High</v>
      </c>
      <c r="I166" s="33" t="str">
        <f t="shared" si="2"/>
        <v>OK</v>
      </c>
      <c r="J166" s="8"/>
    </row>
    <row r="167" spans="1:10">
      <c r="A167" s="33">
        <v>132</v>
      </c>
      <c r="B167" s="33" t="str">
        <f>'01_ASSET_INPUT_FULL'!A135</f>
        <v>P2MAJ14 BR001</v>
      </c>
      <c r="C167" s="33" t="str">
        <f>IF(B167="","",IF(COUNTIF('01_ASSET_INPUT_FULL'!A:A,B167)&gt;0,"YES","NO"))</f>
        <v>YES</v>
      </c>
      <c r="D167" s="33" t="str">
        <f>IF(B167="","",IF(COUNTIF('08_GDE_RISK_ENGINE'!A:A,B167)&gt;0,"YES","NO"))</f>
        <v>YES</v>
      </c>
      <c r="E167" s="33" t="str">
        <f>IF(B167="","",IF(COUNTIF('15_RISK_MATRIX_LINK_DATA'!A:A,B167)&gt;0,"YES","NO"))</f>
        <v>YES</v>
      </c>
      <c r="F167" s="33">
        <f>IFERROR(VLOOKUP(B167,'08_GDE_RISK_ENGINE'!A:G,5,FALSE),"")</f>
        <v>2</v>
      </c>
      <c r="G167" s="33">
        <f>IFERROR(VLOOKUP(B167,'08_GDE_RISK_ENGINE'!A:G,6,FALSE),"")</f>
        <v>4</v>
      </c>
      <c r="H167" s="33" t="str">
        <f>IFERROR(VLOOKUP(B167,'08_GDE_RISK_ENGINE'!A:G,7,FALSE),"")</f>
        <v>High</v>
      </c>
      <c r="I167" s="33" t="str">
        <f t="shared" si="2"/>
        <v>OK</v>
      </c>
      <c r="J167" s="8"/>
    </row>
    <row r="168" spans="1:10">
      <c r="A168" s="33">
        <v>133</v>
      </c>
      <c r="B168" s="33" t="str">
        <f>'01_ASSET_INPUT_FULL'!A136</f>
        <v>P2MAJ03 BR001</v>
      </c>
      <c r="C168" s="33" t="str">
        <f>IF(B168="","",IF(COUNTIF('01_ASSET_INPUT_FULL'!A:A,B168)&gt;0,"YES","NO"))</f>
        <v>YES</v>
      </c>
      <c r="D168" s="33" t="str">
        <f>IF(B168="","",IF(COUNTIF('08_GDE_RISK_ENGINE'!A:A,B168)&gt;0,"YES","NO"))</f>
        <v>YES</v>
      </c>
      <c r="E168" s="33" t="str">
        <f>IF(B168="","",IF(COUNTIF('15_RISK_MATRIX_LINK_DATA'!A:A,B168)&gt;0,"YES","NO"))</f>
        <v>YES</v>
      </c>
      <c r="F168" s="33">
        <f>IFERROR(VLOOKUP(B168,'08_GDE_RISK_ENGINE'!A:G,5,FALSE),"")</f>
        <v>2</v>
      </c>
      <c r="G168" s="33">
        <f>IFERROR(VLOOKUP(B168,'08_GDE_RISK_ENGINE'!A:G,6,FALSE),"")</f>
        <v>4</v>
      </c>
      <c r="H168" s="33" t="str">
        <f>IFERROR(VLOOKUP(B168,'08_GDE_RISK_ENGINE'!A:G,7,FALSE),"")</f>
        <v>High</v>
      </c>
      <c r="I168" s="33" t="str">
        <f t="shared" si="2"/>
        <v>OK</v>
      </c>
      <c r="J168" s="8"/>
    </row>
    <row r="169" spans="1:10">
      <c r="A169" s="33">
        <v>134</v>
      </c>
      <c r="B169" s="33" t="str">
        <f>'01_ASSET_INPUT_FULL'!A137</f>
        <v>P2PCB02 BR002</v>
      </c>
      <c r="C169" s="33" t="str">
        <f>IF(B169="","",IF(COUNTIF('01_ASSET_INPUT_FULL'!A:A,B169)&gt;0,"YES","NO"))</f>
        <v>YES</v>
      </c>
      <c r="D169" s="33" t="str">
        <f>IF(B169="","",IF(COUNTIF('08_GDE_RISK_ENGINE'!A:A,B169)&gt;0,"YES","NO"))</f>
        <v>YES</v>
      </c>
      <c r="E169" s="33" t="str">
        <f>IF(B169="","",IF(COUNTIF('15_RISK_MATRIX_LINK_DATA'!A:A,B169)&gt;0,"YES","NO"))</f>
        <v>YES</v>
      </c>
      <c r="F169" s="33">
        <f>IFERROR(VLOOKUP(B169,'08_GDE_RISK_ENGINE'!A:G,5,FALSE),"")</f>
        <v>2</v>
      </c>
      <c r="G169" s="33">
        <f>IFERROR(VLOOKUP(B169,'08_GDE_RISK_ENGINE'!A:G,6,FALSE),"")</f>
        <v>3</v>
      </c>
      <c r="H169" s="33" t="str">
        <f>IFERROR(VLOOKUP(B169,'08_GDE_RISK_ENGINE'!A:G,7,FALSE),"")</f>
        <v>High</v>
      </c>
      <c r="I169" s="33" t="str">
        <f t="shared" si="2"/>
        <v>OK</v>
      </c>
      <c r="J169" s="8"/>
    </row>
    <row r="170" spans="1:10">
      <c r="A170" s="33">
        <v>135</v>
      </c>
      <c r="B170" s="33" t="str">
        <f>'01_ASSET_INPUT_FULL'!A138</f>
        <v>P2PCB02 BR003</v>
      </c>
      <c r="C170" s="33" t="str">
        <f>IF(B170="","",IF(COUNTIF('01_ASSET_INPUT_FULL'!A:A,B170)&gt;0,"YES","NO"))</f>
        <v>YES</v>
      </c>
      <c r="D170" s="33" t="str">
        <f>IF(B170="","",IF(COUNTIF('08_GDE_RISK_ENGINE'!A:A,B170)&gt;0,"YES","NO"))</f>
        <v>YES</v>
      </c>
      <c r="E170" s="33" t="str">
        <f>IF(B170="","",IF(COUNTIF('15_RISK_MATRIX_LINK_DATA'!A:A,B170)&gt;0,"YES","NO"))</f>
        <v>YES</v>
      </c>
      <c r="F170" s="33">
        <f>IFERROR(VLOOKUP(B170,'08_GDE_RISK_ENGINE'!A:G,5,FALSE),"")</f>
        <v>2</v>
      </c>
      <c r="G170" s="33">
        <f>IFERROR(VLOOKUP(B170,'08_GDE_RISK_ENGINE'!A:G,6,FALSE),"")</f>
        <v>3</v>
      </c>
      <c r="H170" s="33" t="str">
        <f>IFERROR(VLOOKUP(B170,'08_GDE_RISK_ENGINE'!A:G,7,FALSE),"")</f>
        <v>High</v>
      </c>
      <c r="I170" s="33" t="str">
        <f t="shared" si="2"/>
        <v>OK</v>
      </c>
      <c r="J170" s="8"/>
    </row>
    <row r="171" spans="1:10">
      <c r="A171" s="33">
        <v>136</v>
      </c>
      <c r="B171" s="33" t="str">
        <f>'01_ASSET_INPUT_FULL'!A139</f>
        <v>P2MAJ12 BR001</v>
      </c>
      <c r="C171" s="33" t="str">
        <f>IF(B171="","",IF(COUNTIF('01_ASSET_INPUT_FULL'!A:A,B171)&gt;0,"YES","NO"))</f>
        <v>YES</v>
      </c>
      <c r="D171" s="33" t="str">
        <f>IF(B171="","",IF(COUNTIF('08_GDE_RISK_ENGINE'!A:A,B171)&gt;0,"YES","NO"))</f>
        <v>YES</v>
      </c>
      <c r="E171" s="33" t="str">
        <f>IF(B171="","",IF(COUNTIF('15_RISK_MATRIX_LINK_DATA'!A:A,B171)&gt;0,"YES","NO"))</f>
        <v>YES</v>
      </c>
      <c r="F171" s="33">
        <f>IFERROR(VLOOKUP(B171,'08_GDE_RISK_ENGINE'!A:G,5,FALSE),"")</f>
        <v>2</v>
      </c>
      <c r="G171" s="33">
        <f>IFERROR(VLOOKUP(B171,'08_GDE_RISK_ENGINE'!A:G,6,FALSE),"")</f>
        <v>4</v>
      </c>
      <c r="H171" s="33" t="str">
        <f>IFERROR(VLOOKUP(B171,'08_GDE_RISK_ENGINE'!A:G,7,FALSE),"")</f>
        <v>High</v>
      </c>
      <c r="I171" s="33" t="str">
        <f t="shared" si="2"/>
        <v>OK</v>
      </c>
      <c r="J171" s="8"/>
    </row>
    <row r="172" spans="1:10">
      <c r="A172" s="33">
        <v>137</v>
      </c>
      <c r="B172" s="33" t="str">
        <f>'01_ASSET_INPUT_FULL'!A140</f>
        <v>P2MAJ13 BR001</v>
      </c>
      <c r="C172" s="33" t="str">
        <f>IF(B172="","",IF(COUNTIF('01_ASSET_INPUT_FULL'!A:A,B172)&gt;0,"YES","NO"))</f>
        <v>YES</v>
      </c>
      <c r="D172" s="33" t="str">
        <f>IF(B172="","",IF(COUNTIF('08_GDE_RISK_ENGINE'!A:A,B172)&gt;0,"YES","NO"))</f>
        <v>YES</v>
      </c>
      <c r="E172" s="33" t="str">
        <f>IF(B172="","",IF(COUNTIF('15_RISK_MATRIX_LINK_DATA'!A:A,B172)&gt;0,"YES","NO"))</f>
        <v>YES</v>
      </c>
      <c r="F172" s="33">
        <f>IFERROR(VLOOKUP(B172,'08_GDE_RISK_ENGINE'!A:G,5,FALSE),"")</f>
        <v>2</v>
      </c>
      <c r="G172" s="33">
        <f>IFERROR(VLOOKUP(B172,'08_GDE_RISK_ENGINE'!A:G,6,FALSE),"")</f>
        <v>4</v>
      </c>
      <c r="H172" s="33" t="str">
        <f>IFERROR(VLOOKUP(B172,'08_GDE_RISK_ENGINE'!A:G,7,FALSE),"")</f>
        <v>High</v>
      </c>
      <c r="I172" s="33" t="str">
        <f t="shared" si="2"/>
        <v>OK</v>
      </c>
      <c r="J172" s="8"/>
    </row>
    <row r="173" spans="1:10">
      <c r="A173" s="33">
        <v>138</v>
      </c>
      <c r="B173" s="33" t="str">
        <f>'01_ASSET_INPUT_FULL'!A141</f>
        <v>P2MAJ13 BR002</v>
      </c>
      <c r="C173" s="33" t="str">
        <f>IF(B173="","",IF(COUNTIF('01_ASSET_INPUT_FULL'!A:A,B173)&gt;0,"YES","NO"))</f>
        <v>YES</v>
      </c>
      <c r="D173" s="33" t="str">
        <f>IF(B173="","",IF(COUNTIF('08_GDE_RISK_ENGINE'!A:A,B173)&gt;0,"YES","NO"))</f>
        <v>YES</v>
      </c>
      <c r="E173" s="33" t="str">
        <f>IF(B173="","",IF(COUNTIF('15_RISK_MATRIX_LINK_DATA'!A:A,B173)&gt;0,"YES","NO"))</f>
        <v>YES</v>
      </c>
      <c r="F173" s="33">
        <f>IFERROR(VLOOKUP(B173,'08_GDE_RISK_ENGINE'!A:G,5,FALSE),"")</f>
        <v>1</v>
      </c>
      <c r="G173" s="33">
        <f>IFERROR(VLOOKUP(B173,'08_GDE_RISK_ENGINE'!A:G,6,FALSE),"")</f>
        <v>4</v>
      </c>
      <c r="H173" s="33" t="str">
        <f>IFERROR(VLOOKUP(B173,'08_GDE_RISK_ENGINE'!A:G,7,FALSE),"")</f>
        <v>Medium</v>
      </c>
      <c r="I173" s="33" t="str">
        <f t="shared" si="2"/>
        <v>OK</v>
      </c>
      <c r="J173" s="8"/>
    </row>
    <row r="174" spans="1:10">
      <c r="A174" s="33">
        <v>139</v>
      </c>
      <c r="B174" s="33" t="str">
        <f>'01_ASSET_INPUT_FULL'!A142</f>
        <v>P2MAJ13 BR003</v>
      </c>
      <c r="C174" s="33" t="str">
        <f>IF(B174="","",IF(COUNTIF('01_ASSET_INPUT_FULL'!A:A,B174)&gt;0,"YES","NO"))</f>
        <v>YES</v>
      </c>
      <c r="D174" s="33" t="str">
        <f>IF(B174="","",IF(COUNTIF('08_GDE_RISK_ENGINE'!A:A,B174)&gt;0,"YES","NO"))</f>
        <v>YES</v>
      </c>
      <c r="E174" s="33" t="str">
        <f>IF(B174="","",IF(COUNTIF('15_RISK_MATRIX_LINK_DATA'!A:A,B174)&gt;0,"YES","NO"))</f>
        <v>YES</v>
      </c>
      <c r="F174" s="33">
        <f>IFERROR(VLOOKUP(B174,'08_GDE_RISK_ENGINE'!A:G,5,FALSE),"")</f>
        <v>2</v>
      </c>
      <c r="G174" s="33">
        <f>IFERROR(VLOOKUP(B174,'08_GDE_RISK_ENGINE'!A:G,6,FALSE),"")</f>
        <v>4</v>
      </c>
      <c r="H174" s="33" t="str">
        <f>IFERROR(VLOOKUP(B174,'08_GDE_RISK_ENGINE'!A:G,7,FALSE),"")</f>
        <v>High</v>
      </c>
      <c r="I174" s="33" t="str">
        <f t="shared" si="2"/>
        <v>OK</v>
      </c>
      <c r="J174" s="8"/>
    </row>
    <row r="175" spans="1:10">
      <c r="A175" s="33">
        <v>140</v>
      </c>
      <c r="B175" s="33" t="str">
        <f>'01_ASSET_INPUT_FULL'!A143</f>
        <v>P2MAJ13 BR004</v>
      </c>
      <c r="C175" s="33" t="str">
        <f>IF(B175="","",IF(COUNTIF('01_ASSET_INPUT_FULL'!A:A,B175)&gt;0,"YES","NO"))</f>
        <v>YES</v>
      </c>
      <c r="D175" s="33" t="str">
        <f>IF(B175="","",IF(COUNTIF('08_GDE_RISK_ENGINE'!A:A,B175)&gt;0,"YES","NO"))</f>
        <v>YES</v>
      </c>
      <c r="E175" s="33" t="str">
        <f>IF(B175="","",IF(COUNTIF('15_RISK_MATRIX_LINK_DATA'!A:A,B175)&gt;0,"YES","NO"))</f>
        <v>YES</v>
      </c>
      <c r="F175" s="33">
        <f>IFERROR(VLOOKUP(B175,'08_GDE_RISK_ENGINE'!A:G,5,FALSE),"")</f>
        <v>2</v>
      </c>
      <c r="G175" s="33">
        <f>IFERROR(VLOOKUP(B175,'08_GDE_RISK_ENGINE'!A:G,6,FALSE),"")</f>
        <v>4</v>
      </c>
      <c r="H175" s="33" t="str">
        <f>IFERROR(VLOOKUP(B175,'08_GDE_RISK_ENGINE'!A:G,7,FALSE),"")</f>
        <v>High</v>
      </c>
      <c r="I175" s="33" t="str">
        <f t="shared" si="2"/>
        <v>OK</v>
      </c>
      <c r="J175" s="8"/>
    </row>
    <row r="176" spans="1:10">
      <c r="A176" s="33">
        <v>141</v>
      </c>
      <c r="B176" s="33" t="str">
        <f>'01_ASSET_INPUT_FULL'!A144</f>
        <v>P2MAJ52 BR001</v>
      </c>
      <c r="C176" s="33" t="str">
        <f>IF(B176="","",IF(COUNTIF('01_ASSET_INPUT_FULL'!A:A,B176)&gt;0,"YES","NO"))</f>
        <v>YES</v>
      </c>
      <c r="D176" s="33" t="str">
        <f>IF(B176="","",IF(COUNTIF('08_GDE_RISK_ENGINE'!A:A,B176)&gt;0,"YES","NO"))</f>
        <v>YES</v>
      </c>
      <c r="E176" s="33" t="str">
        <f>IF(B176="","",IF(COUNTIF('15_RISK_MATRIX_LINK_DATA'!A:A,B176)&gt;0,"YES","NO"))</f>
        <v>YES</v>
      </c>
      <c r="F176" s="33">
        <f>IFERROR(VLOOKUP(B176,'08_GDE_RISK_ENGINE'!A:G,5,FALSE),"")</f>
        <v>2</v>
      </c>
      <c r="G176" s="33">
        <f>IFERROR(VLOOKUP(B176,'08_GDE_RISK_ENGINE'!A:G,6,FALSE),"")</f>
        <v>4</v>
      </c>
      <c r="H176" s="33" t="str">
        <f>IFERROR(VLOOKUP(B176,'08_GDE_RISK_ENGINE'!A:G,7,FALSE),"")</f>
        <v>High</v>
      </c>
      <c r="I176" s="33" t="str">
        <f t="shared" si="2"/>
        <v>OK</v>
      </c>
      <c r="J176" s="8"/>
    </row>
    <row r="177" spans="1:10">
      <c r="A177" s="33">
        <v>142</v>
      </c>
      <c r="B177" s="33" t="str">
        <f>'01_ASSET_INPUT_FULL'!A145</f>
        <v>P2MAJ52 BR002</v>
      </c>
      <c r="C177" s="33" t="str">
        <f>IF(B177="","",IF(COUNTIF('01_ASSET_INPUT_FULL'!A:A,B177)&gt;0,"YES","NO"))</f>
        <v>YES</v>
      </c>
      <c r="D177" s="33" t="str">
        <f>IF(B177="","",IF(COUNTIF('08_GDE_RISK_ENGINE'!A:A,B177)&gt;0,"YES","NO"))</f>
        <v>YES</v>
      </c>
      <c r="E177" s="33" t="str">
        <f>IF(B177="","",IF(COUNTIF('15_RISK_MATRIX_LINK_DATA'!A:A,B177)&gt;0,"YES","NO"))</f>
        <v>YES</v>
      </c>
      <c r="F177" s="33">
        <f>IFERROR(VLOOKUP(B177,'08_GDE_RISK_ENGINE'!A:G,5,FALSE),"")</f>
        <v>2</v>
      </c>
      <c r="G177" s="33">
        <f>IFERROR(VLOOKUP(B177,'08_GDE_RISK_ENGINE'!A:G,6,FALSE),"")</f>
        <v>4</v>
      </c>
      <c r="H177" s="33" t="str">
        <f>IFERROR(VLOOKUP(B177,'08_GDE_RISK_ENGINE'!A:G,7,FALSE),"")</f>
        <v>High</v>
      </c>
      <c r="I177" s="33" t="str">
        <f t="shared" si="2"/>
        <v>OK</v>
      </c>
      <c r="J177" s="8"/>
    </row>
    <row r="178" spans="1:10">
      <c r="A178" s="33">
        <v>143</v>
      </c>
      <c r="B178" s="33" t="str">
        <f>'01_ASSET_INPUT_FULL'!A146</f>
        <v>P2MAJ52 BR003</v>
      </c>
      <c r="C178" s="33" t="str">
        <f>IF(B178="","",IF(COUNTIF('01_ASSET_INPUT_FULL'!A:A,B178)&gt;0,"YES","NO"))</f>
        <v>YES</v>
      </c>
      <c r="D178" s="33" t="str">
        <f>IF(B178="","",IF(COUNTIF('08_GDE_RISK_ENGINE'!A:A,B178)&gt;0,"YES","NO"))</f>
        <v>YES</v>
      </c>
      <c r="E178" s="33" t="str">
        <f>IF(B178="","",IF(COUNTIF('15_RISK_MATRIX_LINK_DATA'!A:A,B178)&gt;0,"YES","NO"))</f>
        <v>YES</v>
      </c>
      <c r="F178" s="33">
        <f>IFERROR(VLOOKUP(B178,'08_GDE_RISK_ENGINE'!A:G,5,FALSE),"")</f>
        <v>2</v>
      </c>
      <c r="G178" s="33">
        <f>IFERROR(VLOOKUP(B178,'08_GDE_RISK_ENGINE'!A:G,6,FALSE),"")</f>
        <v>4</v>
      </c>
      <c r="H178" s="33" t="str">
        <f>IFERROR(VLOOKUP(B178,'08_GDE_RISK_ENGINE'!A:G,7,FALSE),"")</f>
        <v>High</v>
      </c>
      <c r="I178" s="33" t="str">
        <f t="shared" si="2"/>
        <v>OK</v>
      </c>
      <c r="J178" s="8"/>
    </row>
    <row r="179" spans="1:10">
      <c r="A179" s="33">
        <v>144</v>
      </c>
      <c r="B179" s="33" t="str">
        <f>'01_ASSET_INPUT_FULL'!A147</f>
        <v>P2MAJ04 BR001</v>
      </c>
      <c r="C179" s="33" t="str">
        <f>IF(B179="","",IF(COUNTIF('01_ASSET_INPUT_FULL'!A:A,B179)&gt;0,"YES","NO"))</f>
        <v>YES</v>
      </c>
      <c r="D179" s="33" t="str">
        <f>IF(B179="","",IF(COUNTIF('08_GDE_RISK_ENGINE'!A:A,B179)&gt;0,"YES","NO"))</f>
        <v>YES</v>
      </c>
      <c r="E179" s="33" t="str">
        <f>IF(B179="","",IF(COUNTIF('15_RISK_MATRIX_LINK_DATA'!A:A,B179)&gt;0,"YES","NO"))</f>
        <v>YES</v>
      </c>
      <c r="F179" s="33">
        <f>IFERROR(VLOOKUP(B179,'08_GDE_RISK_ENGINE'!A:G,5,FALSE),"")</f>
        <v>2</v>
      </c>
      <c r="G179" s="33">
        <f>IFERROR(VLOOKUP(B179,'08_GDE_RISK_ENGINE'!A:G,6,FALSE),"")</f>
        <v>4</v>
      </c>
      <c r="H179" s="33" t="str">
        <f>IFERROR(VLOOKUP(B179,'08_GDE_RISK_ENGINE'!A:G,7,FALSE),"")</f>
        <v>High</v>
      </c>
      <c r="I179" s="33" t="str">
        <f t="shared" si="2"/>
        <v>OK</v>
      </c>
      <c r="J179" s="8"/>
    </row>
    <row r="180" spans="1:10">
      <c r="A180" s="33">
        <v>145</v>
      </c>
      <c r="B180" s="33" t="str">
        <f>'01_ASSET_INPUT_FULL'!A148</f>
        <v>P2MAJ17 BR001</v>
      </c>
      <c r="C180" s="33" t="str">
        <f>IF(B180="","",IF(COUNTIF('01_ASSET_INPUT_FULL'!A:A,B180)&gt;0,"YES","NO"))</f>
        <v>YES</v>
      </c>
      <c r="D180" s="33" t="str">
        <f>IF(B180="","",IF(COUNTIF('08_GDE_RISK_ENGINE'!A:A,B180)&gt;0,"YES","NO"))</f>
        <v>YES</v>
      </c>
      <c r="E180" s="33" t="str">
        <f>IF(B180="","",IF(COUNTIF('15_RISK_MATRIX_LINK_DATA'!A:A,B180)&gt;0,"YES","NO"))</f>
        <v>YES</v>
      </c>
      <c r="F180" s="33">
        <f>IFERROR(VLOOKUP(B180,'08_GDE_RISK_ENGINE'!A:G,5,FALSE),"")</f>
        <v>2</v>
      </c>
      <c r="G180" s="33">
        <f>IFERROR(VLOOKUP(B180,'08_GDE_RISK_ENGINE'!A:G,6,FALSE),"")</f>
        <v>4</v>
      </c>
      <c r="H180" s="33" t="str">
        <f>IFERROR(VLOOKUP(B180,'08_GDE_RISK_ENGINE'!A:G,7,FALSE),"")</f>
        <v>High</v>
      </c>
      <c r="I180" s="33" t="str">
        <f t="shared" si="2"/>
        <v>OK</v>
      </c>
      <c r="J180" s="8"/>
    </row>
    <row r="181" spans="1:10">
      <c r="A181" s="33">
        <v>146</v>
      </c>
      <c r="B181" s="33" t="str">
        <f>'01_ASSET_INPUT_FULL'!A149</f>
        <v>P2MAJ16 BR001</v>
      </c>
      <c r="C181" s="33" t="str">
        <f>IF(B181="","",IF(COUNTIF('01_ASSET_INPUT_FULL'!A:A,B181)&gt;0,"YES","NO"))</f>
        <v>YES</v>
      </c>
      <c r="D181" s="33" t="str">
        <f>IF(B181="","",IF(COUNTIF('08_GDE_RISK_ENGINE'!A:A,B181)&gt;0,"YES","NO"))</f>
        <v>YES</v>
      </c>
      <c r="E181" s="33" t="str">
        <f>IF(B181="","",IF(COUNTIF('15_RISK_MATRIX_LINK_DATA'!A:A,B181)&gt;0,"YES","NO"))</f>
        <v>YES</v>
      </c>
      <c r="F181" s="33">
        <f>IFERROR(VLOOKUP(B181,'08_GDE_RISK_ENGINE'!A:G,5,FALSE),"")</f>
        <v>2</v>
      </c>
      <c r="G181" s="33">
        <f>IFERROR(VLOOKUP(B181,'08_GDE_RISK_ENGINE'!A:G,6,FALSE),"")</f>
        <v>4</v>
      </c>
      <c r="H181" s="33" t="str">
        <f>IFERROR(VLOOKUP(B181,'08_GDE_RISK_ENGINE'!A:G,7,FALSE),"")</f>
        <v>High</v>
      </c>
      <c r="I181" s="33" t="str">
        <f t="shared" si="2"/>
        <v>OK</v>
      </c>
      <c r="J181" s="8"/>
    </row>
    <row r="182" spans="1:10">
      <c r="A182" s="33">
        <v>147</v>
      </c>
      <c r="B182" s="33" t="str">
        <f>'01_ASSET_INPUT_FULL'!A150</f>
        <v>P2PAD01 BR003</v>
      </c>
      <c r="C182" s="33" t="str">
        <f>IF(B182="","",IF(COUNTIF('01_ASSET_INPUT_FULL'!A:A,B182)&gt;0,"YES","NO"))</f>
        <v>YES</v>
      </c>
      <c r="D182" s="33" t="str">
        <f>IF(B182="","",IF(COUNTIF('08_GDE_RISK_ENGINE'!A:A,B182)&gt;0,"YES","NO"))</f>
        <v>YES</v>
      </c>
      <c r="E182" s="33" t="str">
        <f>IF(B182="","",IF(COUNTIF('15_RISK_MATRIX_LINK_DATA'!A:A,B182)&gt;0,"YES","NO"))</f>
        <v>YES</v>
      </c>
      <c r="F182" s="33">
        <f>IFERROR(VLOOKUP(B182,'08_GDE_RISK_ENGINE'!A:G,5,FALSE),"")</f>
        <v>2</v>
      </c>
      <c r="G182" s="33">
        <f>IFERROR(VLOOKUP(B182,'08_GDE_RISK_ENGINE'!A:G,6,FALSE),"")</f>
        <v>3</v>
      </c>
      <c r="H182" s="33" t="str">
        <f>IFERROR(VLOOKUP(B182,'08_GDE_RISK_ENGINE'!A:G,7,FALSE),"")</f>
        <v>High</v>
      </c>
      <c r="I182" s="33" t="str">
        <f t="shared" si="2"/>
        <v>OK</v>
      </c>
      <c r="J182" s="8"/>
    </row>
    <row r="183" spans="1:10">
      <c r="A183" s="33">
        <v>148</v>
      </c>
      <c r="B183" s="33" t="str">
        <f>'01_ASSET_INPUT_FULL'!A151</f>
        <v>P2PAD01 BR004</v>
      </c>
      <c r="C183" s="33" t="str">
        <f>IF(B183="","",IF(COUNTIF('01_ASSET_INPUT_FULL'!A:A,B183)&gt;0,"YES","NO"))</f>
        <v>YES</v>
      </c>
      <c r="D183" s="33" t="str">
        <f>IF(B183="","",IF(COUNTIF('08_GDE_RISK_ENGINE'!A:A,B183)&gt;0,"YES","NO"))</f>
        <v>YES</v>
      </c>
      <c r="E183" s="33" t="str">
        <f>IF(B183="","",IF(COUNTIF('15_RISK_MATRIX_LINK_DATA'!A:A,B183)&gt;0,"YES","NO"))</f>
        <v>YES</v>
      </c>
      <c r="F183" s="33">
        <f>IFERROR(VLOOKUP(B183,'08_GDE_RISK_ENGINE'!A:G,5,FALSE),"")</f>
        <v>2</v>
      </c>
      <c r="G183" s="33">
        <f>IFERROR(VLOOKUP(B183,'08_GDE_RISK_ENGINE'!A:G,6,FALSE),"")</f>
        <v>3</v>
      </c>
      <c r="H183" s="33" t="str">
        <f>IFERROR(VLOOKUP(B183,'08_GDE_RISK_ENGINE'!A:G,7,FALSE),"")</f>
        <v>High</v>
      </c>
      <c r="I183" s="33" t="str">
        <f t="shared" si="2"/>
        <v>OK</v>
      </c>
      <c r="J183" s="8"/>
    </row>
    <row r="184" spans="1:10">
      <c r="A184" s="33">
        <v>149</v>
      </c>
      <c r="B184" s="33" t="str">
        <f>'01_ASSET_INPUT_FULL'!A152</f>
        <v>P2MAG10 BR001</v>
      </c>
      <c r="C184" s="33" t="str">
        <f>IF(B184="","",IF(COUNTIF('01_ASSET_INPUT_FULL'!A:A,B184)&gt;0,"YES","NO"))</f>
        <v>YES</v>
      </c>
      <c r="D184" s="33" t="str">
        <f>IF(B184="","",IF(COUNTIF('08_GDE_RISK_ENGINE'!A:A,B184)&gt;0,"YES","NO"))</f>
        <v>YES</v>
      </c>
      <c r="E184" s="33" t="str">
        <f>IF(B184="","",IF(COUNTIF('15_RISK_MATRIX_LINK_DATA'!A:A,B184)&gt;0,"YES","NO"))</f>
        <v>YES</v>
      </c>
      <c r="F184" s="33">
        <f>IFERROR(VLOOKUP(B184,'08_GDE_RISK_ENGINE'!A:G,5,FALSE),"")</f>
        <v>1</v>
      </c>
      <c r="G184" s="33">
        <f>IFERROR(VLOOKUP(B184,'08_GDE_RISK_ENGINE'!A:G,6,FALSE),"")</f>
        <v>4</v>
      </c>
      <c r="H184" s="33" t="str">
        <f>IFERROR(VLOOKUP(B184,'08_GDE_RISK_ENGINE'!A:G,7,FALSE),"")</f>
        <v>Medium</v>
      </c>
      <c r="I184" s="33" t="str">
        <f t="shared" si="2"/>
        <v>OK</v>
      </c>
      <c r="J184" s="8"/>
    </row>
    <row r="185" spans="1:10">
      <c r="A185" s="33">
        <v>150</v>
      </c>
      <c r="B185" s="33" t="str">
        <f>'01_ASSET_INPUT_FULL'!A153</f>
        <v>P2MAG10 BR002</v>
      </c>
      <c r="C185" s="33" t="str">
        <f>IF(B185="","",IF(COUNTIF('01_ASSET_INPUT_FULL'!A:A,B185)&gt;0,"YES","NO"))</f>
        <v>YES</v>
      </c>
      <c r="D185" s="33" t="str">
        <f>IF(B185="","",IF(COUNTIF('08_GDE_RISK_ENGINE'!A:A,B185)&gt;0,"YES","NO"))</f>
        <v>YES</v>
      </c>
      <c r="E185" s="33" t="str">
        <f>IF(B185="","",IF(COUNTIF('15_RISK_MATRIX_LINK_DATA'!A:A,B185)&gt;0,"YES","NO"))</f>
        <v>YES</v>
      </c>
      <c r="F185" s="33">
        <f>IFERROR(VLOOKUP(B185,'08_GDE_RISK_ENGINE'!A:G,5,FALSE),"")</f>
        <v>2</v>
      </c>
      <c r="G185" s="33">
        <f>IFERROR(VLOOKUP(B185,'08_GDE_RISK_ENGINE'!A:G,6,FALSE),"")</f>
        <v>4</v>
      </c>
      <c r="H185" s="33" t="str">
        <f>IFERROR(VLOOKUP(B185,'08_GDE_RISK_ENGINE'!A:G,7,FALSE),"")</f>
        <v>High</v>
      </c>
      <c r="I185" s="33" t="str">
        <f t="shared" si="2"/>
        <v>OK</v>
      </c>
      <c r="J185" s="8"/>
    </row>
    <row r="186" spans="1:10">
      <c r="A186" s="33">
        <v>151</v>
      </c>
      <c r="B186" s="33" t="str">
        <f>'01_ASSET_INPUT_FULL'!A154</f>
        <v>P2PAB02 BR001</v>
      </c>
      <c r="C186" s="33" t="str">
        <f>IF(B186="","",IF(COUNTIF('01_ASSET_INPUT_FULL'!A:A,B186)&gt;0,"YES","NO"))</f>
        <v>YES</v>
      </c>
      <c r="D186" s="33" t="str">
        <f>IF(B186="","",IF(COUNTIF('08_GDE_RISK_ENGINE'!A:A,B186)&gt;0,"YES","NO"))</f>
        <v>YES</v>
      </c>
      <c r="E186" s="33" t="str">
        <f>IF(B186="","",IF(COUNTIF('15_RISK_MATRIX_LINK_DATA'!A:A,B186)&gt;0,"YES","NO"))</f>
        <v>YES</v>
      </c>
      <c r="F186" s="33">
        <f>IFERROR(VLOOKUP(B186,'08_GDE_RISK_ENGINE'!A:G,5,FALSE),"")</f>
        <v>2</v>
      </c>
      <c r="G186" s="33">
        <f>IFERROR(VLOOKUP(B186,'08_GDE_RISK_ENGINE'!A:G,6,FALSE),"")</f>
        <v>3</v>
      </c>
      <c r="H186" s="33" t="str">
        <f>IFERROR(VLOOKUP(B186,'08_GDE_RISK_ENGINE'!A:G,7,FALSE),"")</f>
        <v>High</v>
      </c>
      <c r="I186" s="33" t="str">
        <f t="shared" si="2"/>
        <v>OK</v>
      </c>
      <c r="J186" s="8"/>
    </row>
    <row r="187" spans="1:10">
      <c r="A187" s="33">
        <v>152</v>
      </c>
      <c r="B187" s="33" t="str">
        <f>'01_ASSET_INPUT_FULL'!A155</f>
        <v>P2PAB03 BR001</v>
      </c>
      <c r="C187" s="33" t="str">
        <f>IF(B187="","",IF(COUNTIF('01_ASSET_INPUT_FULL'!A:A,B187)&gt;0,"YES","NO"))</f>
        <v>YES</v>
      </c>
      <c r="D187" s="33" t="str">
        <f>IF(B187="","",IF(COUNTIF('08_GDE_RISK_ENGINE'!A:A,B187)&gt;0,"YES","NO"))</f>
        <v>YES</v>
      </c>
      <c r="E187" s="33" t="str">
        <f>IF(B187="","",IF(COUNTIF('15_RISK_MATRIX_LINK_DATA'!A:A,B187)&gt;0,"YES","NO"))</f>
        <v>YES</v>
      </c>
      <c r="F187" s="33">
        <f>IFERROR(VLOOKUP(B187,'08_GDE_RISK_ENGINE'!A:G,5,FALSE),"")</f>
        <v>2</v>
      </c>
      <c r="G187" s="33">
        <f>IFERROR(VLOOKUP(B187,'08_GDE_RISK_ENGINE'!A:G,6,FALSE),"")</f>
        <v>3</v>
      </c>
      <c r="H187" s="33" t="str">
        <f>IFERROR(VLOOKUP(B187,'08_GDE_RISK_ENGINE'!A:G,7,FALSE),"")</f>
        <v>High</v>
      </c>
      <c r="I187" s="33" t="str">
        <f t="shared" si="2"/>
        <v>OK</v>
      </c>
      <c r="J187" s="8"/>
    </row>
    <row r="188" spans="1:10">
      <c r="A188" s="33">
        <v>153</v>
      </c>
      <c r="B188" s="33" t="str">
        <f>'01_ASSET_INPUT_FULL'!A156</f>
        <v>P2LBA03 BR001</v>
      </c>
      <c r="C188" s="33" t="str">
        <f>IF(B188="","",IF(COUNTIF('01_ASSET_INPUT_FULL'!A:A,B188)&gt;0,"YES","NO"))</f>
        <v>YES</v>
      </c>
      <c r="D188" s="33" t="str">
        <f>IF(B188="","",IF(COUNTIF('08_GDE_RISK_ENGINE'!A:A,B188)&gt;0,"YES","NO"))</f>
        <v>YES</v>
      </c>
      <c r="E188" s="33" t="str">
        <f>IF(B188="","",IF(COUNTIF('15_RISK_MATRIX_LINK_DATA'!A:A,B188)&gt;0,"YES","NO"))</f>
        <v>YES</v>
      </c>
      <c r="F188" s="33">
        <f>IFERROR(VLOOKUP(B188,'08_GDE_RISK_ENGINE'!A:G,5,FALSE),"")</f>
        <v>4</v>
      </c>
      <c r="G188" s="33">
        <f>IFERROR(VLOOKUP(B188,'08_GDE_RISK_ENGINE'!A:G,6,FALSE),"")</f>
        <v>4</v>
      </c>
      <c r="H188" s="33" t="str">
        <f>IFERROR(VLOOKUP(B188,'08_GDE_RISK_ENGINE'!A:G,7,FALSE),"")</f>
        <v>Extreme High</v>
      </c>
      <c r="I188" s="33" t="str">
        <f t="shared" si="2"/>
        <v>OK</v>
      </c>
      <c r="J188" s="8"/>
    </row>
    <row r="189" spans="1:10">
      <c r="A189" s="33">
        <v>154</v>
      </c>
      <c r="B189" s="33" t="str">
        <f>'01_ASSET_INPUT_FULL'!A157</f>
        <v>P2LBA03 BR002</v>
      </c>
      <c r="C189" s="33" t="str">
        <f>IF(B189="","",IF(COUNTIF('01_ASSET_INPUT_FULL'!A:A,B189)&gt;0,"YES","NO"))</f>
        <v>YES</v>
      </c>
      <c r="D189" s="33" t="str">
        <f>IF(B189="","",IF(COUNTIF('08_GDE_RISK_ENGINE'!A:A,B189)&gt;0,"YES","NO"))</f>
        <v>YES</v>
      </c>
      <c r="E189" s="33" t="str">
        <f>IF(B189="","",IF(COUNTIF('15_RISK_MATRIX_LINK_DATA'!A:A,B189)&gt;0,"YES","NO"))</f>
        <v>YES</v>
      </c>
      <c r="F189" s="33">
        <f>IFERROR(VLOOKUP(B189,'08_GDE_RISK_ENGINE'!A:G,5,FALSE),"")</f>
        <v>4</v>
      </c>
      <c r="G189" s="33">
        <f>IFERROR(VLOOKUP(B189,'08_GDE_RISK_ENGINE'!A:G,6,FALSE),"")</f>
        <v>4</v>
      </c>
      <c r="H189" s="33" t="str">
        <f>IFERROR(VLOOKUP(B189,'08_GDE_RISK_ENGINE'!A:G,7,FALSE),"")</f>
        <v>Extreme High</v>
      </c>
      <c r="I189" s="33" t="str">
        <f t="shared" si="2"/>
        <v>OK</v>
      </c>
      <c r="J189" s="8"/>
    </row>
    <row r="190" spans="1:10">
      <c r="A190" s="33">
        <v>155</v>
      </c>
      <c r="B190" s="33" t="str">
        <f>'01_ASSET_INPUT_FULL'!A158</f>
        <v>P2PAB08 BR001</v>
      </c>
      <c r="C190" s="33" t="str">
        <f>IF(B190="","",IF(COUNTIF('01_ASSET_INPUT_FULL'!A:A,B190)&gt;0,"YES","NO"))</f>
        <v>YES</v>
      </c>
      <c r="D190" s="33" t="str">
        <f>IF(B190="","",IF(COUNTIF('08_GDE_RISK_ENGINE'!A:A,B190)&gt;0,"YES","NO"))</f>
        <v>YES</v>
      </c>
      <c r="E190" s="33" t="str">
        <f>IF(B190="","",IF(COUNTIF('15_RISK_MATRIX_LINK_DATA'!A:A,B190)&gt;0,"YES","NO"))</f>
        <v>YES</v>
      </c>
      <c r="F190" s="33">
        <f>IFERROR(VLOOKUP(B190,'08_GDE_RISK_ENGINE'!A:G,5,FALSE),"")</f>
        <v>2</v>
      </c>
      <c r="G190" s="33">
        <f>IFERROR(VLOOKUP(B190,'08_GDE_RISK_ENGINE'!A:G,6,FALSE),"")</f>
        <v>3</v>
      </c>
      <c r="H190" s="33" t="str">
        <f>IFERROR(VLOOKUP(B190,'08_GDE_RISK_ENGINE'!A:G,7,FALSE),"")</f>
        <v>High</v>
      </c>
      <c r="I190" s="33" t="str">
        <f t="shared" si="2"/>
        <v>OK</v>
      </c>
      <c r="J190" s="8"/>
    </row>
    <row r="191" spans="1:10">
      <c r="A191" s="33">
        <v>156</v>
      </c>
      <c r="B191" s="33" t="str">
        <f>'01_ASSET_INPUT_FULL'!A159</f>
        <v>P2PAB04 BR001</v>
      </c>
      <c r="C191" s="33" t="str">
        <f>IF(B191="","",IF(COUNTIF('01_ASSET_INPUT_FULL'!A:A,B191)&gt;0,"YES","NO"))</f>
        <v>YES</v>
      </c>
      <c r="D191" s="33" t="str">
        <f>IF(B191="","",IF(COUNTIF('08_GDE_RISK_ENGINE'!A:A,B191)&gt;0,"YES","NO"))</f>
        <v>YES</v>
      </c>
      <c r="E191" s="33" t="str">
        <f>IF(B191="","",IF(COUNTIF('15_RISK_MATRIX_LINK_DATA'!A:A,B191)&gt;0,"YES","NO"))</f>
        <v>YES</v>
      </c>
      <c r="F191" s="33">
        <f>IFERROR(VLOOKUP(B191,'08_GDE_RISK_ENGINE'!A:G,5,FALSE),"")</f>
        <v>2</v>
      </c>
      <c r="G191" s="33">
        <f>IFERROR(VLOOKUP(B191,'08_GDE_RISK_ENGINE'!A:G,6,FALSE),"")</f>
        <v>3</v>
      </c>
      <c r="H191" s="33" t="str">
        <f>IFERROR(VLOOKUP(B191,'08_GDE_RISK_ENGINE'!A:G,7,FALSE),"")</f>
        <v>High</v>
      </c>
      <c r="I191" s="33" t="str">
        <f t="shared" si="2"/>
        <v>OK</v>
      </c>
      <c r="J191" s="8"/>
    </row>
    <row r="192" spans="1:10">
      <c r="A192" s="33">
        <v>157</v>
      </c>
      <c r="B192" s="33" t="str">
        <f>'01_ASSET_INPUT_FULL'!A160</f>
        <v>P2PAB11 BR001</v>
      </c>
      <c r="C192" s="33" t="str">
        <f>IF(B192="","",IF(COUNTIF('01_ASSET_INPUT_FULL'!A:A,B192)&gt;0,"YES","NO"))</f>
        <v>YES</v>
      </c>
      <c r="D192" s="33" t="str">
        <f>IF(B192="","",IF(COUNTIF('08_GDE_RISK_ENGINE'!A:A,B192)&gt;0,"YES","NO"))</f>
        <v>YES</v>
      </c>
      <c r="E192" s="33" t="str">
        <f>IF(B192="","",IF(COUNTIF('15_RISK_MATRIX_LINK_DATA'!A:A,B192)&gt;0,"YES","NO"))</f>
        <v>YES</v>
      </c>
      <c r="F192" s="33">
        <f>IFERROR(VLOOKUP(B192,'08_GDE_RISK_ENGINE'!A:G,5,FALSE),"")</f>
        <v>2</v>
      </c>
      <c r="G192" s="33">
        <f>IFERROR(VLOOKUP(B192,'08_GDE_RISK_ENGINE'!A:G,6,FALSE),"")</f>
        <v>3</v>
      </c>
      <c r="H192" s="33" t="str">
        <f>IFERROR(VLOOKUP(B192,'08_GDE_RISK_ENGINE'!A:G,7,FALSE),"")</f>
        <v>High</v>
      </c>
      <c r="I192" s="33" t="str">
        <f t="shared" si="2"/>
        <v>OK</v>
      </c>
      <c r="J192" s="8"/>
    </row>
    <row r="193" spans="1:10">
      <c r="A193" s="33">
        <v>158</v>
      </c>
      <c r="B193" s="33" t="str">
        <f>'01_ASSET_INPUT_FULL'!A161</f>
        <v>P2PAB11 BR002</v>
      </c>
      <c r="C193" s="33" t="str">
        <f>IF(B193="","",IF(COUNTIF('01_ASSET_INPUT_FULL'!A:A,B193)&gt;0,"YES","NO"))</f>
        <v>YES</v>
      </c>
      <c r="D193" s="33" t="str">
        <f>IF(B193="","",IF(COUNTIF('08_GDE_RISK_ENGINE'!A:A,B193)&gt;0,"YES","NO"))</f>
        <v>YES</v>
      </c>
      <c r="E193" s="33" t="str">
        <f>IF(B193="","",IF(COUNTIF('15_RISK_MATRIX_LINK_DATA'!A:A,B193)&gt;0,"YES","NO"))</f>
        <v>YES</v>
      </c>
      <c r="F193" s="33">
        <f>IFERROR(VLOOKUP(B193,'08_GDE_RISK_ENGINE'!A:G,5,FALSE),"")</f>
        <v>2</v>
      </c>
      <c r="G193" s="33">
        <f>IFERROR(VLOOKUP(B193,'08_GDE_RISK_ENGINE'!A:G,6,FALSE),"")</f>
        <v>3</v>
      </c>
      <c r="H193" s="33" t="str">
        <f>IFERROR(VLOOKUP(B193,'08_GDE_RISK_ENGINE'!A:G,7,FALSE),"")</f>
        <v>High</v>
      </c>
      <c r="I193" s="33" t="str">
        <f t="shared" si="2"/>
        <v>OK</v>
      </c>
      <c r="J193" s="8"/>
    </row>
    <row r="194" spans="1:10">
      <c r="A194" s="33">
        <v>159</v>
      </c>
      <c r="B194" s="33" t="str">
        <f>'01_ASSET_INPUT_FULL'!A162</f>
        <v>P2PAB11 BR003</v>
      </c>
      <c r="C194" s="33" t="str">
        <f>IF(B194="","",IF(COUNTIF('01_ASSET_INPUT_FULL'!A:A,B194)&gt;0,"YES","NO"))</f>
        <v>YES</v>
      </c>
      <c r="D194" s="33" t="str">
        <f>IF(B194="","",IF(COUNTIF('08_GDE_RISK_ENGINE'!A:A,B194)&gt;0,"YES","NO"))</f>
        <v>YES</v>
      </c>
      <c r="E194" s="33" t="str">
        <f>IF(B194="","",IF(COUNTIF('15_RISK_MATRIX_LINK_DATA'!A:A,B194)&gt;0,"YES","NO"))</f>
        <v>YES</v>
      </c>
      <c r="F194" s="33">
        <f>IFERROR(VLOOKUP(B194,'08_GDE_RISK_ENGINE'!A:G,5,FALSE),"")</f>
        <v>2</v>
      </c>
      <c r="G194" s="33">
        <f>IFERROR(VLOOKUP(B194,'08_GDE_RISK_ENGINE'!A:G,6,FALSE),"")</f>
        <v>3</v>
      </c>
      <c r="H194" s="33" t="str">
        <f>IFERROR(VLOOKUP(B194,'08_GDE_RISK_ENGINE'!A:G,7,FALSE),"")</f>
        <v>High</v>
      </c>
      <c r="I194" s="33" t="str">
        <f t="shared" si="2"/>
        <v>OK</v>
      </c>
      <c r="J194" s="8"/>
    </row>
    <row r="195" spans="1:10">
      <c r="A195" s="33">
        <v>160</v>
      </c>
      <c r="B195" s="33" t="str">
        <f>'01_ASSET_INPUT_FULL'!A163</f>
        <v>P2PAB12 BR001</v>
      </c>
      <c r="C195" s="33" t="str">
        <f>IF(B195="","",IF(COUNTIF('01_ASSET_INPUT_FULL'!A:A,B195)&gt;0,"YES","NO"))</f>
        <v>YES</v>
      </c>
      <c r="D195" s="33" t="str">
        <f>IF(B195="","",IF(COUNTIF('08_GDE_RISK_ENGINE'!A:A,B195)&gt;0,"YES","NO"))</f>
        <v>YES</v>
      </c>
      <c r="E195" s="33" t="str">
        <f>IF(B195="","",IF(COUNTIF('15_RISK_MATRIX_LINK_DATA'!A:A,B195)&gt;0,"YES","NO"))</f>
        <v>YES</v>
      </c>
      <c r="F195" s="33">
        <f>IFERROR(VLOOKUP(B195,'08_GDE_RISK_ENGINE'!A:G,5,FALSE),"")</f>
        <v>2</v>
      </c>
      <c r="G195" s="33">
        <f>IFERROR(VLOOKUP(B195,'08_GDE_RISK_ENGINE'!A:G,6,FALSE),"")</f>
        <v>3</v>
      </c>
      <c r="H195" s="33" t="str">
        <f>IFERROR(VLOOKUP(B195,'08_GDE_RISK_ENGINE'!A:G,7,FALSE),"")</f>
        <v>High</v>
      </c>
      <c r="I195" s="33" t="str">
        <f t="shared" si="2"/>
        <v>OK</v>
      </c>
      <c r="J195" s="8"/>
    </row>
    <row r="196" spans="1:10">
      <c r="A196" s="33">
        <v>161</v>
      </c>
      <c r="B196" s="33" t="str">
        <f>'01_ASSET_INPUT_FULL'!A164</f>
        <v>P2PAB12 BR003</v>
      </c>
      <c r="C196" s="33" t="str">
        <f>IF(B196="","",IF(COUNTIF('01_ASSET_INPUT_FULL'!A:A,B196)&gt;0,"YES","NO"))</f>
        <v>YES</v>
      </c>
      <c r="D196" s="33" t="str">
        <f>IF(B196="","",IF(COUNTIF('08_GDE_RISK_ENGINE'!A:A,B196)&gt;0,"YES","NO"))</f>
        <v>YES</v>
      </c>
      <c r="E196" s="33" t="str">
        <f>IF(B196="","",IF(COUNTIF('15_RISK_MATRIX_LINK_DATA'!A:A,B196)&gt;0,"YES","NO"))</f>
        <v>YES</v>
      </c>
      <c r="F196" s="33">
        <f>IFERROR(VLOOKUP(B196,'08_GDE_RISK_ENGINE'!A:G,5,FALSE),"")</f>
        <v>2</v>
      </c>
      <c r="G196" s="33">
        <f>IFERROR(VLOOKUP(B196,'08_GDE_RISK_ENGINE'!A:G,6,FALSE),"")</f>
        <v>3</v>
      </c>
      <c r="H196" s="33" t="str">
        <f>IFERROR(VLOOKUP(B196,'08_GDE_RISK_ENGINE'!A:G,7,FALSE),"")</f>
        <v>High</v>
      </c>
      <c r="I196" s="33" t="str">
        <f t="shared" si="2"/>
        <v>OK</v>
      </c>
      <c r="J196" s="8"/>
    </row>
    <row r="197" spans="1:10">
      <c r="A197" s="33">
        <v>162</v>
      </c>
      <c r="B197" s="33" t="str">
        <f>'01_ASSET_INPUT_FULL'!A165</f>
        <v>P2PAB13 BR003</v>
      </c>
      <c r="C197" s="33" t="str">
        <f>IF(B197="","",IF(COUNTIF('01_ASSET_INPUT_FULL'!A:A,B197)&gt;0,"YES","NO"))</f>
        <v>YES</v>
      </c>
      <c r="D197" s="33" t="str">
        <f>IF(B197="","",IF(COUNTIF('08_GDE_RISK_ENGINE'!A:A,B197)&gt;0,"YES","NO"))</f>
        <v>YES</v>
      </c>
      <c r="E197" s="33" t="str">
        <f>IF(B197="","",IF(COUNTIF('15_RISK_MATRIX_LINK_DATA'!A:A,B197)&gt;0,"YES","NO"))</f>
        <v>YES</v>
      </c>
      <c r="F197" s="33">
        <f>IFERROR(VLOOKUP(B197,'08_GDE_RISK_ENGINE'!A:G,5,FALSE),"")</f>
        <v>2</v>
      </c>
      <c r="G197" s="33">
        <f>IFERROR(VLOOKUP(B197,'08_GDE_RISK_ENGINE'!A:G,6,FALSE),"")</f>
        <v>3</v>
      </c>
      <c r="H197" s="33" t="str">
        <f>IFERROR(VLOOKUP(B197,'08_GDE_RISK_ENGINE'!A:G,7,FALSE),"")</f>
        <v>High</v>
      </c>
      <c r="I197" s="33" t="str">
        <f t="shared" si="2"/>
        <v>OK</v>
      </c>
      <c r="J197" s="8"/>
    </row>
    <row r="198" spans="1:10">
      <c r="A198" s="33">
        <v>163</v>
      </c>
      <c r="B198" s="33" t="str">
        <f>'01_ASSET_INPUT_FULL'!A166</f>
        <v>P2PAB13 BR004</v>
      </c>
      <c r="C198" s="33" t="str">
        <f>IF(B198="","",IF(COUNTIF('01_ASSET_INPUT_FULL'!A:A,B198)&gt;0,"YES","NO"))</f>
        <v>YES</v>
      </c>
      <c r="D198" s="33" t="str">
        <f>IF(B198="","",IF(COUNTIF('08_GDE_RISK_ENGINE'!A:A,B198)&gt;0,"YES","NO"))</f>
        <v>YES</v>
      </c>
      <c r="E198" s="33" t="str">
        <f>IF(B198="","",IF(COUNTIF('15_RISK_MATRIX_LINK_DATA'!A:A,B198)&gt;0,"YES","NO"))</f>
        <v>YES</v>
      </c>
      <c r="F198" s="33">
        <f>IFERROR(VLOOKUP(B198,'08_GDE_RISK_ENGINE'!A:G,5,FALSE),"")</f>
        <v>2</v>
      </c>
      <c r="G198" s="33">
        <f>IFERROR(VLOOKUP(B198,'08_GDE_RISK_ENGINE'!A:G,6,FALSE),"")</f>
        <v>3</v>
      </c>
      <c r="H198" s="33" t="str">
        <f>IFERROR(VLOOKUP(B198,'08_GDE_RISK_ENGINE'!A:G,7,FALSE),"")</f>
        <v>High</v>
      </c>
      <c r="I198" s="33" t="str">
        <f t="shared" si="2"/>
        <v>OK</v>
      </c>
      <c r="J198" s="8"/>
    </row>
    <row r="199" spans="1:10">
      <c r="A199" s="33">
        <v>164</v>
      </c>
      <c r="B199" s="33" t="str">
        <f>'01_ASSET_INPUT_FULL'!A167</f>
        <v>P2PAB13 BR002</v>
      </c>
      <c r="C199" s="33" t="str">
        <f>IF(B199="","",IF(COUNTIF('01_ASSET_INPUT_FULL'!A:A,B199)&gt;0,"YES","NO"))</f>
        <v>YES</v>
      </c>
      <c r="D199" s="33" t="str">
        <f>IF(B199="","",IF(COUNTIF('08_GDE_RISK_ENGINE'!A:A,B199)&gt;0,"YES","NO"))</f>
        <v>YES</v>
      </c>
      <c r="E199" s="33" t="str">
        <f>IF(B199="","",IF(COUNTIF('15_RISK_MATRIX_LINK_DATA'!A:A,B199)&gt;0,"YES","NO"))</f>
        <v>YES</v>
      </c>
      <c r="F199" s="33">
        <f>IFERROR(VLOOKUP(B199,'08_GDE_RISK_ENGINE'!A:G,5,FALSE),"")</f>
        <v>2</v>
      </c>
      <c r="G199" s="33">
        <f>IFERROR(VLOOKUP(B199,'08_GDE_RISK_ENGINE'!A:G,6,FALSE),"")</f>
        <v>3</v>
      </c>
      <c r="H199" s="33" t="str">
        <f>IFERROR(VLOOKUP(B199,'08_GDE_RISK_ENGINE'!A:G,7,FALSE),"")</f>
        <v>High</v>
      </c>
      <c r="I199" s="33" t="str">
        <f t="shared" si="2"/>
        <v>OK</v>
      </c>
      <c r="J199" s="8"/>
    </row>
    <row r="200" spans="1:10">
      <c r="A200" s="33">
        <v>165</v>
      </c>
      <c r="B200" s="33" t="str">
        <f>'01_ASSET_INPUT_FULL'!A168</f>
        <v>P2PAB08 BR003</v>
      </c>
      <c r="C200" s="33" t="str">
        <f>IF(B200="","",IF(COUNTIF('01_ASSET_INPUT_FULL'!A:A,B200)&gt;0,"YES","NO"))</f>
        <v>YES</v>
      </c>
      <c r="D200" s="33" t="str">
        <f>IF(B200="","",IF(COUNTIF('08_GDE_RISK_ENGINE'!A:A,B200)&gt;0,"YES","NO"))</f>
        <v>YES</v>
      </c>
      <c r="E200" s="33" t="str">
        <f>IF(B200="","",IF(COUNTIF('15_RISK_MATRIX_LINK_DATA'!A:A,B200)&gt;0,"YES","NO"))</f>
        <v>YES</v>
      </c>
      <c r="F200" s="33">
        <f>IFERROR(VLOOKUP(B200,'08_GDE_RISK_ENGINE'!A:G,5,FALSE),"")</f>
        <v>2</v>
      </c>
      <c r="G200" s="33">
        <f>IFERROR(VLOOKUP(B200,'08_GDE_RISK_ENGINE'!A:G,6,FALSE),"")</f>
        <v>3</v>
      </c>
      <c r="H200" s="33" t="str">
        <f>IFERROR(VLOOKUP(B200,'08_GDE_RISK_ENGINE'!A:G,7,FALSE),"")</f>
        <v>High</v>
      </c>
      <c r="I200" s="33" t="str">
        <f t="shared" si="2"/>
        <v>OK</v>
      </c>
      <c r="J200" s="8"/>
    </row>
    <row r="201" spans="1:10">
      <c r="A201" s="33">
        <v>166</v>
      </c>
      <c r="B201" s="33" t="str">
        <f>'01_ASSET_INPUT_FULL'!A169</f>
        <v>P2PAB08 BR004</v>
      </c>
      <c r="C201" s="33" t="str">
        <f>IF(B201="","",IF(COUNTIF('01_ASSET_INPUT_FULL'!A:A,B201)&gt;0,"YES","NO"))</f>
        <v>YES</v>
      </c>
      <c r="D201" s="33" t="str">
        <f>IF(B201="","",IF(COUNTIF('08_GDE_RISK_ENGINE'!A:A,B201)&gt;0,"YES","NO"))</f>
        <v>YES</v>
      </c>
      <c r="E201" s="33" t="str">
        <f>IF(B201="","",IF(COUNTIF('15_RISK_MATRIX_LINK_DATA'!A:A,B201)&gt;0,"YES","NO"))</f>
        <v>YES</v>
      </c>
      <c r="F201" s="33">
        <f>IFERROR(VLOOKUP(B201,'08_GDE_RISK_ENGINE'!A:G,5,FALSE),"")</f>
        <v>2</v>
      </c>
      <c r="G201" s="33">
        <f>IFERROR(VLOOKUP(B201,'08_GDE_RISK_ENGINE'!A:G,6,FALSE),"")</f>
        <v>3</v>
      </c>
      <c r="H201" s="33" t="str">
        <f>IFERROR(VLOOKUP(B201,'08_GDE_RISK_ENGINE'!A:G,7,FALSE),"")</f>
        <v>High</v>
      </c>
      <c r="I201" s="33" t="str">
        <f t="shared" si="2"/>
        <v>OK</v>
      </c>
      <c r="J201" s="8"/>
    </row>
    <row r="202" spans="1:10">
      <c r="A202" s="33">
        <v>167</v>
      </c>
      <c r="B202" s="33" t="str">
        <f>'01_ASSET_INPUT_FULL'!A170</f>
        <v>P2PCB15 BR002</v>
      </c>
      <c r="C202" s="33" t="str">
        <f>IF(B202="","",IF(COUNTIF('01_ASSET_INPUT_FULL'!A:A,B202)&gt;0,"YES","NO"))</f>
        <v>YES</v>
      </c>
      <c r="D202" s="33" t="str">
        <f>IF(B202="","",IF(COUNTIF('08_GDE_RISK_ENGINE'!A:A,B202)&gt;0,"YES","NO"))</f>
        <v>YES</v>
      </c>
      <c r="E202" s="33" t="str">
        <f>IF(B202="","",IF(COUNTIF('15_RISK_MATRIX_LINK_DATA'!A:A,B202)&gt;0,"YES","NO"))</f>
        <v>YES</v>
      </c>
      <c r="F202" s="33">
        <f>IFERROR(VLOOKUP(B202,'08_GDE_RISK_ENGINE'!A:G,5,FALSE),"")</f>
        <v>2</v>
      </c>
      <c r="G202" s="33">
        <f>IFERROR(VLOOKUP(B202,'08_GDE_RISK_ENGINE'!A:G,6,FALSE),"")</f>
        <v>3</v>
      </c>
      <c r="H202" s="33" t="str">
        <f>IFERROR(VLOOKUP(B202,'08_GDE_RISK_ENGINE'!A:G,7,FALSE),"")</f>
        <v>High</v>
      </c>
      <c r="I202" s="33" t="str">
        <f t="shared" si="2"/>
        <v>OK</v>
      </c>
      <c r="J202" s="8"/>
    </row>
    <row r="203" spans="1:10">
      <c r="A203" s="33">
        <v>168</v>
      </c>
      <c r="B203" s="33" t="str">
        <f>'01_ASSET_INPUT_FULL'!A171</f>
        <v>P2PAB02 BR002</v>
      </c>
      <c r="C203" s="33" t="str">
        <f>IF(B203="","",IF(COUNTIF('01_ASSET_INPUT_FULL'!A:A,B203)&gt;0,"YES","NO"))</f>
        <v>YES</v>
      </c>
      <c r="D203" s="33" t="str">
        <f>IF(B203="","",IF(COUNTIF('08_GDE_RISK_ENGINE'!A:A,B203)&gt;0,"YES","NO"))</f>
        <v>YES</v>
      </c>
      <c r="E203" s="33" t="str">
        <f>IF(B203="","",IF(COUNTIF('15_RISK_MATRIX_LINK_DATA'!A:A,B203)&gt;0,"YES","NO"))</f>
        <v>YES</v>
      </c>
      <c r="F203" s="33">
        <f>IFERROR(VLOOKUP(B203,'08_GDE_RISK_ENGINE'!A:G,5,FALSE),"")</f>
        <v>2</v>
      </c>
      <c r="G203" s="33">
        <f>IFERROR(VLOOKUP(B203,'08_GDE_RISK_ENGINE'!A:G,6,FALSE),"")</f>
        <v>3</v>
      </c>
      <c r="H203" s="33" t="str">
        <f>IFERROR(VLOOKUP(B203,'08_GDE_RISK_ENGINE'!A:G,7,FALSE),"")</f>
        <v>High</v>
      </c>
      <c r="I203" s="33" t="str">
        <f t="shared" si="2"/>
        <v>OK</v>
      </c>
      <c r="J203" s="8"/>
    </row>
    <row r="204" spans="1:10">
      <c r="A204" s="33">
        <v>169</v>
      </c>
      <c r="B204" s="33" t="str">
        <f>'01_ASSET_INPUT_FULL'!A172</f>
        <v>P2PAB09 BR001</v>
      </c>
      <c r="C204" s="33" t="str">
        <f>IF(B204="","",IF(COUNTIF('01_ASSET_INPUT_FULL'!A:A,B204)&gt;0,"YES","NO"))</f>
        <v>YES</v>
      </c>
      <c r="D204" s="33" t="str">
        <f>IF(B204="","",IF(COUNTIF('08_GDE_RISK_ENGINE'!A:A,B204)&gt;0,"YES","NO"))</f>
        <v>YES</v>
      </c>
      <c r="E204" s="33" t="str">
        <f>IF(B204="","",IF(COUNTIF('15_RISK_MATRIX_LINK_DATA'!A:A,B204)&gt;0,"YES","NO"))</f>
        <v>YES</v>
      </c>
      <c r="F204" s="33">
        <f>IFERROR(VLOOKUP(B204,'08_GDE_RISK_ENGINE'!A:G,5,FALSE),"")</f>
        <v>2</v>
      </c>
      <c r="G204" s="33">
        <f>IFERROR(VLOOKUP(B204,'08_GDE_RISK_ENGINE'!A:G,6,FALSE),"")</f>
        <v>3</v>
      </c>
      <c r="H204" s="33" t="str">
        <f>IFERROR(VLOOKUP(B204,'08_GDE_RISK_ENGINE'!A:G,7,FALSE),"")</f>
        <v>High</v>
      </c>
      <c r="I204" s="33" t="str">
        <f t="shared" si="2"/>
        <v>OK</v>
      </c>
      <c r="J204" s="8"/>
    </row>
    <row r="205" spans="1:10">
      <c r="A205" s="33">
        <v>170</v>
      </c>
      <c r="B205" s="33" t="str">
        <f>'01_ASSET_INPUT_FULL'!A173</f>
        <v>P2PAB09 BR002</v>
      </c>
      <c r="C205" s="33" t="str">
        <f>IF(B205="","",IF(COUNTIF('01_ASSET_INPUT_FULL'!A:A,B205)&gt;0,"YES","NO"))</f>
        <v>YES</v>
      </c>
      <c r="D205" s="33" t="str">
        <f>IF(B205="","",IF(COUNTIF('08_GDE_RISK_ENGINE'!A:A,B205)&gt;0,"YES","NO"))</f>
        <v>YES</v>
      </c>
      <c r="E205" s="33" t="str">
        <f>IF(B205="","",IF(COUNTIF('15_RISK_MATRIX_LINK_DATA'!A:A,B205)&gt;0,"YES","NO"))</f>
        <v>YES</v>
      </c>
      <c r="F205" s="33">
        <f>IFERROR(VLOOKUP(B205,'08_GDE_RISK_ENGINE'!A:G,5,FALSE),"")</f>
        <v>2</v>
      </c>
      <c r="G205" s="33">
        <f>IFERROR(VLOOKUP(B205,'08_GDE_RISK_ENGINE'!A:G,6,FALSE),"")</f>
        <v>3</v>
      </c>
      <c r="H205" s="33" t="str">
        <f>IFERROR(VLOOKUP(B205,'08_GDE_RISK_ENGINE'!A:G,7,FALSE),"")</f>
        <v>High</v>
      </c>
      <c r="I205" s="33" t="str">
        <f t="shared" si="2"/>
        <v>OK</v>
      </c>
      <c r="J205" s="8"/>
    </row>
    <row r="206" spans="1:10">
      <c r="A206" s="33">
        <v>171</v>
      </c>
      <c r="B206" s="33" t="str">
        <f>'01_ASSET_INPUT_FULL'!A174</f>
        <v>P2PAB05 BR001</v>
      </c>
      <c r="C206" s="33" t="str">
        <f>IF(B206="","",IF(COUNTIF('01_ASSET_INPUT_FULL'!A:A,B206)&gt;0,"YES","NO"))</f>
        <v>YES</v>
      </c>
      <c r="D206" s="33" t="str">
        <f>IF(B206="","",IF(COUNTIF('08_GDE_RISK_ENGINE'!A:A,B206)&gt;0,"YES","NO"))</f>
        <v>YES</v>
      </c>
      <c r="E206" s="33" t="str">
        <f>IF(B206="","",IF(COUNTIF('15_RISK_MATRIX_LINK_DATA'!A:A,B206)&gt;0,"YES","NO"))</f>
        <v>YES</v>
      </c>
      <c r="F206" s="33">
        <f>IFERROR(VLOOKUP(B206,'08_GDE_RISK_ENGINE'!A:G,5,FALSE),"")</f>
        <v>2</v>
      </c>
      <c r="G206" s="33">
        <f>IFERROR(VLOOKUP(B206,'08_GDE_RISK_ENGINE'!A:G,6,FALSE),"")</f>
        <v>3</v>
      </c>
      <c r="H206" s="33" t="str">
        <f>IFERROR(VLOOKUP(B206,'08_GDE_RISK_ENGINE'!A:G,7,FALSE),"")</f>
        <v>High</v>
      </c>
      <c r="I206" s="33" t="str">
        <f t="shared" si="2"/>
        <v>OK</v>
      </c>
      <c r="J206" s="8"/>
    </row>
    <row r="207" spans="1:10">
      <c r="A207" s="33">
        <v>172</v>
      </c>
      <c r="B207" s="33" t="str">
        <f>'01_ASSET_INPUT_FULL'!A175</f>
        <v>P2PAB07 BR001</v>
      </c>
      <c r="C207" s="33" t="str">
        <f>IF(B207="","",IF(COUNTIF('01_ASSET_INPUT_FULL'!A:A,B207)&gt;0,"YES","NO"))</f>
        <v>YES</v>
      </c>
      <c r="D207" s="33" t="str">
        <f>IF(B207="","",IF(COUNTIF('08_GDE_RISK_ENGINE'!A:A,B207)&gt;0,"YES","NO"))</f>
        <v>YES</v>
      </c>
      <c r="E207" s="33" t="str">
        <f>IF(B207="","",IF(COUNTIF('15_RISK_MATRIX_LINK_DATA'!A:A,B207)&gt;0,"YES","NO"))</f>
        <v>YES</v>
      </c>
      <c r="F207" s="33">
        <f>IFERROR(VLOOKUP(B207,'08_GDE_RISK_ENGINE'!A:G,5,FALSE),"")</f>
        <v>1</v>
      </c>
      <c r="G207" s="33">
        <f>IFERROR(VLOOKUP(B207,'08_GDE_RISK_ENGINE'!A:G,6,FALSE),"")</f>
        <v>3</v>
      </c>
      <c r="H207" s="33" t="str">
        <f>IFERROR(VLOOKUP(B207,'08_GDE_RISK_ENGINE'!A:G,7,FALSE),"")</f>
        <v>Low</v>
      </c>
      <c r="I207" s="33" t="str">
        <f t="shared" si="2"/>
        <v>OK</v>
      </c>
      <c r="J207" s="8"/>
    </row>
    <row r="208" spans="1:10">
      <c r="A208" s="33">
        <v>173</v>
      </c>
      <c r="B208" s="33" t="str">
        <f>'01_ASSET_INPUT_FULL'!A176</f>
        <v>P2PAB06 BR001</v>
      </c>
      <c r="C208" s="33" t="str">
        <f>IF(B208="","",IF(COUNTIF('01_ASSET_INPUT_FULL'!A:A,B208)&gt;0,"YES","NO"))</f>
        <v>YES</v>
      </c>
      <c r="D208" s="33" t="str">
        <f>IF(B208="","",IF(COUNTIF('08_GDE_RISK_ENGINE'!A:A,B208)&gt;0,"YES","NO"))</f>
        <v>YES</v>
      </c>
      <c r="E208" s="33" t="str">
        <f>IF(B208="","",IF(COUNTIF('15_RISK_MATRIX_LINK_DATA'!A:A,B208)&gt;0,"YES","NO"))</f>
        <v>YES</v>
      </c>
      <c r="F208" s="33">
        <f>IFERROR(VLOOKUP(B208,'08_GDE_RISK_ENGINE'!A:G,5,FALSE),"")</f>
        <v>1</v>
      </c>
      <c r="G208" s="33">
        <f>IFERROR(VLOOKUP(B208,'08_GDE_RISK_ENGINE'!A:G,6,FALSE),"")</f>
        <v>3</v>
      </c>
      <c r="H208" s="33" t="str">
        <f>IFERROR(VLOOKUP(B208,'08_GDE_RISK_ENGINE'!A:G,7,FALSE),"")</f>
        <v>Low</v>
      </c>
      <c r="I208" s="33" t="str">
        <f t="shared" si="2"/>
        <v>OK</v>
      </c>
      <c r="J208" s="8"/>
    </row>
    <row r="209" spans="1:10">
      <c r="A209" s="33">
        <v>174</v>
      </c>
      <c r="B209" s="33" t="str">
        <f>'01_ASSET_INPUT_FULL'!A177</f>
        <v>P2PCB16 BR002</v>
      </c>
      <c r="C209" s="33" t="str">
        <f>IF(B209="","",IF(COUNTIF('01_ASSET_INPUT_FULL'!A:A,B209)&gt;0,"YES","NO"))</f>
        <v>YES</v>
      </c>
      <c r="D209" s="33" t="str">
        <f>IF(B209="","",IF(COUNTIF('08_GDE_RISK_ENGINE'!A:A,B209)&gt;0,"YES","NO"))</f>
        <v>YES</v>
      </c>
      <c r="E209" s="33" t="str">
        <f>IF(B209="","",IF(COUNTIF('15_RISK_MATRIX_LINK_DATA'!A:A,B209)&gt;0,"YES","NO"))</f>
        <v>YES</v>
      </c>
      <c r="F209" s="33">
        <f>IFERROR(VLOOKUP(B209,'08_GDE_RISK_ENGINE'!A:G,5,FALSE),"")</f>
        <v>2</v>
      </c>
      <c r="G209" s="33">
        <f>IFERROR(VLOOKUP(B209,'08_GDE_RISK_ENGINE'!A:G,6,FALSE),"")</f>
        <v>3</v>
      </c>
      <c r="H209" s="33" t="str">
        <f>IFERROR(VLOOKUP(B209,'08_GDE_RISK_ENGINE'!A:G,7,FALSE),"")</f>
        <v>High</v>
      </c>
      <c r="I209" s="33" t="str">
        <f t="shared" si="2"/>
        <v>OK</v>
      </c>
      <c r="J209" s="8"/>
    </row>
    <row r="210" spans="1:10">
      <c r="A210" s="33">
        <v>175</v>
      </c>
      <c r="B210" s="33" t="str">
        <f>'01_ASSET_INPUT_FULL'!A178</f>
        <v>P2PAB03 BR002</v>
      </c>
      <c r="C210" s="33" t="str">
        <f>IF(B210="","",IF(COUNTIF('01_ASSET_INPUT_FULL'!A:A,B210)&gt;0,"YES","NO"))</f>
        <v>YES</v>
      </c>
      <c r="D210" s="33" t="str">
        <f>IF(B210="","",IF(COUNTIF('08_GDE_RISK_ENGINE'!A:A,B210)&gt;0,"YES","NO"))</f>
        <v>YES</v>
      </c>
      <c r="E210" s="33" t="str">
        <f>IF(B210="","",IF(COUNTIF('15_RISK_MATRIX_LINK_DATA'!A:A,B210)&gt;0,"YES","NO"))</f>
        <v>YES</v>
      </c>
      <c r="F210" s="33">
        <f>IFERROR(VLOOKUP(B210,'08_GDE_RISK_ENGINE'!A:G,5,FALSE),"")</f>
        <v>2</v>
      </c>
      <c r="G210" s="33">
        <f>IFERROR(VLOOKUP(B210,'08_GDE_RISK_ENGINE'!A:G,6,FALSE),"")</f>
        <v>3</v>
      </c>
      <c r="H210" s="33" t="str">
        <f>IFERROR(VLOOKUP(B210,'08_GDE_RISK_ENGINE'!A:G,7,FALSE),"")</f>
        <v>High</v>
      </c>
      <c r="I210" s="33" t="str">
        <f t="shared" si="2"/>
        <v>OK</v>
      </c>
      <c r="J210" s="8"/>
    </row>
    <row r="211" spans="1:10">
      <c r="A211" s="33">
        <v>176</v>
      </c>
      <c r="B211" s="33" t="str">
        <f>'01_ASSET_INPUT_FULL'!A179</f>
        <v>P2MAJ14 BR003</v>
      </c>
      <c r="C211" s="33" t="str">
        <f>IF(B211="","",IF(COUNTIF('01_ASSET_INPUT_FULL'!A:A,B211)&gt;0,"YES","NO"))</f>
        <v>YES</v>
      </c>
      <c r="D211" s="33" t="str">
        <f>IF(B211="","",IF(COUNTIF('08_GDE_RISK_ENGINE'!A:A,B211)&gt;0,"YES","NO"))</f>
        <v>YES</v>
      </c>
      <c r="E211" s="33" t="str">
        <f>IF(B211="","",IF(COUNTIF('15_RISK_MATRIX_LINK_DATA'!A:A,B211)&gt;0,"YES","NO"))</f>
        <v>YES</v>
      </c>
      <c r="F211" s="33">
        <f>IFERROR(VLOOKUP(B211,'08_GDE_RISK_ENGINE'!A:G,5,FALSE),"")</f>
        <v>2</v>
      </c>
      <c r="G211" s="33">
        <f>IFERROR(VLOOKUP(B211,'08_GDE_RISK_ENGINE'!A:G,6,FALSE),"")</f>
        <v>4</v>
      </c>
      <c r="H211" s="33" t="str">
        <f>IFERROR(VLOOKUP(B211,'08_GDE_RISK_ENGINE'!A:G,7,FALSE),"")</f>
        <v>High</v>
      </c>
      <c r="I211" s="33" t="str">
        <f t="shared" si="2"/>
        <v>OK</v>
      </c>
      <c r="J211" s="8"/>
    </row>
    <row r="212" spans="1:10">
      <c r="A212" s="33">
        <v>177</v>
      </c>
      <c r="B212" s="33" t="str">
        <f>'01_ASSET_INPUT_FULL'!A180</f>
        <v>P2MAJ14 BR004</v>
      </c>
      <c r="C212" s="33" t="str">
        <f>IF(B212="","",IF(COUNTIF('01_ASSET_INPUT_FULL'!A:A,B212)&gt;0,"YES","NO"))</f>
        <v>YES</v>
      </c>
      <c r="D212" s="33" t="str">
        <f>IF(B212="","",IF(COUNTIF('08_GDE_RISK_ENGINE'!A:A,B212)&gt;0,"YES","NO"))</f>
        <v>YES</v>
      </c>
      <c r="E212" s="33" t="str">
        <f>IF(B212="","",IF(COUNTIF('15_RISK_MATRIX_LINK_DATA'!A:A,B212)&gt;0,"YES","NO"))</f>
        <v>YES</v>
      </c>
      <c r="F212" s="33">
        <f>IFERROR(VLOOKUP(B212,'08_GDE_RISK_ENGINE'!A:G,5,FALSE),"")</f>
        <v>2</v>
      </c>
      <c r="G212" s="33">
        <f>IFERROR(VLOOKUP(B212,'08_GDE_RISK_ENGINE'!A:G,6,FALSE),"")</f>
        <v>4</v>
      </c>
      <c r="H212" s="33" t="str">
        <f>IFERROR(VLOOKUP(B212,'08_GDE_RISK_ENGINE'!A:G,7,FALSE),"")</f>
        <v>High</v>
      </c>
      <c r="I212" s="33" t="str">
        <f t="shared" si="2"/>
        <v>OK</v>
      </c>
      <c r="J212" s="8"/>
    </row>
    <row r="213" spans="1:10">
      <c r="A213" s="33">
        <v>178</v>
      </c>
      <c r="B213" s="33" t="str">
        <f>'01_ASSET_INPUT_FULL'!A181</f>
        <v>P2MAJ14 BR005</v>
      </c>
      <c r="C213" s="33" t="str">
        <f>IF(B213="","",IF(COUNTIF('01_ASSET_INPUT_FULL'!A:A,B213)&gt;0,"YES","NO"))</f>
        <v>YES</v>
      </c>
      <c r="D213" s="33" t="str">
        <f>IF(B213="","",IF(COUNTIF('08_GDE_RISK_ENGINE'!A:A,B213)&gt;0,"YES","NO"))</f>
        <v>YES</v>
      </c>
      <c r="E213" s="33" t="str">
        <f>IF(B213="","",IF(COUNTIF('15_RISK_MATRIX_LINK_DATA'!A:A,B213)&gt;0,"YES","NO"))</f>
        <v>YES</v>
      </c>
      <c r="F213" s="33">
        <f>IFERROR(VLOOKUP(B213,'08_GDE_RISK_ENGINE'!A:G,5,FALSE),"")</f>
        <v>2</v>
      </c>
      <c r="G213" s="33">
        <f>IFERROR(VLOOKUP(B213,'08_GDE_RISK_ENGINE'!A:G,6,FALSE),"")</f>
        <v>4</v>
      </c>
      <c r="H213" s="33" t="str">
        <f>IFERROR(VLOOKUP(B213,'08_GDE_RISK_ENGINE'!A:G,7,FALSE),"")</f>
        <v>High</v>
      </c>
      <c r="I213" s="33" t="str">
        <f t="shared" si="2"/>
        <v>OK</v>
      </c>
      <c r="J213" s="8"/>
    </row>
    <row r="214" spans="1:10">
      <c r="A214" s="33">
        <v>179</v>
      </c>
      <c r="B214" s="33" t="str">
        <f>'01_ASSET_INPUT_FULL'!A182</f>
        <v>P2MAJ14 BR006</v>
      </c>
      <c r="C214" s="33" t="str">
        <f>IF(B214="","",IF(COUNTIF('01_ASSET_INPUT_FULL'!A:A,B214)&gt;0,"YES","NO"))</f>
        <v>YES</v>
      </c>
      <c r="D214" s="33" t="str">
        <f>IF(B214="","",IF(COUNTIF('08_GDE_RISK_ENGINE'!A:A,B214)&gt;0,"YES","NO"))</f>
        <v>YES</v>
      </c>
      <c r="E214" s="33" t="str">
        <f>IF(B214="","",IF(COUNTIF('15_RISK_MATRIX_LINK_DATA'!A:A,B214)&gt;0,"YES","NO"))</f>
        <v>YES</v>
      </c>
      <c r="F214" s="33">
        <f>IFERROR(VLOOKUP(B214,'08_GDE_RISK_ENGINE'!A:G,5,FALSE),"")</f>
        <v>2</v>
      </c>
      <c r="G214" s="33">
        <f>IFERROR(VLOOKUP(B214,'08_GDE_RISK_ENGINE'!A:G,6,FALSE),"")</f>
        <v>4</v>
      </c>
      <c r="H214" s="33" t="str">
        <f>IFERROR(VLOOKUP(B214,'08_GDE_RISK_ENGINE'!A:G,7,FALSE),"")</f>
        <v>High</v>
      </c>
      <c r="I214" s="33" t="str">
        <f t="shared" si="2"/>
        <v>OK</v>
      </c>
      <c r="J214" s="8"/>
    </row>
    <row r="215" spans="1:10">
      <c r="A215" s="33">
        <v>180</v>
      </c>
      <c r="B215" s="33" t="str">
        <f>'01_ASSET_INPUT_FULL'!A183</f>
        <v>P2MAJ14 BR007</v>
      </c>
      <c r="C215" s="33" t="str">
        <f>IF(B215="","",IF(COUNTIF('01_ASSET_INPUT_FULL'!A:A,B215)&gt;0,"YES","NO"))</f>
        <v>YES</v>
      </c>
      <c r="D215" s="33" t="str">
        <f>IF(B215="","",IF(COUNTIF('08_GDE_RISK_ENGINE'!A:A,B215)&gt;0,"YES","NO"))</f>
        <v>YES</v>
      </c>
      <c r="E215" s="33" t="str">
        <f>IF(B215="","",IF(COUNTIF('15_RISK_MATRIX_LINK_DATA'!A:A,B215)&gt;0,"YES","NO"))</f>
        <v>YES</v>
      </c>
      <c r="F215" s="33">
        <f>IFERROR(VLOOKUP(B215,'08_GDE_RISK_ENGINE'!A:G,5,FALSE),"")</f>
        <v>2</v>
      </c>
      <c r="G215" s="33">
        <f>IFERROR(VLOOKUP(B215,'08_GDE_RISK_ENGINE'!A:G,6,FALSE),"")</f>
        <v>4</v>
      </c>
      <c r="H215" s="33" t="str">
        <f>IFERROR(VLOOKUP(B215,'08_GDE_RISK_ENGINE'!A:G,7,FALSE),"")</f>
        <v>High</v>
      </c>
      <c r="I215" s="33" t="str">
        <f t="shared" si="2"/>
        <v>OK</v>
      </c>
      <c r="J215" s="8"/>
    </row>
    <row r="216" spans="1:10">
      <c r="A216" s="33">
        <v>181</v>
      </c>
      <c r="B216" s="33" t="str">
        <f>'01_ASSET_INPUT_FULL'!A184</f>
        <v>P2MAJ14 BR008</v>
      </c>
      <c r="C216" s="33" t="str">
        <f>IF(B216="","",IF(COUNTIF('01_ASSET_INPUT_FULL'!A:A,B216)&gt;0,"YES","NO"))</f>
        <v>YES</v>
      </c>
      <c r="D216" s="33" t="str">
        <f>IF(B216="","",IF(COUNTIF('08_GDE_RISK_ENGINE'!A:A,B216)&gt;0,"YES","NO"))</f>
        <v>YES</v>
      </c>
      <c r="E216" s="33" t="str">
        <f>IF(B216="","",IF(COUNTIF('15_RISK_MATRIX_LINK_DATA'!A:A,B216)&gt;0,"YES","NO"))</f>
        <v>YES</v>
      </c>
      <c r="F216" s="33">
        <f>IFERROR(VLOOKUP(B216,'08_GDE_RISK_ENGINE'!A:G,5,FALSE),"")</f>
        <v>2</v>
      </c>
      <c r="G216" s="33">
        <f>IFERROR(VLOOKUP(B216,'08_GDE_RISK_ENGINE'!A:G,6,FALSE),"")</f>
        <v>4</v>
      </c>
      <c r="H216" s="33" t="str">
        <f>IFERROR(VLOOKUP(B216,'08_GDE_RISK_ENGINE'!A:G,7,FALSE),"")</f>
        <v>High</v>
      </c>
      <c r="I216" s="33" t="str">
        <f t="shared" si="2"/>
        <v>OK</v>
      </c>
      <c r="J216" s="8"/>
    </row>
    <row r="217" spans="1:10">
      <c r="A217" s="33">
        <v>182</v>
      </c>
      <c r="B217" s="33" t="str">
        <f>'01_ASSET_INPUT_FULL'!A185</f>
        <v>P2PAB10 BR002</v>
      </c>
      <c r="C217" s="33" t="str">
        <f>IF(B217="","",IF(COUNTIF('01_ASSET_INPUT_FULL'!A:A,B217)&gt;0,"YES","NO"))</f>
        <v>YES</v>
      </c>
      <c r="D217" s="33" t="str">
        <f>IF(B217="","",IF(COUNTIF('08_GDE_RISK_ENGINE'!A:A,B217)&gt;0,"YES","NO"))</f>
        <v>YES</v>
      </c>
      <c r="E217" s="33" t="str">
        <f>IF(B217="","",IF(COUNTIF('15_RISK_MATRIX_LINK_DATA'!A:A,B217)&gt;0,"YES","NO"))</f>
        <v>YES</v>
      </c>
      <c r="F217" s="33">
        <f>IFERROR(VLOOKUP(B217,'08_GDE_RISK_ENGINE'!A:G,5,FALSE),"")</f>
        <v>2</v>
      </c>
      <c r="G217" s="33">
        <f>IFERROR(VLOOKUP(B217,'08_GDE_RISK_ENGINE'!A:G,6,FALSE),"")</f>
        <v>3</v>
      </c>
      <c r="H217" s="33" t="str">
        <f>IFERROR(VLOOKUP(B217,'08_GDE_RISK_ENGINE'!A:G,7,FALSE),"")</f>
        <v>High</v>
      </c>
      <c r="I217" s="33" t="str">
        <f t="shared" si="2"/>
        <v>OK</v>
      </c>
      <c r="J217" s="8"/>
    </row>
    <row r="218" spans="1:10">
      <c r="A218" s="33">
        <v>183</v>
      </c>
      <c r="B218" s="33" t="str">
        <f>'01_ASSET_INPUT_FULL'!A186</f>
        <v>P2PAB10 BR003</v>
      </c>
      <c r="C218" s="33" t="str">
        <f>IF(B218="","",IF(COUNTIF('01_ASSET_INPUT_FULL'!A:A,B218)&gt;0,"YES","NO"))</f>
        <v>YES</v>
      </c>
      <c r="D218" s="33" t="str">
        <f>IF(B218="","",IF(COUNTIF('08_GDE_RISK_ENGINE'!A:A,B218)&gt;0,"YES","NO"))</f>
        <v>YES</v>
      </c>
      <c r="E218" s="33" t="str">
        <f>IF(B218="","",IF(COUNTIF('15_RISK_MATRIX_LINK_DATA'!A:A,B218)&gt;0,"YES","NO"))</f>
        <v>YES</v>
      </c>
      <c r="F218" s="33">
        <f>IFERROR(VLOOKUP(B218,'08_GDE_RISK_ENGINE'!A:G,5,FALSE),"")</f>
        <v>2</v>
      </c>
      <c r="G218" s="33">
        <f>IFERROR(VLOOKUP(B218,'08_GDE_RISK_ENGINE'!A:G,6,FALSE),"")</f>
        <v>3</v>
      </c>
      <c r="H218" s="33" t="str">
        <f>IFERROR(VLOOKUP(B218,'08_GDE_RISK_ENGINE'!A:G,7,FALSE),"")</f>
        <v>High</v>
      </c>
      <c r="I218" s="33" t="str">
        <f t="shared" si="2"/>
        <v>OK</v>
      </c>
      <c r="J218" s="8"/>
    </row>
    <row r="219" spans="1:10">
      <c r="A219" s="33">
        <v>184</v>
      </c>
      <c r="B219" s="33" t="str">
        <f>'01_ASSET_INPUT_FULL'!A187</f>
        <v>P2PAB10 BR004</v>
      </c>
      <c r="C219" s="33" t="str">
        <f>IF(B219="","",IF(COUNTIF('01_ASSET_INPUT_FULL'!A:A,B219)&gt;0,"YES","NO"))</f>
        <v>YES</v>
      </c>
      <c r="D219" s="33" t="str">
        <f>IF(B219="","",IF(COUNTIF('08_GDE_RISK_ENGINE'!A:A,B219)&gt;0,"YES","NO"))</f>
        <v>YES</v>
      </c>
      <c r="E219" s="33" t="str">
        <f>IF(B219="","",IF(COUNTIF('15_RISK_MATRIX_LINK_DATA'!A:A,B219)&gt;0,"YES","NO"))</f>
        <v>YES</v>
      </c>
      <c r="F219" s="33">
        <f>IFERROR(VLOOKUP(B219,'08_GDE_RISK_ENGINE'!A:G,5,FALSE),"")</f>
        <v>2</v>
      </c>
      <c r="G219" s="33">
        <f>IFERROR(VLOOKUP(B219,'08_GDE_RISK_ENGINE'!A:G,6,FALSE),"")</f>
        <v>3</v>
      </c>
      <c r="H219" s="33" t="str">
        <f>IFERROR(VLOOKUP(B219,'08_GDE_RISK_ENGINE'!A:G,7,FALSE),"")</f>
        <v>High</v>
      </c>
      <c r="I219" s="33" t="str">
        <f t="shared" si="2"/>
        <v>OK</v>
      </c>
      <c r="J219" s="8"/>
    </row>
    <row r="220" spans="1:10">
      <c r="A220" s="33">
        <v>185</v>
      </c>
      <c r="B220" s="33" t="str">
        <f>'01_ASSET_INPUT_FULL'!A188</f>
        <v>P2PAB10 BR005</v>
      </c>
      <c r="C220" s="33" t="str">
        <f>IF(B220="","",IF(COUNTIF('01_ASSET_INPUT_FULL'!A:A,B220)&gt;0,"YES","NO"))</f>
        <v>YES</v>
      </c>
      <c r="D220" s="33" t="str">
        <f>IF(B220="","",IF(COUNTIF('08_GDE_RISK_ENGINE'!A:A,B220)&gt;0,"YES","NO"))</f>
        <v>YES</v>
      </c>
      <c r="E220" s="33" t="str">
        <f>IF(B220="","",IF(COUNTIF('15_RISK_MATRIX_LINK_DATA'!A:A,B220)&gt;0,"YES","NO"))</f>
        <v>YES</v>
      </c>
      <c r="F220" s="33">
        <f>IFERROR(VLOOKUP(B220,'08_GDE_RISK_ENGINE'!A:G,5,FALSE),"")</f>
        <v>2</v>
      </c>
      <c r="G220" s="33">
        <f>IFERROR(VLOOKUP(B220,'08_GDE_RISK_ENGINE'!A:G,6,FALSE),"")</f>
        <v>3</v>
      </c>
      <c r="H220" s="33" t="str">
        <f>IFERROR(VLOOKUP(B220,'08_GDE_RISK_ENGINE'!A:G,7,FALSE),"")</f>
        <v>High</v>
      </c>
      <c r="I220" s="33" t="str">
        <f t="shared" si="2"/>
        <v>OK</v>
      </c>
      <c r="J220" s="8"/>
    </row>
    <row r="221" spans="1:10">
      <c r="A221" s="33">
        <v>186</v>
      </c>
      <c r="B221" s="33" t="str">
        <f>'01_ASSET_INPUT_FULL'!A189</f>
        <v>P2PAB10 BR006</v>
      </c>
      <c r="C221" s="33" t="str">
        <f>IF(B221="","",IF(COUNTIF('01_ASSET_INPUT_FULL'!A:A,B221)&gt;0,"YES","NO"))</f>
        <v>YES</v>
      </c>
      <c r="D221" s="33" t="str">
        <f>IF(B221="","",IF(COUNTIF('08_GDE_RISK_ENGINE'!A:A,B221)&gt;0,"YES","NO"))</f>
        <v>YES</v>
      </c>
      <c r="E221" s="33" t="str">
        <f>IF(B221="","",IF(COUNTIF('15_RISK_MATRIX_LINK_DATA'!A:A,B221)&gt;0,"YES","NO"))</f>
        <v>YES</v>
      </c>
      <c r="F221" s="33">
        <f>IFERROR(VLOOKUP(B221,'08_GDE_RISK_ENGINE'!A:G,5,FALSE),"")</f>
        <v>2</v>
      </c>
      <c r="G221" s="33">
        <f>IFERROR(VLOOKUP(B221,'08_GDE_RISK_ENGINE'!A:G,6,FALSE),"")</f>
        <v>3</v>
      </c>
      <c r="H221" s="33" t="str">
        <f>IFERROR(VLOOKUP(B221,'08_GDE_RISK_ENGINE'!A:G,7,FALSE),"")</f>
        <v>High</v>
      </c>
      <c r="I221" s="33" t="str">
        <f t="shared" si="2"/>
        <v>OK</v>
      </c>
      <c r="J221" s="8"/>
    </row>
    <row r="222" spans="1:10">
      <c r="A222" s="33">
        <v>187</v>
      </c>
      <c r="B222" s="33" t="str">
        <f>'01_ASSET_INPUT_FULL'!A190</f>
        <v>P2PAB10 BR007</v>
      </c>
      <c r="C222" s="33" t="str">
        <f>IF(B222="","",IF(COUNTIF('01_ASSET_INPUT_FULL'!A:A,B222)&gt;0,"YES","NO"))</f>
        <v>YES</v>
      </c>
      <c r="D222" s="33" t="str">
        <f>IF(B222="","",IF(COUNTIF('08_GDE_RISK_ENGINE'!A:A,B222)&gt;0,"YES","NO"))</f>
        <v>YES</v>
      </c>
      <c r="E222" s="33" t="str">
        <f>IF(B222="","",IF(COUNTIF('15_RISK_MATRIX_LINK_DATA'!A:A,B222)&gt;0,"YES","NO"))</f>
        <v>YES</v>
      </c>
      <c r="F222" s="33">
        <f>IFERROR(VLOOKUP(B222,'08_GDE_RISK_ENGINE'!A:G,5,FALSE),"")</f>
        <v>2</v>
      </c>
      <c r="G222" s="33">
        <f>IFERROR(VLOOKUP(B222,'08_GDE_RISK_ENGINE'!A:G,6,FALSE),"")</f>
        <v>3</v>
      </c>
      <c r="H222" s="33" t="str">
        <f>IFERROR(VLOOKUP(B222,'08_GDE_RISK_ENGINE'!A:G,7,FALSE),"")</f>
        <v>High</v>
      </c>
      <c r="I222" s="33" t="str">
        <f t="shared" si="2"/>
        <v>OK</v>
      </c>
      <c r="J222" s="8"/>
    </row>
    <row r="223" spans="1:10">
      <c r="A223" s="33">
        <v>188</v>
      </c>
      <c r="B223" s="33" t="str">
        <f>'01_ASSET_INPUT_FULL'!A191</f>
        <v>P2PAB10 BR008</v>
      </c>
      <c r="C223" s="33" t="str">
        <f>IF(B223="","",IF(COUNTIF('01_ASSET_INPUT_FULL'!A:A,B223)&gt;0,"YES","NO"))</f>
        <v>YES</v>
      </c>
      <c r="D223" s="33" t="str">
        <f>IF(B223="","",IF(COUNTIF('08_GDE_RISK_ENGINE'!A:A,B223)&gt;0,"YES","NO"))</f>
        <v>YES</v>
      </c>
      <c r="E223" s="33" t="str">
        <f>IF(B223="","",IF(COUNTIF('15_RISK_MATRIX_LINK_DATA'!A:A,B223)&gt;0,"YES","NO"))</f>
        <v>YES</v>
      </c>
      <c r="F223" s="33">
        <f>IFERROR(VLOOKUP(B223,'08_GDE_RISK_ENGINE'!A:G,5,FALSE),"")</f>
        <v>2</v>
      </c>
      <c r="G223" s="33">
        <f>IFERROR(VLOOKUP(B223,'08_GDE_RISK_ENGINE'!A:G,6,FALSE),"")</f>
        <v>3</v>
      </c>
      <c r="H223" s="33" t="str">
        <f>IFERROR(VLOOKUP(B223,'08_GDE_RISK_ENGINE'!A:G,7,FALSE),"")</f>
        <v>High</v>
      </c>
      <c r="I223" s="33" t="str">
        <f t="shared" si="2"/>
        <v>OK</v>
      </c>
      <c r="J223" s="8"/>
    </row>
    <row r="224" spans="1:10">
      <c r="A224" s="33">
        <v>189</v>
      </c>
      <c r="B224" s="33" t="str">
        <f>'01_ASSET_INPUT_FULL'!A192</f>
        <v>P2PAD03 BR004</v>
      </c>
      <c r="C224" s="33" t="str">
        <f>IF(B224="","",IF(COUNTIF('01_ASSET_INPUT_FULL'!A:A,B224)&gt;0,"YES","NO"))</f>
        <v>YES</v>
      </c>
      <c r="D224" s="33" t="str">
        <f>IF(B224="","",IF(COUNTIF('08_GDE_RISK_ENGINE'!A:A,B224)&gt;0,"YES","NO"))</f>
        <v>YES</v>
      </c>
      <c r="E224" s="33" t="str">
        <f>IF(B224="","",IF(COUNTIF('15_RISK_MATRIX_LINK_DATA'!A:A,B224)&gt;0,"YES","NO"))</f>
        <v>YES</v>
      </c>
      <c r="F224" s="33">
        <f>IFERROR(VLOOKUP(B224,'08_GDE_RISK_ENGINE'!A:G,5,FALSE),"")</f>
        <v>2</v>
      </c>
      <c r="G224" s="33">
        <f>IFERROR(VLOOKUP(B224,'08_GDE_RISK_ENGINE'!A:G,6,FALSE),"")</f>
        <v>3</v>
      </c>
      <c r="H224" s="33" t="str">
        <f>IFERROR(VLOOKUP(B224,'08_GDE_RISK_ENGINE'!A:G,7,FALSE),"")</f>
        <v>High</v>
      </c>
      <c r="I224" s="33" t="str">
        <f t="shared" si="2"/>
        <v>OK</v>
      </c>
      <c r="J224" s="8"/>
    </row>
    <row r="225" spans="1:10">
      <c r="A225" s="33">
        <v>190</v>
      </c>
      <c r="B225" s="33" t="str">
        <f>'01_ASSET_INPUT_FULL'!A193</f>
        <v>P2PAD01 BR002</v>
      </c>
      <c r="C225" s="33" t="str">
        <f>IF(B225="","",IF(COUNTIF('01_ASSET_INPUT_FULL'!A:A,B225)&gt;0,"YES","NO"))</f>
        <v>YES</v>
      </c>
      <c r="D225" s="33" t="str">
        <f>IF(B225="","",IF(COUNTIF('08_GDE_RISK_ENGINE'!A:A,B225)&gt;0,"YES","NO"))</f>
        <v>YES</v>
      </c>
      <c r="E225" s="33" t="str">
        <f>IF(B225="","",IF(COUNTIF('15_RISK_MATRIX_LINK_DATA'!A:A,B225)&gt;0,"YES","NO"))</f>
        <v>YES</v>
      </c>
      <c r="F225" s="33">
        <f>IFERROR(VLOOKUP(B225,'08_GDE_RISK_ENGINE'!A:G,5,FALSE),"")</f>
        <v>2</v>
      </c>
      <c r="G225" s="33">
        <f>IFERROR(VLOOKUP(B225,'08_GDE_RISK_ENGINE'!A:G,6,FALSE),"")</f>
        <v>3</v>
      </c>
      <c r="H225" s="33" t="str">
        <f>IFERROR(VLOOKUP(B225,'08_GDE_RISK_ENGINE'!A:G,7,FALSE),"")</f>
        <v>High</v>
      </c>
      <c r="I225" s="33" t="str">
        <f t="shared" si="2"/>
        <v>OK</v>
      </c>
      <c r="J225" s="8"/>
    </row>
    <row r="226" spans="1:10">
      <c r="A226" s="33">
        <v>191</v>
      </c>
      <c r="B226" s="33" t="str">
        <f>'01_ASSET_INPUT_FULL'!A194</f>
        <v>P2PAD02 BR001</v>
      </c>
      <c r="C226" s="33" t="str">
        <f>IF(B226="","",IF(COUNTIF('01_ASSET_INPUT_FULL'!A:A,B226)&gt;0,"YES","NO"))</f>
        <v>YES</v>
      </c>
      <c r="D226" s="33" t="str">
        <f>IF(B226="","",IF(COUNTIF('08_GDE_RISK_ENGINE'!A:A,B226)&gt;0,"YES","NO"))</f>
        <v>YES</v>
      </c>
      <c r="E226" s="33" t="str">
        <f>IF(B226="","",IF(COUNTIF('15_RISK_MATRIX_LINK_DATA'!A:A,B226)&gt;0,"YES","NO"))</f>
        <v>YES</v>
      </c>
      <c r="F226" s="33">
        <f>IFERROR(VLOOKUP(B226,'08_GDE_RISK_ENGINE'!A:G,5,FALSE),"")</f>
        <v>2</v>
      </c>
      <c r="G226" s="33">
        <f>IFERROR(VLOOKUP(B226,'08_GDE_RISK_ENGINE'!A:G,6,FALSE),"")</f>
        <v>3</v>
      </c>
      <c r="H226" s="33" t="str">
        <f>IFERROR(VLOOKUP(B226,'08_GDE_RISK_ENGINE'!A:G,7,FALSE),"")</f>
        <v>High</v>
      </c>
      <c r="I226" s="33" t="str">
        <f t="shared" si="2"/>
        <v>OK</v>
      </c>
      <c r="J226" s="8"/>
    </row>
    <row r="227" spans="1:10">
      <c r="A227" s="33">
        <v>192</v>
      </c>
      <c r="B227" s="33" t="str">
        <f>'01_ASSET_INPUT_FULL'!A195</f>
        <v>P2PAD03 BR001</v>
      </c>
      <c r="C227" s="33" t="str">
        <f>IF(B227="","",IF(COUNTIF('01_ASSET_INPUT_FULL'!A:A,B227)&gt;0,"YES","NO"))</f>
        <v>YES</v>
      </c>
      <c r="D227" s="33" t="str">
        <f>IF(B227="","",IF(COUNTIF('08_GDE_RISK_ENGINE'!A:A,B227)&gt;0,"YES","NO"))</f>
        <v>YES</v>
      </c>
      <c r="E227" s="33" t="str">
        <f>IF(B227="","",IF(COUNTIF('15_RISK_MATRIX_LINK_DATA'!A:A,B227)&gt;0,"YES","NO"))</f>
        <v>YES</v>
      </c>
      <c r="F227" s="33">
        <f>IFERROR(VLOOKUP(B227,'08_GDE_RISK_ENGINE'!A:G,5,FALSE),"")</f>
        <v>2</v>
      </c>
      <c r="G227" s="33">
        <f>IFERROR(VLOOKUP(B227,'08_GDE_RISK_ENGINE'!A:G,6,FALSE),"")</f>
        <v>3</v>
      </c>
      <c r="H227" s="33" t="str">
        <f>IFERROR(VLOOKUP(B227,'08_GDE_RISK_ENGINE'!A:G,7,FALSE),"")</f>
        <v>High</v>
      </c>
      <c r="I227" s="33" t="str">
        <f t="shared" si="2"/>
        <v>OK</v>
      </c>
      <c r="J227" s="8"/>
    </row>
    <row r="228" spans="1:10">
      <c r="A228" s="33">
        <v>193</v>
      </c>
      <c r="B228" s="33" t="str">
        <f>'01_ASSET_INPUT_FULL'!A196</f>
        <v>P2PAD04 BR001</v>
      </c>
      <c r="C228" s="33" t="str">
        <f>IF(B228="","",IF(COUNTIF('01_ASSET_INPUT_FULL'!A:A,B228)&gt;0,"YES","NO"))</f>
        <v>YES</v>
      </c>
      <c r="D228" s="33" t="str">
        <f>IF(B228="","",IF(COUNTIF('08_GDE_RISK_ENGINE'!A:A,B228)&gt;0,"YES","NO"))</f>
        <v>YES</v>
      </c>
      <c r="E228" s="33" t="str">
        <f>IF(B228="","",IF(COUNTIF('15_RISK_MATRIX_LINK_DATA'!A:A,B228)&gt;0,"YES","NO"))</f>
        <v>YES</v>
      </c>
      <c r="F228" s="33">
        <f>IFERROR(VLOOKUP(B228,'08_GDE_RISK_ENGINE'!A:G,5,FALSE),"")</f>
        <v>2</v>
      </c>
      <c r="G228" s="33">
        <f>IFERROR(VLOOKUP(B228,'08_GDE_RISK_ENGINE'!A:G,6,FALSE),"")</f>
        <v>3</v>
      </c>
      <c r="H228" s="33" t="str">
        <f>IFERROR(VLOOKUP(B228,'08_GDE_RISK_ENGINE'!A:G,7,FALSE),"")</f>
        <v>High</v>
      </c>
      <c r="I228" s="33" t="str">
        <f t="shared" ref="I228:I235" si="3">IF(B228="","",IF(AND(D228="YES",E228="YES",F228&lt;&gt;"",G228&lt;&gt;"",H228&lt;&gt;""),"OK","CHECK"))</f>
        <v>OK</v>
      </c>
      <c r="J228" s="8"/>
    </row>
    <row r="229" spans="1:10">
      <c r="A229" s="33">
        <v>194</v>
      </c>
      <c r="B229" s="33" t="str">
        <f>'01_ASSET_INPUT_FULL'!A197</f>
        <v>P2PAD04 BR002</v>
      </c>
      <c r="C229" s="33" t="str">
        <f>IF(B229="","",IF(COUNTIF('01_ASSET_INPUT_FULL'!A:A,B229)&gt;0,"YES","NO"))</f>
        <v>YES</v>
      </c>
      <c r="D229" s="33" t="str">
        <f>IF(B229="","",IF(COUNTIF('08_GDE_RISK_ENGINE'!A:A,B229)&gt;0,"YES","NO"))</f>
        <v>YES</v>
      </c>
      <c r="E229" s="33" t="str">
        <f>IF(B229="","",IF(COUNTIF('15_RISK_MATRIX_LINK_DATA'!A:A,B229)&gt;0,"YES","NO"))</f>
        <v>YES</v>
      </c>
      <c r="F229" s="33">
        <f>IFERROR(VLOOKUP(B229,'08_GDE_RISK_ENGINE'!A:G,5,FALSE),"")</f>
        <v>2</v>
      </c>
      <c r="G229" s="33">
        <f>IFERROR(VLOOKUP(B229,'08_GDE_RISK_ENGINE'!A:G,6,FALSE),"")</f>
        <v>3</v>
      </c>
      <c r="H229" s="33" t="str">
        <f>IFERROR(VLOOKUP(B229,'08_GDE_RISK_ENGINE'!A:G,7,FALSE),"")</f>
        <v>High</v>
      </c>
      <c r="I229" s="33" t="str">
        <f t="shared" si="3"/>
        <v>OK</v>
      </c>
      <c r="J229" s="8"/>
    </row>
    <row r="230" spans="1:10">
      <c r="A230" s="33">
        <v>195</v>
      </c>
      <c r="B230" s="33" t="str">
        <f>'01_ASSET_INPUT_FULL'!A198</f>
        <v>P2SGA11 BR001</v>
      </c>
      <c r="C230" s="33" t="str">
        <f>IF(B230="","",IF(COUNTIF('01_ASSET_INPUT_FULL'!A:A,B230)&gt;0,"YES","NO"))</f>
        <v>YES</v>
      </c>
      <c r="D230" s="33" t="str">
        <f>IF(B230="","",IF(COUNTIF('08_GDE_RISK_ENGINE'!A:A,B230)&gt;0,"YES","NO"))</f>
        <v>YES</v>
      </c>
      <c r="E230" s="33" t="str">
        <f>IF(B230="","",IF(COUNTIF('15_RISK_MATRIX_LINK_DATA'!A:A,B230)&gt;0,"YES","NO"))</f>
        <v>YES</v>
      </c>
      <c r="F230" s="33">
        <f>IFERROR(VLOOKUP(B230,'08_GDE_RISK_ENGINE'!A:G,5,FALSE),"")</f>
        <v>3</v>
      </c>
      <c r="G230" s="33">
        <f>IFERROR(VLOOKUP(B230,'08_GDE_RISK_ENGINE'!A:G,6,FALSE),"")</f>
        <v>2</v>
      </c>
      <c r="H230" s="33" t="str">
        <f>IFERROR(VLOOKUP(B230,'08_GDE_RISK_ENGINE'!A:G,7,FALSE),"")</f>
        <v>High</v>
      </c>
      <c r="I230" s="33" t="str">
        <f t="shared" si="3"/>
        <v>OK</v>
      </c>
      <c r="J230" s="8"/>
    </row>
    <row r="231" spans="1:10">
      <c r="A231" s="33">
        <v>196</v>
      </c>
      <c r="B231" s="33" t="str">
        <f>'01_ASSET_INPUT_FULL'!A199</f>
        <v>P2PAB11 BR006</v>
      </c>
      <c r="C231" s="33" t="str">
        <f>IF(B231="","",IF(COUNTIF('01_ASSET_INPUT_FULL'!A:A,B231)&gt;0,"YES","NO"))</f>
        <v>YES</v>
      </c>
      <c r="D231" s="33" t="str">
        <f>IF(B231="","",IF(COUNTIF('08_GDE_RISK_ENGINE'!A:A,B231)&gt;0,"YES","NO"))</f>
        <v>YES</v>
      </c>
      <c r="E231" s="33" t="str">
        <f>IF(B231="","",IF(COUNTIF('15_RISK_MATRIX_LINK_DATA'!A:A,B231)&gt;0,"YES","NO"))</f>
        <v>YES</v>
      </c>
      <c r="F231" s="33">
        <f>IFERROR(VLOOKUP(B231,'08_GDE_RISK_ENGINE'!A:G,5,FALSE),"")</f>
        <v>2</v>
      </c>
      <c r="G231" s="33">
        <f>IFERROR(VLOOKUP(B231,'08_GDE_RISK_ENGINE'!A:G,6,FALSE),"")</f>
        <v>3</v>
      </c>
      <c r="H231" s="33" t="str">
        <f>IFERROR(VLOOKUP(B231,'08_GDE_RISK_ENGINE'!A:G,7,FALSE),"")</f>
        <v>High</v>
      </c>
      <c r="I231" s="33" t="str">
        <f t="shared" si="3"/>
        <v>OK</v>
      </c>
      <c r="J231" s="8"/>
    </row>
    <row r="232" spans="1:10">
      <c r="A232" s="33">
        <v>197</v>
      </c>
      <c r="B232" s="33" t="str">
        <f>'01_ASSET_INPUT_FULL'!A200</f>
        <v>P2PAD02 BR003</v>
      </c>
      <c r="C232" s="33" t="str">
        <f>IF(B232="","",IF(COUNTIF('01_ASSET_INPUT_FULL'!A:A,B232)&gt;0,"YES","NO"))</f>
        <v>YES</v>
      </c>
      <c r="D232" s="33" t="str">
        <f>IF(B232="","",IF(COUNTIF('08_GDE_RISK_ENGINE'!A:A,B232)&gt;0,"YES","NO"))</f>
        <v>YES</v>
      </c>
      <c r="E232" s="33" t="str">
        <f>IF(B232="","",IF(COUNTIF('15_RISK_MATRIX_LINK_DATA'!A:A,B232)&gt;0,"YES","NO"))</f>
        <v>YES</v>
      </c>
      <c r="F232" s="33">
        <f>IFERROR(VLOOKUP(B232,'08_GDE_RISK_ENGINE'!A:G,5,FALSE),"")</f>
        <v>2</v>
      </c>
      <c r="G232" s="33">
        <f>IFERROR(VLOOKUP(B232,'08_GDE_RISK_ENGINE'!A:G,6,FALSE),"")</f>
        <v>3</v>
      </c>
      <c r="H232" s="33" t="str">
        <f>IFERROR(VLOOKUP(B232,'08_GDE_RISK_ENGINE'!A:G,7,FALSE),"")</f>
        <v>High</v>
      </c>
      <c r="I232" s="33" t="str">
        <f t="shared" si="3"/>
        <v>OK</v>
      </c>
      <c r="J232" s="8"/>
    </row>
    <row r="233" spans="1:10">
      <c r="A233" s="33">
        <v>198</v>
      </c>
      <c r="B233" s="33" t="str">
        <f>'01_ASSET_INPUT_FULL'!A201</f>
        <v>P2PAE01 BR001</v>
      </c>
      <c r="C233" s="33" t="str">
        <f>IF(B233="","",IF(COUNTIF('01_ASSET_INPUT_FULL'!A:A,B233)&gt;0,"YES","NO"))</f>
        <v>YES</v>
      </c>
      <c r="D233" s="33" t="str">
        <f>IF(B233="","",IF(COUNTIF('08_GDE_RISK_ENGINE'!A:A,B233)&gt;0,"YES","NO"))</f>
        <v>YES</v>
      </c>
      <c r="E233" s="33" t="str">
        <f>IF(B233="","",IF(COUNTIF('15_RISK_MATRIX_LINK_DATA'!A:A,B233)&gt;0,"YES","NO"))</f>
        <v>YES</v>
      </c>
      <c r="F233" s="33">
        <f>IFERROR(VLOOKUP(B233,'08_GDE_RISK_ENGINE'!A:G,5,FALSE),"")</f>
        <v>2</v>
      </c>
      <c r="G233" s="33">
        <f>IFERROR(VLOOKUP(B233,'08_GDE_RISK_ENGINE'!A:G,6,FALSE),"")</f>
        <v>3</v>
      </c>
      <c r="H233" s="33" t="str">
        <f>IFERROR(VLOOKUP(B233,'08_GDE_RISK_ENGINE'!A:G,7,FALSE),"")</f>
        <v>High</v>
      </c>
      <c r="I233" s="33" t="str">
        <f t="shared" si="3"/>
        <v>OK</v>
      </c>
      <c r="J233" s="8"/>
    </row>
    <row r="234" spans="1:10">
      <c r="A234" s="33">
        <v>199</v>
      </c>
      <c r="B234" s="33" t="str">
        <f>'01_ASSET_INPUT_FULL'!A202</f>
        <v>P2PCB17 BR001</v>
      </c>
      <c r="C234" s="33" t="str">
        <f>IF(B234="","",IF(COUNTIF('01_ASSET_INPUT_FULL'!A:A,B234)&gt;0,"YES","NO"))</f>
        <v>YES</v>
      </c>
      <c r="D234" s="33" t="str">
        <f>IF(B234="","",IF(COUNTIF('08_GDE_RISK_ENGINE'!A:A,B234)&gt;0,"YES","NO"))</f>
        <v>YES</v>
      </c>
      <c r="E234" s="33" t="str">
        <f>IF(B234="","",IF(COUNTIF('15_RISK_MATRIX_LINK_DATA'!A:A,B234)&gt;0,"YES","NO"))</f>
        <v>YES</v>
      </c>
      <c r="F234" s="33">
        <f>IFERROR(VLOOKUP(B234,'08_GDE_RISK_ENGINE'!A:G,5,FALSE),"")</f>
        <v>2</v>
      </c>
      <c r="G234" s="33">
        <f>IFERROR(VLOOKUP(B234,'08_GDE_RISK_ENGINE'!A:G,6,FALSE),"")</f>
        <v>3</v>
      </c>
      <c r="H234" s="33" t="str">
        <f>IFERROR(VLOOKUP(B234,'08_GDE_RISK_ENGINE'!A:G,7,FALSE),"")</f>
        <v>High</v>
      </c>
      <c r="I234" s="33" t="str">
        <f t="shared" si="3"/>
        <v>OK</v>
      </c>
      <c r="J234" s="8"/>
    </row>
    <row r="235" spans="1:10">
      <c r="A235" s="33">
        <v>200</v>
      </c>
      <c r="B235" s="33" t="str">
        <f>'01_ASSET_INPUT_FULL'!A203</f>
        <v>P2PAE01 BR002</v>
      </c>
      <c r="C235" s="33" t="str">
        <f>IF(B235="","",IF(COUNTIF('01_ASSET_INPUT_FULL'!A:A,B235)&gt;0,"YES","NO"))</f>
        <v>YES</v>
      </c>
      <c r="D235" s="33" t="str">
        <f>IF(B235="","",IF(COUNTIF('08_GDE_RISK_ENGINE'!A:A,B235)&gt;0,"YES","NO"))</f>
        <v>YES</v>
      </c>
      <c r="E235" s="33" t="str">
        <f>IF(B235="","",IF(COUNTIF('15_RISK_MATRIX_LINK_DATA'!A:A,B235)&gt;0,"YES","NO"))</f>
        <v>YES</v>
      </c>
      <c r="F235" s="33">
        <f>IFERROR(VLOOKUP(B235,'08_GDE_RISK_ENGINE'!A:G,5,FALSE),"")</f>
        <v>2</v>
      </c>
      <c r="G235" s="33">
        <f>IFERROR(VLOOKUP(B235,'08_GDE_RISK_ENGINE'!A:G,6,FALSE),"")</f>
        <v>3</v>
      </c>
      <c r="H235" s="33" t="str">
        <f>IFERROR(VLOOKUP(B235,'08_GDE_RISK_ENGINE'!A:G,7,FALSE),"")</f>
        <v>High</v>
      </c>
      <c r="I235" s="33" t="str">
        <f t="shared" si="3"/>
        <v>OK</v>
      </c>
      <c r="J235" s="8"/>
    </row>
  </sheetData>
  <mergeCells count="22">
    <mergeCell ref="A1:J1"/>
    <mergeCell ref="A2:J2"/>
    <mergeCell ref="B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6:J16"/>
    <mergeCell ref="D17:G17"/>
    <mergeCell ref="D18:G18"/>
    <mergeCell ref="D19:G19"/>
    <mergeCell ref="D20:G20"/>
    <mergeCell ref="D21:G21"/>
    <mergeCell ref="D22:G22"/>
    <mergeCell ref="D23:G23"/>
    <mergeCell ref="B26:J26"/>
    <mergeCell ref="B34:J34"/>
  </mergeCells>
  <conditionalFormatting sqref="C13">
    <cfRule type="expression" dxfId="4" priority="1">
      <formula>$C$13="PASS"</formula>
    </cfRule>
    <cfRule type="expression" dxfId="5" priority="2">
      <formula>$C$13="CHECK REQUIRED"</formula>
    </cfRule>
  </conditionalFormatting>
  <conditionalFormatting sqref="C17:C23">
    <cfRule type="expression" dxfId="6" priority="3">
      <formula>$C17=0</formula>
    </cfRule>
    <cfRule type="expression" dxfId="7" priority="4">
      <formula>$C17&gt;0</formula>
    </cfRule>
  </conditionalFormatting>
  <conditionalFormatting sqref="F28:F31">
    <cfRule type="expression" dxfId="4" priority="5">
      <formula>$F28="PASS"</formula>
    </cfRule>
    <cfRule type="expression" dxfId="5" priority="6">
      <formula>$F28="CHECK"</formula>
    </cfRule>
  </conditionalFormatting>
  <conditionalFormatting sqref="I36:I235">
    <cfRule type="expression" dxfId="6" priority="7">
      <formula>$I36="OK"</formula>
    </cfRule>
    <cfRule type="expression" dxfId="7" priority="8">
      <formula>$I36="CHECK"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showGridLines="0" workbookViewId="0">
      <selection activeCell="A1" sqref="A1:E1"/>
    </sheetView>
  </sheetViews>
  <sheetFormatPr defaultColWidth="9" defaultRowHeight="14.5" outlineLevelCol="4"/>
  <cols>
    <col min="1" max="2" width="18" customWidth="1"/>
    <col min="3" max="3" width="28" customWidth="1"/>
    <col min="4" max="4" width="55" customWidth="1"/>
    <col min="5" max="5" width="14" customWidth="1"/>
  </cols>
  <sheetData>
    <row r="1" ht="18.5" spans="1:5">
      <c r="A1" s="13" t="s">
        <v>1233</v>
      </c>
    </row>
    <row r="3" spans="1:5">
      <c r="A3" s="9" t="s">
        <v>1234</v>
      </c>
      <c r="B3" s="9" t="s">
        <v>1235</v>
      </c>
      <c r="C3" s="9" t="s">
        <v>1236</v>
      </c>
      <c r="D3" s="9" t="s">
        <v>1237</v>
      </c>
      <c r="E3" s="9" t="s">
        <v>185</v>
      </c>
    </row>
    <row r="4" spans="1:5">
      <c r="A4" s="8" t="s">
        <v>1238</v>
      </c>
      <c r="B4" s="8" t="s">
        <v>1239</v>
      </c>
      <c r="C4" s="8" t="s">
        <v>75</v>
      </c>
      <c r="D4" s="8">
        <f>COUNTA('01_ASSET_INPUT_FULL'!A:A)-1</f>
        <v>414</v>
      </c>
      <c r="E4" s="14" t="s">
        <v>1240</v>
      </c>
    </row>
    <row r="5" spans="1:5">
      <c r="A5" s="8" t="s">
        <v>1241</v>
      </c>
      <c r="B5" s="8" t="s">
        <v>1242</v>
      </c>
      <c r="C5" s="8" t="s">
        <v>79</v>
      </c>
      <c r="D5" s="8">
        <f>COUNTIF('01_ASSET_INPUT_FULL'!B:B,"Piping")</f>
        <v>345</v>
      </c>
      <c r="E5" s="14" t="s">
        <v>1240</v>
      </c>
    </row>
    <row r="6" spans="1:5">
      <c r="A6" s="8" t="s">
        <v>1243</v>
      </c>
      <c r="B6" s="8" t="s">
        <v>1244</v>
      </c>
      <c r="C6" s="8" t="s">
        <v>87</v>
      </c>
      <c r="D6" s="8">
        <f>COUNTIF('01_ASSET_INPUT_FULL'!B:B,"Equipment")</f>
        <v>68</v>
      </c>
      <c r="E6" s="14" t="s">
        <v>1240</v>
      </c>
    </row>
    <row r="7" ht="29" spans="1:5">
      <c r="A7" s="8" t="s">
        <v>1245</v>
      </c>
      <c r="B7" s="8" t="s">
        <v>1246</v>
      </c>
      <c r="C7" s="8" t="s">
        <v>1247</v>
      </c>
      <c r="D7" s="8">
        <f>COUNTA('04_CORROSION_LOOP_MODEL'!A:A)-1</f>
        <v>99</v>
      </c>
      <c r="E7" s="14" t="s">
        <v>1240</v>
      </c>
    </row>
    <row r="8" spans="1:5">
      <c r="A8" s="8" t="s">
        <v>1248</v>
      </c>
      <c r="B8" s="8" t="s">
        <v>1249</v>
      </c>
      <c r="C8" s="8" t="s">
        <v>199</v>
      </c>
      <c r="D8" s="8">
        <f>COUNTIF('08_GDE_RISK_ENGINE'!G:G,"Extreme High")</f>
        <v>23</v>
      </c>
      <c r="E8" s="14" t="s">
        <v>1240</v>
      </c>
    </row>
    <row r="9" spans="1:5">
      <c r="A9" s="8" t="s">
        <v>1250</v>
      </c>
      <c r="B9" s="8" t="s">
        <v>1251</v>
      </c>
      <c r="C9" s="8" t="s">
        <v>200</v>
      </c>
      <c r="D9" s="8">
        <f>COUNTIF('08_GDE_RISK_ENGINE'!G:G,"High")</f>
        <v>261</v>
      </c>
      <c r="E9" s="14" t="s">
        <v>1240</v>
      </c>
    </row>
    <row r="10" spans="1:5">
      <c r="A10" s="8" t="s">
        <v>1252</v>
      </c>
      <c r="B10" s="8" t="s">
        <v>1253</v>
      </c>
      <c r="C10" s="8" t="s">
        <v>202</v>
      </c>
      <c r="D10" s="8">
        <f>COUNTIF('08_GDE_RISK_ENGINE'!G:G,"Medium")</f>
        <v>70</v>
      </c>
      <c r="E10" s="14" t="s">
        <v>1240</v>
      </c>
    </row>
    <row r="11" spans="1:5">
      <c r="A11" s="8" t="s">
        <v>1254</v>
      </c>
      <c r="B11" s="8" t="s">
        <v>1255</v>
      </c>
      <c r="C11" s="8" t="s">
        <v>204</v>
      </c>
      <c r="D11" s="8">
        <f>COUNTIF('08_GDE_RISK_ENGINE'!G:G,"Low")</f>
        <v>59</v>
      </c>
      <c r="E11" s="14" t="s">
        <v>1240</v>
      </c>
    </row>
    <row r="12" spans="1:5">
      <c r="A12" s="8" t="s">
        <v>1256</v>
      </c>
      <c r="B12" s="8" t="s">
        <v>1257</v>
      </c>
      <c r="C12" s="8" t="s">
        <v>199</v>
      </c>
      <c r="D12" s="8">
        <f>COUNTIF('08_GDE_RISK_ENGINE'!G:G,"Extreme High")</f>
        <v>23</v>
      </c>
      <c r="E12" s="14" t="s">
        <v>1240</v>
      </c>
    </row>
    <row r="13" spans="1:5">
      <c r="A13" s="8" t="s">
        <v>1258</v>
      </c>
      <c r="B13" s="8" t="s">
        <v>1259</v>
      </c>
      <c r="C13" s="8" t="s">
        <v>199</v>
      </c>
      <c r="D13" s="8">
        <f>COUNTIF('08_GDE_RISK_ENGINE'!G:G,"Extreme High")</f>
        <v>23</v>
      </c>
      <c r="E13" s="14" t="s">
        <v>1240</v>
      </c>
    </row>
    <row r="14" spans="1:5">
      <c r="A14" s="8" t="s">
        <v>1260</v>
      </c>
      <c r="B14" s="8" t="s">
        <v>1261</v>
      </c>
      <c r="C14" s="8" t="s">
        <v>199</v>
      </c>
      <c r="D14" s="8">
        <f>COUNTIF('08_GDE_RISK_ENGINE'!G:G,"Extreme High")</f>
        <v>23</v>
      </c>
      <c r="E14" s="14" t="s">
        <v>1240</v>
      </c>
    </row>
    <row r="15" spans="1:5">
      <c r="A15" s="8" t="s">
        <v>1262</v>
      </c>
      <c r="B15" s="8" t="s">
        <v>1263</v>
      </c>
      <c r="C15" s="8" t="s">
        <v>199</v>
      </c>
      <c r="D15" s="8">
        <f>COUNTIF('08_GDE_RISK_ENGINE'!G:G,"Extreme High")</f>
        <v>23</v>
      </c>
      <c r="E15" s="14" t="s">
        <v>1240</v>
      </c>
    </row>
    <row r="16" spans="1:5">
      <c r="A16" s="8" t="s">
        <v>1264</v>
      </c>
      <c r="B16" s="8" t="s">
        <v>1265</v>
      </c>
      <c r="C16" s="8" t="s">
        <v>199</v>
      </c>
      <c r="D16" s="8">
        <f>COUNTIF('08_GDE_RISK_ENGINE'!G:G,"Extreme High")</f>
        <v>23</v>
      </c>
      <c r="E16" s="14" t="s">
        <v>1240</v>
      </c>
    </row>
    <row r="17" spans="1:5">
      <c r="A17" s="8" t="s">
        <v>1266</v>
      </c>
      <c r="B17" s="8" t="s">
        <v>1267</v>
      </c>
      <c r="C17" s="8" t="s">
        <v>199</v>
      </c>
      <c r="D17" s="8">
        <f>COUNTIF('08_GDE_RISK_ENGINE'!G:G,"Extreme High")</f>
        <v>23</v>
      </c>
      <c r="E17" s="14" t="s">
        <v>1240</v>
      </c>
    </row>
    <row r="18" spans="1:5">
      <c r="A18" s="8" t="s">
        <v>1268</v>
      </c>
      <c r="B18" s="8" t="s">
        <v>1269</v>
      </c>
      <c r="C18" s="8" t="s">
        <v>199</v>
      </c>
      <c r="D18" s="8">
        <f>COUNTIF('08_GDE_RISK_ENGINE'!G:G,"Extreme High")</f>
        <v>23</v>
      </c>
      <c r="E18" s="14" t="s">
        <v>1240</v>
      </c>
    </row>
    <row r="19" spans="1:5">
      <c r="A19" s="8" t="s">
        <v>1270</v>
      </c>
      <c r="B19" s="8" t="s">
        <v>1271</v>
      </c>
      <c r="C19" s="8" t="s">
        <v>199</v>
      </c>
      <c r="D19" s="8">
        <f>COUNTIF('08_GDE_RISK_ENGINE'!G:G,"Extreme High")</f>
        <v>23</v>
      </c>
      <c r="E19" s="14" t="s">
        <v>1240</v>
      </c>
    </row>
  </sheetData>
  <mergeCells count="1">
    <mergeCell ref="A1:E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workbookViewId="0">
      <selection activeCell="A1" sqref="A1"/>
    </sheetView>
  </sheetViews>
  <sheetFormatPr defaultColWidth="9" defaultRowHeight="14.5" outlineLevelRow="3" outlineLevelCol="6"/>
  <cols>
    <col min="1" max="4" width="24" customWidth="1"/>
    <col min="6" max="6" width="18" customWidth="1"/>
    <col min="7" max="7" width="70" customWidth="1"/>
  </cols>
  <sheetData>
    <row r="1" spans="1:7">
      <c r="A1" s="9" t="s">
        <v>6</v>
      </c>
      <c r="B1" s="9" t="s">
        <v>8</v>
      </c>
      <c r="C1" s="9" t="s">
        <v>1272</v>
      </c>
      <c r="D1" s="9" t="s">
        <v>1273</v>
      </c>
      <c r="F1" s="10" t="s">
        <v>1274</v>
      </c>
    </row>
    <row r="2" spans="1:7">
      <c r="A2" s="11" t="s">
        <v>7</v>
      </c>
      <c r="B2" s="11" t="s">
        <v>9</v>
      </c>
      <c r="C2" s="11" t="s">
        <v>1275</v>
      </c>
      <c r="D2" s="11" t="s">
        <v>1276</v>
      </c>
      <c r="F2" s="12" t="s">
        <v>1275</v>
      </c>
      <c r="G2" t="s">
        <v>1277</v>
      </c>
    </row>
    <row r="3" spans="1:7">
      <c r="A3" s="11" t="s">
        <v>1278</v>
      </c>
      <c r="B3" s="11" t="s">
        <v>1279</v>
      </c>
      <c r="C3" s="11" t="s">
        <v>1280</v>
      </c>
      <c r="D3" s="11" t="s">
        <v>1276</v>
      </c>
      <c r="F3" s="12" t="s">
        <v>1280</v>
      </c>
      <c r="G3" t="s">
        <v>1281</v>
      </c>
    </row>
    <row r="4" spans="1:7">
      <c r="A4" s="11" t="s">
        <v>1282</v>
      </c>
      <c r="B4" s="11" t="s">
        <v>1283</v>
      </c>
      <c r="C4" s="11" t="s">
        <v>1284</v>
      </c>
      <c r="D4" s="11" t="s">
        <v>1285</v>
      </c>
      <c r="F4" s="12" t="s">
        <v>1284</v>
      </c>
      <c r="G4" t="s">
        <v>1286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A1" sqref="A1:J1"/>
    </sheetView>
  </sheetViews>
  <sheetFormatPr defaultColWidth="9" defaultRowHeight="14.5"/>
  <cols>
    <col min="1" max="1" width="12" customWidth="1"/>
    <col min="2" max="2" width="18" customWidth="1"/>
    <col min="3" max="3" width="24" customWidth="1"/>
    <col min="4" max="4" width="36" customWidth="1"/>
    <col min="5" max="5" width="18" customWidth="1"/>
    <col min="6" max="6" width="38" customWidth="1"/>
    <col min="7" max="7" width="40" customWidth="1"/>
    <col min="8" max="8" width="18" customWidth="1"/>
    <col min="9" max="9" width="16" customWidth="1"/>
    <col min="10" max="10" width="44" customWidth="1"/>
  </cols>
  <sheetData>
    <row r="1" customFormat="1" ht="28" customHeight="1" spans="1:10">
      <c r="A1" s="5" t="s">
        <v>1287</v>
      </c>
    </row>
    <row r="2" customFormat="1" ht="34" customHeight="1" spans="1:10">
      <c r="A2" s="6" t="s">
        <v>1288</v>
      </c>
    </row>
    <row r="4" customFormat="1" ht="28" customHeight="1" spans="1:10">
      <c r="A4" s="7" t="s">
        <v>1289</v>
      </c>
      <c r="B4" s="7" t="s">
        <v>1290</v>
      </c>
      <c r="C4" s="7" t="s">
        <v>1291</v>
      </c>
      <c r="D4" s="7" t="s">
        <v>1292</v>
      </c>
      <c r="E4" s="7" t="s">
        <v>1293</v>
      </c>
      <c r="F4" s="7" t="s">
        <v>1294</v>
      </c>
      <c r="G4" s="7" t="s">
        <v>1295</v>
      </c>
      <c r="H4" s="7" t="s">
        <v>1091</v>
      </c>
      <c r="I4" s="7" t="s">
        <v>1296</v>
      </c>
      <c r="J4" s="7" t="s">
        <v>1297</v>
      </c>
    </row>
    <row r="5" ht="29" spans="1:10">
      <c r="A5" s="8" t="s">
        <v>1298</v>
      </c>
      <c r="B5" s="8" t="s">
        <v>1299</v>
      </c>
      <c r="C5" s="8" t="s">
        <v>882</v>
      </c>
      <c r="D5" s="8" t="s">
        <v>1300</v>
      </c>
      <c r="E5" s="8" t="s">
        <v>1301</v>
      </c>
      <c r="F5" s="8" t="s">
        <v>1302</v>
      </c>
      <c r="G5" s="8" t="s">
        <v>1303</v>
      </c>
      <c r="H5" s="8" t="s">
        <v>1304</v>
      </c>
      <c r="I5" s="8">
        <f>COUNTIF('01_ASSET_INPUT_FULL'!A:A,"P2*")</f>
        <v>345</v>
      </c>
      <c r="J5" s="8" t="s">
        <v>1305</v>
      </c>
    </row>
    <row r="6" ht="29" spans="1:10">
      <c r="A6" s="8" t="s">
        <v>1306</v>
      </c>
      <c r="B6" s="8" t="s">
        <v>1307</v>
      </c>
      <c r="C6" s="8" t="s">
        <v>77</v>
      </c>
      <c r="D6" s="8" t="s">
        <v>1308</v>
      </c>
      <c r="E6" s="8" t="s">
        <v>77</v>
      </c>
      <c r="F6" s="8" t="s">
        <v>1309</v>
      </c>
      <c r="G6" s="8" t="s">
        <v>1310</v>
      </c>
      <c r="H6" s="8" t="s">
        <v>1311</v>
      </c>
      <c r="I6" s="8">
        <f>COUNTIF('01_ASSET_INPUT_FULL'!A:A,"* BR*")</f>
        <v>345</v>
      </c>
      <c r="J6" s="8" t="s">
        <v>1312</v>
      </c>
    </row>
    <row r="7" spans="1:10">
      <c r="A7" s="8" t="s">
        <v>1116</v>
      </c>
      <c r="B7" s="8" t="s">
        <v>92</v>
      </c>
      <c r="C7" s="8" t="s">
        <v>1313</v>
      </c>
      <c r="D7" s="8" t="s">
        <v>1314</v>
      </c>
      <c r="E7" s="8" t="s">
        <v>1315</v>
      </c>
      <c r="F7" s="8" t="s">
        <v>1316</v>
      </c>
      <c r="G7" s="8" t="s">
        <v>1317</v>
      </c>
      <c r="H7" s="8" t="s">
        <v>1318</v>
      </c>
      <c r="I7" s="8">
        <f>COUNTIF('01_ASSET_INPUT_FULL'!E:E,"GMC")</f>
        <v>0</v>
      </c>
      <c r="J7" s="8" t="s">
        <v>1319</v>
      </c>
    </row>
    <row r="8" ht="29" spans="1:10">
      <c r="A8" s="8" t="s">
        <v>93</v>
      </c>
      <c r="B8" s="8" t="s">
        <v>92</v>
      </c>
      <c r="C8" s="8" t="s">
        <v>1320</v>
      </c>
      <c r="D8" s="8" t="s">
        <v>237</v>
      </c>
      <c r="E8" s="8" t="s">
        <v>77</v>
      </c>
      <c r="F8" s="8" t="s">
        <v>1321</v>
      </c>
      <c r="G8" s="8" t="s">
        <v>1322</v>
      </c>
      <c r="H8" s="8" t="s">
        <v>1323</v>
      </c>
      <c r="I8" s="8">
        <f>COUNTIF('01_ASSET_INPUT_FULL'!E:E,"LBA")</f>
        <v>74</v>
      </c>
      <c r="J8" s="8" t="s">
        <v>1324</v>
      </c>
    </row>
    <row r="9" ht="29" spans="1:10">
      <c r="A9" s="8" t="s">
        <v>411</v>
      </c>
      <c r="B9" s="8" t="s">
        <v>92</v>
      </c>
      <c r="C9" s="8" t="s">
        <v>1320</v>
      </c>
      <c r="D9" s="8" t="s">
        <v>1325</v>
      </c>
      <c r="E9" s="8" t="s">
        <v>77</v>
      </c>
      <c r="F9" s="8" t="s">
        <v>1326</v>
      </c>
      <c r="G9" s="8" t="s">
        <v>1327</v>
      </c>
      <c r="H9" s="8" t="s">
        <v>1328</v>
      </c>
      <c r="I9" s="8">
        <f>COUNTIF('01_ASSET_INPUT_FULL'!E:E,"LBB")</f>
        <v>3</v>
      </c>
      <c r="J9" s="8" t="s">
        <v>1329</v>
      </c>
    </row>
    <row r="10" ht="29" spans="1:10">
      <c r="A10" s="8" t="s">
        <v>352</v>
      </c>
      <c r="B10" s="8" t="s">
        <v>92</v>
      </c>
      <c r="C10" s="8" t="s">
        <v>1330</v>
      </c>
      <c r="D10" s="8" t="s">
        <v>1331</v>
      </c>
      <c r="E10" s="8" t="s">
        <v>1332</v>
      </c>
      <c r="F10" s="8" t="s">
        <v>1333</v>
      </c>
      <c r="G10" s="8" t="s">
        <v>1334</v>
      </c>
      <c r="H10" s="8" t="s">
        <v>1335</v>
      </c>
      <c r="I10" s="8">
        <f>COUNTIF('01_ASSET_INPUT_FULL'!E:E,"LBF")</f>
        <v>24</v>
      </c>
      <c r="J10" s="8" t="s">
        <v>1336</v>
      </c>
    </row>
    <row r="11" ht="29" spans="1:10">
      <c r="A11" s="8" t="s">
        <v>754</v>
      </c>
      <c r="B11" s="8" t="s">
        <v>92</v>
      </c>
      <c r="C11" s="8" t="s">
        <v>1337</v>
      </c>
      <c r="D11" s="8" t="s">
        <v>755</v>
      </c>
      <c r="E11" s="8" t="s">
        <v>1332</v>
      </c>
      <c r="F11" s="8" t="s">
        <v>1338</v>
      </c>
      <c r="G11" s="8" t="s">
        <v>1339</v>
      </c>
      <c r="H11" s="8" t="s">
        <v>1340</v>
      </c>
      <c r="I11" s="8">
        <f>COUNTIF('01_ASSET_INPUT_FULL'!E:E,"LBJ")</f>
        <v>1</v>
      </c>
      <c r="J11" s="8" t="s">
        <v>1341</v>
      </c>
    </row>
    <row r="12" ht="29" spans="1:10">
      <c r="A12" s="8" t="s">
        <v>400</v>
      </c>
      <c r="B12" s="8" t="s">
        <v>92</v>
      </c>
      <c r="C12" s="8" t="s">
        <v>1342</v>
      </c>
      <c r="D12" s="8" t="s">
        <v>1343</v>
      </c>
      <c r="E12" s="8" t="s">
        <v>77</v>
      </c>
      <c r="F12" s="8" t="s">
        <v>1344</v>
      </c>
      <c r="G12" s="8" t="s">
        <v>1345</v>
      </c>
      <c r="H12" s="8" t="s">
        <v>1346</v>
      </c>
      <c r="I12" s="8">
        <f>COUNTIF('01_ASSET_INPUT_FULL'!E:E,"LBG")</f>
        <v>4</v>
      </c>
      <c r="J12" s="8" t="s">
        <v>1347</v>
      </c>
    </row>
    <row r="13" ht="29" spans="1:10">
      <c r="A13" s="8" t="s">
        <v>392</v>
      </c>
      <c r="B13" s="8" t="s">
        <v>92</v>
      </c>
      <c r="C13" s="8" t="s">
        <v>1348</v>
      </c>
      <c r="D13" s="8" t="s">
        <v>393</v>
      </c>
      <c r="E13" s="8" t="s">
        <v>1349</v>
      </c>
      <c r="F13" s="8" t="s">
        <v>1350</v>
      </c>
      <c r="G13" s="8" t="s">
        <v>1351</v>
      </c>
      <c r="H13" s="8" t="s">
        <v>1352</v>
      </c>
      <c r="I13" s="8">
        <f>COUNTIF('01_ASSET_INPUT_FULL'!E:E,"LCA")</f>
        <v>28</v>
      </c>
      <c r="J13" s="8" t="s">
        <v>1353</v>
      </c>
    </row>
    <row r="14" ht="29" spans="1:10">
      <c r="A14" s="8" t="s">
        <v>1100</v>
      </c>
      <c r="B14" s="8" t="s">
        <v>92</v>
      </c>
      <c r="C14" s="8" t="s">
        <v>1354</v>
      </c>
      <c r="D14" s="8" t="s">
        <v>1355</v>
      </c>
      <c r="E14" s="8" t="s">
        <v>77</v>
      </c>
      <c r="F14" s="8" t="s">
        <v>1356</v>
      </c>
      <c r="G14" s="8" t="s">
        <v>1357</v>
      </c>
      <c r="H14" s="8" t="s">
        <v>1358</v>
      </c>
      <c r="I14" s="8">
        <f>COUNTIF('01_ASSET_INPUT_FULL'!E:E,"LCL")</f>
        <v>0</v>
      </c>
      <c r="J14" s="8" t="s">
        <v>1359</v>
      </c>
    </row>
    <row r="15" spans="1:10">
      <c r="A15" s="8" t="s">
        <v>1102</v>
      </c>
      <c r="B15" s="8" t="s">
        <v>92</v>
      </c>
      <c r="C15" s="8" t="s">
        <v>1360</v>
      </c>
      <c r="D15" s="8" t="s">
        <v>1361</v>
      </c>
      <c r="E15" s="8" t="s">
        <v>77</v>
      </c>
      <c r="F15" s="8" t="s">
        <v>1362</v>
      </c>
      <c r="G15" s="8" t="s">
        <v>1363</v>
      </c>
      <c r="H15" s="8" t="s">
        <v>1358</v>
      </c>
      <c r="I15" s="8">
        <f>COUNTIF('01_ASSET_INPUT_FULL'!E:E,"LCT")</f>
        <v>0</v>
      </c>
      <c r="J15" s="8" t="s">
        <v>1364</v>
      </c>
    </row>
    <row r="16" ht="29" spans="1:10">
      <c r="A16" s="8" t="s">
        <v>1105</v>
      </c>
      <c r="B16" s="8" t="s">
        <v>92</v>
      </c>
      <c r="C16" s="8" t="s">
        <v>1365</v>
      </c>
      <c r="D16" s="8" t="s">
        <v>1366</v>
      </c>
      <c r="E16" s="8" t="s">
        <v>1367</v>
      </c>
      <c r="F16" s="8" t="s">
        <v>1368</v>
      </c>
      <c r="G16" s="8" t="s">
        <v>1369</v>
      </c>
      <c r="H16" s="8" t="s">
        <v>1370</v>
      </c>
      <c r="I16" s="8">
        <f>COUNTIF('01_ASSET_INPUT_FULL'!E:E,"MAC")</f>
        <v>0</v>
      </c>
      <c r="J16" s="8" t="s">
        <v>1371</v>
      </c>
    </row>
    <row r="17" ht="29" spans="1:10">
      <c r="A17" s="8" t="s">
        <v>488</v>
      </c>
      <c r="B17" s="8" t="s">
        <v>92</v>
      </c>
      <c r="C17" s="8" t="s">
        <v>1372</v>
      </c>
      <c r="D17" s="8" t="s">
        <v>489</v>
      </c>
      <c r="E17" s="8" t="s">
        <v>1373</v>
      </c>
      <c r="F17" s="8" t="s">
        <v>1374</v>
      </c>
      <c r="G17" s="8" t="s">
        <v>1375</v>
      </c>
      <c r="H17" s="8" t="s">
        <v>1376</v>
      </c>
      <c r="I17" s="8">
        <f>COUNTIF('01_ASSET_INPUT_FULL'!E:E,"MAG")</f>
        <v>2</v>
      </c>
      <c r="J17" s="8" t="s">
        <v>1377</v>
      </c>
    </row>
    <row r="18" spans="1:10">
      <c r="A18" s="8" t="s">
        <v>1378</v>
      </c>
      <c r="B18" s="8" t="s">
        <v>92</v>
      </c>
      <c r="C18" s="8" t="s">
        <v>1379</v>
      </c>
      <c r="D18" s="8" t="s">
        <v>1380</v>
      </c>
      <c r="E18" s="8" t="s">
        <v>77</v>
      </c>
      <c r="F18" s="8" t="s">
        <v>1381</v>
      </c>
      <c r="G18" s="8" t="s">
        <v>1382</v>
      </c>
      <c r="H18" s="8" t="s">
        <v>1383</v>
      </c>
      <c r="I18" s="8">
        <f>COUNTIF('01_ASSET_INPUT_FULL'!E:E,"MAL")</f>
        <v>0</v>
      </c>
      <c r="J18" s="8" t="s">
        <v>1384</v>
      </c>
    </row>
    <row r="19" ht="29" spans="1:10">
      <c r="A19" s="8" t="s">
        <v>435</v>
      </c>
      <c r="B19" s="8" t="s">
        <v>92</v>
      </c>
      <c r="C19" s="8" t="s">
        <v>1385</v>
      </c>
      <c r="D19" s="8" t="s">
        <v>1386</v>
      </c>
      <c r="E19" s="8" t="s">
        <v>1387</v>
      </c>
      <c r="F19" s="8" t="s">
        <v>1388</v>
      </c>
      <c r="G19" s="8" t="s">
        <v>1389</v>
      </c>
      <c r="H19" s="8" t="s">
        <v>1376</v>
      </c>
      <c r="I19" s="8">
        <f>COUNTIF('01_ASSET_INPUT_FULL'!E:E,"MAJ")</f>
        <v>45</v>
      </c>
      <c r="J19" s="8" t="s">
        <v>1390</v>
      </c>
    </row>
    <row r="20" spans="1:10">
      <c r="A20" s="8" t="s">
        <v>421</v>
      </c>
      <c r="B20" s="8" t="s">
        <v>92</v>
      </c>
      <c r="C20" s="8" t="s">
        <v>1391</v>
      </c>
      <c r="D20" s="8" t="s">
        <v>422</v>
      </c>
      <c r="E20" s="8" t="s">
        <v>77</v>
      </c>
      <c r="F20" s="8" t="s">
        <v>1392</v>
      </c>
      <c r="G20" s="8" t="s">
        <v>1393</v>
      </c>
      <c r="H20" s="8" t="s">
        <v>1383</v>
      </c>
      <c r="I20" s="8">
        <f>COUNTIF('01_ASSET_INPUT_FULL'!E:E,"MAW")</f>
        <v>3</v>
      </c>
      <c r="J20" s="8" t="s">
        <v>1394</v>
      </c>
    </row>
    <row r="21" ht="29" spans="1:10">
      <c r="A21" s="8" t="s">
        <v>362</v>
      </c>
      <c r="B21" s="8" t="s">
        <v>92</v>
      </c>
      <c r="C21" s="8" t="s">
        <v>1395</v>
      </c>
      <c r="D21" s="8" t="s">
        <v>1396</v>
      </c>
      <c r="E21" s="8" t="s">
        <v>77</v>
      </c>
      <c r="F21" s="8" t="s">
        <v>1397</v>
      </c>
      <c r="G21" s="8" t="s">
        <v>1398</v>
      </c>
      <c r="H21" s="8" t="s">
        <v>1399</v>
      </c>
      <c r="I21" s="8">
        <f>COUNTIF('01_ASSET_INPUT_FULL'!E:E,"PAB")</f>
        <v>35</v>
      </c>
      <c r="J21" s="8" t="s">
        <v>1400</v>
      </c>
    </row>
    <row r="22" ht="29" spans="1:10">
      <c r="A22" s="8" t="s">
        <v>1111</v>
      </c>
      <c r="B22" s="8" t="s">
        <v>92</v>
      </c>
      <c r="C22" s="8" t="s">
        <v>1395</v>
      </c>
      <c r="D22" s="8" t="s">
        <v>1401</v>
      </c>
      <c r="E22" s="8" t="s">
        <v>1402</v>
      </c>
      <c r="F22" s="8" t="s">
        <v>1403</v>
      </c>
      <c r="G22" s="8" t="s">
        <v>1404</v>
      </c>
      <c r="H22" s="8" t="s">
        <v>892</v>
      </c>
      <c r="I22" s="8">
        <f>COUNTIF('01_ASSET_INPUT_FULL'!E:E,"PAC")</f>
        <v>0</v>
      </c>
      <c r="J22" s="8" t="s">
        <v>1405</v>
      </c>
    </row>
    <row r="23" ht="29" spans="1:10">
      <c r="A23" s="8" t="s">
        <v>483</v>
      </c>
      <c r="B23" s="8" t="s">
        <v>92</v>
      </c>
      <c r="C23" s="8" t="s">
        <v>1406</v>
      </c>
      <c r="D23" s="8" t="s">
        <v>484</v>
      </c>
      <c r="E23" s="8" t="s">
        <v>1387</v>
      </c>
      <c r="F23" s="8" t="s">
        <v>1407</v>
      </c>
      <c r="G23" s="8" t="s">
        <v>1408</v>
      </c>
      <c r="H23" s="8" t="s">
        <v>892</v>
      </c>
      <c r="I23" s="8">
        <f>COUNTIF('01_ASSET_INPUT_FULL'!E:E,"PAD")</f>
        <v>15</v>
      </c>
      <c r="J23" s="8" t="s">
        <v>1409</v>
      </c>
    </row>
    <row r="24" ht="29" spans="1:10">
      <c r="A24" s="8" t="s">
        <v>560</v>
      </c>
      <c r="B24" s="8" t="s">
        <v>92</v>
      </c>
      <c r="C24" s="8" t="s">
        <v>1410</v>
      </c>
      <c r="D24" s="8" t="s">
        <v>561</v>
      </c>
      <c r="E24" s="8" t="s">
        <v>1411</v>
      </c>
      <c r="F24" s="8" t="s">
        <v>1412</v>
      </c>
      <c r="G24" s="8" t="s">
        <v>1413</v>
      </c>
      <c r="H24" s="8" t="s">
        <v>892</v>
      </c>
      <c r="I24" s="8">
        <f>COUNTIF('01_ASSET_INPUT_FULL'!E:E,"PAE")</f>
        <v>5</v>
      </c>
      <c r="J24" s="8" t="s">
        <v>1414</v>
      </c>
    </row>
    <row r="25" ht="29" spans="1:10">
      <c r="A25" s="8" t="s">
        <v>449</v>
      </c>
      <c r="B25" s="8" t="s">
        <v>92</v>
      </c>
      <c r="C25" s="8" t="s">
        <v>1415</v>
      </c>
      <c r="D25" s="8" t="s">
        <v>450</v>
      </c>
      <c r="E25" s="8" t="s">
        <v>77</v>
      </c>
      <c r="F25" s="8" t="s">
        <v>1416</v>
      </c>
      <c r="G25" s="8" t="s">
        <v>1417</v>
      </c>
      <c r="H25" s="8" t="s">
        <v>1399</v>
      </c>
      <c r="I25" s="8">
        <f>COUNTIF('01_ASSET_INPUT_FULL'!E:E,"PCB")</f>
        <v>42</v>
      </c>
      <c r="J25" s="8" t="s">
        <v>1418</v>
      </c>
    </row>
    <row r="26" spans="1:10">
      <c r="A26" s="8" t="s">
        <v>711</v>
      </c>
      <c r="B26" s="8" t="s">
        <v>92</v>
      </c>
      <c r="C26" s="8" t="s">
        <v>1419</v>
      </c>
      <c r="D26" s="8" t="s">
        <v>712</v>
      </c>
      <c r="E26" s="8" t="s">
        <v>1411</v>
      </c>
      <c r="F26" s="8" t="s">
        <v>1420</v>
      </c>
      <c r="G26" s="8" t="s">
        <v>1421</v>
      </c>
      <c r="H26" s="8" t="s">
        <v>1383</v>
      </c>
      <c r="I26" s="8">
        <f>COUNTIF('01_ASSET_INPUT_FULL'!E:E,"PCC")</f>
        <v>12</v>
      </c>
      <c r="J26" s="8" t="s">
        <v>1422</v>
      </c>
    </row>
    <row r="27" ht="29" spans="1:10">
      <c r="A27" s="8" t="s">
        <v>629</v>
      </c>
      <c r="B27" s="8" t="s">
        <v>92</v>
      </c>
      <c r="C27" s="8" t="s">
        <v>1423</v>
      </c>
      <c r="D27" s="8" t="s">
        <v>630</v>
      </c>
      <c r="E27" s="8" t="s">
        <v>1373</v>
      </c>
      <c r="F27" s="8" t="s">
        <v>1424</v>
      </c>
      <c r="G27" s="8" t="s">
        <v>1425</v>
      </c>
      <c r="H27" s="8" t="s">
        <v>1426</v>
      </c>
      <c r="I27" s="8">
        <f>COUNTIF('01_ASSET_INPUT_FULL'!E:E,"QEA")</f>
        <v>17</v>
      </c>
      <c r="J27" s="8" t="s">
        <v>1427</v>
      </c>
    </row>
    <row r="28" ht="29" spans="1:10">
      <c r="A28" s="8" t="s">
        <v>641</v>
      </c>
      <c r="B28" s="8" t="s">
        <v>92</v>
      </c>
      <c r="C28" s="8" t="s">
        <v>1423</v>
      </c>
      <c r="D28" s="8" t="s">
        <v>642</v>
      </c>
      <c r="E28" s="8" t="s">
        <v>1428</v>
      </c>
      <c r="F28" s="8" t="s">
        <v>1429</v>
      </c>
      <c r="G28" s="8" t="s">
        <v>1430</v>
      </c>
      <c r="H28" s="8" t="s">
        <v>1426</v>
      </c>
      <c r="I28" s="8">
        <f>COUNTIF('01_ASSET_INPUT_FULL'!E:E,"QEB")</f>
        <v>47</v>
      </c>
      <c r="J28" s="8" t="s">
        <v>1431</v>
      </c>
    </row>
    <row r="29" ht="29" spans="1:10">
      <c r="A29" s="8" t="s">
        <v>692</v>
      </c>
      <c r="B29" s="8" t="s">
        <v>92</v>
      </c>
      <c r="C29" s="8" t="s">
        <v>1432</v>
      </c>
      <c r="D29" s="8" t="s">
        <v>1433</v>
      </c>
      <c r="E29" s="8" t="s">
        <v>1434</v>
      </c>
      <c r="F29" s="8" t="s">
        <v>1435</v>
      </c>
      <c r="G29" s="8" t="s">
        <v>1436</v>
      </c>
      <c r="H29" s="8" t="s">
        <v>1437</v>
      </c>
      <c r="I29" s="8">
        <f>COUNTIF('01_ASSET_INPUT_FULL'!E:E,"QCB")</f>
        <v>3</v>
      </c>
      <c r="J29" s="8" t="s">
        <v>1438</v>
      </c>
    </row>
    <row r="30" ht="29" spans="1:10">
      <c r="A30" s="8" t="s">
        <v>697</v>
      </c>
      <c r="B30" s="8" t="s">
        <v>92</v>
      </c>
      <c r="C30" s="8" t="s">
        <v>1432</v>
      </c>
      <c r="D30" s="8" t="s">
        <v>698</v>
      </c>
      <c r="E30" s="8" t="s">
        <v>1434</v>
      </c>
      <c r="F30" s="8" t="s">
        <v>1439</v>
      </c>
      <c r="G30" s="8" t="s">
        <v>1440</v>
      </c>
      <c r="H30" s="8" t="s">
        <v>1383</v>
      </c>
      <c r="I30" s="8">
        <f>COUNTIF('01_ASSET_INPUT_FULL'!E:E,"QCH")</f>
        <v>14</v>
      </c>
      <c r="J30" s="8" t="s">
        <v>1441</v>
      </c>
    </row>
    <row r="31" ht="43.5" spans="1:10">
      <c r="A31" s="8" t="s">
        <v>552</v>
      </c>
      <c r="B31" s="8" t="s">
        <v>92</v>
      </c>
      <c r="C31" s="8" t="s">
        <v>1099</v>
      </c>
      <c r="D31" s="8" t="s">
        <v>553</v>
      </c>
      <c r="E31" s="8" t="s">
        <v>1442</v>
      </c>
      <c r="F31" s="8" t="s">
        <v>1443</v>
      </c>
      <c r="G31" s="8" t="s">
        <v>1444</v>
      </c>
      <c r="H31" s="8" t="s">
        <v>1445</v>
      </c>
      <c r="I31" s="8">
        <f>COUNTIF('01_ASSET_INPUT_FULL'!E:E,"SGA")</f>
        <v>5</v>
      </c>
      <c r="J31" s="8" t="s">
        <v>1446</v>
      </c>
    </row>
    <row r="32" ht="29" spans="1:10">
      <c r="A32" s="8" t="s">
        <v>254</v>
      </c>
      <c r="B32" s="8" t="s">
        <v>1447</v>
      </c>
      <c r="C32" s="8" t="s">
        <v>1447</v>
      </c>
      <c r="D32" s="8" t="s">
        <v>1448</v>
      </c>
      <c r="E32" s="8" t="s">
        <v>77</v>
      </c>
      <c r="F32" s="8" t="s">
        <v>1449</v>
      </c>
      <c r="G32" s="8" t="s">
        <v>1450</v>
      </c>
      <c r="H32" s="8" t="s">
        <v>1451</v>
      </c>
      <c r="I32" s="8">
        <f>COUNTIF('01_ASSET_INPUT_FULL'!O:O,"ASA6V")</f>
        <v>40</v>
      </c>
      <c r="J32" s="8" t="s">
        <v>1452</v>
      </c>
    </row>
    <row r="33" ht="29" spans="1:10">
      <c r="A33" s="8" t="s">
        <v>242</v>
      </c>
      <c r="B33" s="8" t="s">
        <v>1447</v>
      </c>
      <c r="C33" s="8" t="s">
        <v>1447</v>
      </c>
      <c r="D33" s="8" t="s">
        <v>1453</v>
      </c>
      <c r="E33" s="8" t="s">
        <v>77</v>
      </c>
      <c r="F33" s="8" t="s">
        <v>1449</v>
      </c>
      <c r="G33" s="8" t="s">
        <v>1450</v>
      </c>
      <c r="H33" s="8" t="s">
        <v>1451</v>
      </c>
      <c r="I33" s="8">
        <f>COUNTIF('01_ASSET_INPUT_FULL'!O:O,"BSA6V")</f>
        <v>54</v>
      </c>
      <c r="J33" s="8" t="s">
        <v>1454</v>
      </c>
    </row>
    <row r="34" spans="1:10">
      <c r="A34" s="8" t="s">
        <v>338</v>
      </c>
      <c r="B34" s="8" t="s">
        <v>1447</v>
      </c>
      <c r="C34" s="8" t="s">
        <v>1447</v>
      </c>
      <c r="D34" s="8" t="s">
        <v>1455</v>
      </c>
      <c r="E34" s="8" t="s">
        <v>77</v>
      </c>
      <c r="F34" s="8" t="s">
        <v>1456</v>
      </c>
      <c r="G34" s="8" t="s">
        <v>1457</v>
      </c>
      <c r="H34" s="8" t="s">
        <v>1451</v>
      </c>
      <c r="I34" s="8">
        <f>COUNTIF('01_ASSET_INPUT_FULL'!O:O,"A1A3")</f>
        <v>47</v>
      </c>
      <c r="J34" s="8" t="s">
        <v>1458</v>
      </c>
    </row>
    <row r="35" spans="1:10">
      <c r="A35" s="8" t="s">
        <v>414</v>
      </c>
      <c r="B35" s="8" t="s">
        <v>1447</v>
      </c>
      <c r="C35" s="8" t="s">
        <v>1447</v>
      </c>
      <c r="D35" s="8" t="s">
        <v>1459</v>
      </c>
      <c r="E35" s="8" t="s">
        <v>77</v>
      </c>
      <c r="F35" s="8" t="s">
        <v>1456</v>
      </c>
      <c r="G35" s="8" t="s">
        <v>1460</v>
      </c>
      <c r="H35" s="8" t="s">
        <v>1451</v>
      </c>
      <c r="I35" s="8">
        <f>COUNTIF('01_ASSET_INPUT_FULL'!O:O,"A1L0")</f>
        <v>55</v>
      </c>
      <c r="J35" s="8" t="s">
        <v>1461</v>
      </c>
    </row>
    <row r="36" spans="1:10">
      <c r="A36" s="8" t="s">
        <v>423</v>
      </c>
      <c r="B36" s="8" t="s">
        <v>1447</v>
      </c>
      <c r="C36" s="8" t="s">
        <v>1447</v>
      </c>
      <c r="D36" s="8" t="s">
        <v>1462</v>
      </c>
      <c r="E36" s="8" t="s">
        <v>77</v>
      </c>
      <c r="F36" s="8" t="s">
        <v>1463</v>
      </c>
      <c r="G36" s="8" t="s">
        <v>1464</v>
      </c>
      <c r="H36" s="8" t="s">
        <v>1451</v>
      </c>
      <c r="I36" s="8">
        <f>COUNTIF('01_ASSET_INPUT_FULL'!O:O,"A1L0V")</f>
        <v>33</v>
      </c>
      <c r="J36" s="8" t="s">
        <v>1465</v>
      </c>
    </row>
    <row r="37" ht="29" spans="1:10">
      <c r="A37" s="8" t="s">
        <v>544</v>
      </c>
      <c r="B37" s="8" t="s">
        <v>1447</v>
      </c>
      <c r="C37" s="8" t="s">
        <v>1447</v>
      </c>
      <c r="D37" s="8" t="s">
        <v>1466</v>
      </c>
      <c r="E37" s="8" t="s">
        <v>77</v>
      </c>
      <c r="F37" s="8" t="s">
        <v>1467</v>
      </c>
      <c r="G37" s="8" t="s">
        <v>1468</v>
      </c>
      <c r="H37" s="8" t="s">
        <v>1469</v>
      </c>
      <c r="I37" s="8">
        <f>COUNTIF('01_ASSET_INPUT_FULL'!O:O,"A120")</f>
        <v>10</v>
      </c>
      <c r="J37" s="8" t="s">
        <v>1470</v>
      </c>
    </row>
    <row r="38" spans="1:10">
      <c r="A38" s="8" t="s">
        <v>1471</v>
      </c>
      <c r="B38" s="8" t="s">
        <v>1447</v>
      </c>
      <c r="C38" s="8" t="s">
        <v>1447</v>
      </c>
      <c r="D38" s="8" t="s">
        <v>1472</v>
      </c>
      <c r="E38" s="8" t="s">
        <v>77</v>
      </c>
      <c r="F38" s="8" t="s">
        <v>1467</v>
      </c>
      <c r="G38" s="8" t="s">
        <v>1468</v>
      </c>
      <c r="H38" s="8" t="s">
        <v>1469</v>
      </c>
      <c r="I38" s="8">
        <f>COUNTIF('01_ASSET_INPUT_FULL'!O:O,"AAZ0")</f>
        <v>0</v>
      </c>
      <c r="J38" s="8" t="s">
        <v>1473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5" outlineLevelRow="1" outlineLevelCol="6"/>
  <cols>
    <col min="1" max="6" width="20" customWidth="1"/>
    <col min="7" max="7" width="40" customWidth="1"/>
  </cols>
  <sheetData>
    <row r="1" spans="1:7">
      <c r="A1" s="3" t="s">
        <v>1474</v>
      </c>
      <c r="B1" s="3" t="s">
        <v>1475</v>
      </c>
      <c r="C1" s="3" t="s">
        <v>1062</v>
      </c>
      <c r="D1" s="3" t="s">
        <v>72</v>
      </c>
      <c r="E1" s="3" t="s">
        <v>1476</v>
      </c>
      <c r="F1" s="3" t="s">
        <v>1477</v>
      </c>
      <c r="G1" s="3" t="s">
        <v>1478</v>
      </c>
    </row>
    <row r="2" spans="1:7">
      <c r="A2" s="4" t="s">
        <v>138</v>
      </c>
      <c r="B2" s="4" t="s">
        <v>138</v>
      </c>
      <c r="C2" s="4" t="s">
        <v>138</v>
      </c>
      <c r="D2" s="4" t="s">
        <v>138</v>
      </c>
      <c r="E2" s="4" t="s">
        <v>138</v>
      </c>
      <c r="F2" s="4" t="s">
        <v>138</v>
      </c>
      <c r="G2" s="4" t="s">
        <v>1479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workbookViewId="0">
      <selection activeCell="A1" sqref="A1"/>
    </sheetView>
  </sheetViews>
  <sheetFormatPr defaultColWidth="9" defaultRowHeight="14.5"/>
  <cols>
    <col min="1" max="1" width="55.0454545454545" customWidth="1"/>
    <col min="2" max="2" width="9.56363636363636" customWidth="1"/>
    <col min="3" max="3" width="10.3636363636364" customWidth="1"/>
    <col min="4" max="4" width="95.5636363636364" customWidth="1"/>
    <col min="5" max="5" width="14" customWidth="1"/>
    <col min="6" max="6" width="8.48181818181818" customWidth="1"/>
    <col min="7" max="7" width="34.1909090909091" customWidth="1"/>
    <col min="8" max="8" width="8.60909090909091" customWidth="1"/>
    <col min="9" max="9" width="7.80909090909091" customWidth="1"/>
    <col min="10" max="10" width="10.7727272727273" customWidth="1"/>
    <col min="11" max="11" width="10.6272727272727" customWidth="1"/>
    <col min="12" max="12" width="7.80909090909091" customWidth="1"/>
    <col min="13" max="13" width="9.29090909090909" customWidth="1"/>
    <col min="14" max="14" width="14.8" customWidth="1"/>
    <col min="15" max="16" width="6.86363636363636" customWidth="1"/>
  </cols>
  <sheetData>
    <row r="1" ht="15.5" spans="1:16">
      <c r="A1" s="1" t="s">
        <v>1480</v>
      </c>
      <c r="B1" s="1" t="s">
        <v>138</v>
      </c>
      <c r="C1" s="1" t="s">
        <v>138</v>
      </c>
      <c r="D1" s="1" t="s">
        <v>138</v>
      </c>
      <c r="E1" s="1" t="s">
        <v>138</v>
      </c>
      <c r="F1" s="1" t="s">
        <v>138</v>
      </c>
      <c r="G1" s="1" t="s">
        <v>138</v>
      </c>
      <c r="H1" s="1" t="s">
        <v>138</v>
      </c>
      <c r="I1" s="1" t="s">
        <v>138</v>
      </c>
      <c r="J1" s="1" t="s">
        <v>138</v>
      </c>
      <c r="K1" s="1" t="s">
        <v>138</v>
      </c>
      <c r="L1" s="1" t="s">
        <v>138</v>
      </c>
      <c r="M1" s="1" t="s">
        <v>138</v>
      </c>
      <c r="N1" s="1" t="s">
        <v>138</v>
      </c>
      <c r="O1" s="1" t="s">
        <v>138</v>
      </c>
      <c r="P1" s="1" t="s">
        <v>138</v>
      </c>
    </row>
    <row r="2" spans="1:16">
      <c r="A2" s="2" t="s">
        <v>1481</v>
      </c>
      <c r="B2" s="2" t="s">
        <v>1482</v>
      </c>
      <c r="C2" s="2" t="s">
        <v>1483</v>
      </c>
      <c r="D2" s="2" t="s">
        <v>1484</v>
      </c>
      <c r="E2" s="2" t="s">
        <v>1485</v>
      </c>
      <c r="F2" s="2" t="s">
        <v>1486</v>
      </c>
      <c r="G2" s="2" t="s">
        <v>1487</v>
      </c>
      <c r="H2" s="2" t="s">
        <v>1488</v>
      </c>
      <c r="I2" s="2" t="s">
        <v>1489</v>
      </c>
      <c r="J2" s="2" t="s">
        <v>138</v>
      </c>
      <c r="K2" s="2" t="s">
        <v>138</v>
      </c>
      <c r="L2" s="2" t="s">
        <v>138</v>
      </c>
      <c r="M2" s="2" t="s">
        <v>138</v>
      </c>
      <c r="N2" s="2" t="s">
        <v>138</v>
      </c>
      <c r="O2" s="2" t="s">
        <v>138</v>
      </c>
      <c r="P2" s="2" t="s">
        <v>138</v>
      </c>
    </row>
    <row r="4" spans="1:16">
      <c r="A4" t="s">
        <v>1490</v>
      </c>
      <c r="B4" t="s">
        <v>138</v>
      </c>
      <c r="C4" t="s">
        <v>138</v>
      </c>
      <c r="D4" t="s">
        <v>1491</v>
      </c>
      <c r="E4" t="s">
        <v>138</v>
      </c>
      <c r="F4" t="s">
        <v>138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</row>
    <row r="5" spans="1:16">
      <c r="D5" t="s">
        <v>1492</v>
      </c>
      <c r="E5" t="s">
        <v>138</v>
      </c>
      <c r="F5" t="s">
        <v>138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</row>
    <row r="6" spans="1:16">
      <c r="A6" t="s">
        <v>1493</v>
      </c>
      <c r="B6" t="s">
        <v>138</v>
      </c>
      <c r="C6" t="s">
        <v>138</v>
      </c>
    </row>
    <row r="7" spans="1:16">
      <c r="A7" t="s">
        <v>1494</v>
      </c>
      <c r="B7" t="s">
        <v>138</v>
      </c>
      <c r="C7" t="s">
        <v>138</v>
      </c>
      <c r="D7" t="s">
        <v>1495</v>
      </c>
      <c r="E7">
        <f>COUNTA('01_ASSET_INPUT_FULL'!A:A)-1</f>
        <v>414</v>
      </c>
      <c r="F7" t="s">
        <v>77</v>
      </c>
      <c r="G7">
        <f>COUNTIF('01_ASSET_INPUT_FULL'!B:B,"Piping")</f>
        <v>345</v>
      </c>
      <c r="H7" t="s">
        <v>205</v>
      </c>
      <c r="I7">
        <f>COUNTIF('01_ASSET_INPUT_FULL'!B:B,"Equipment")</f>
        <v>68</v>
      </c>
      <c r="J7" t="s">
        <v>1496</v>
      </c>
      <c r="K7">
        <f>COUNTA('04_CORROSION_LOOP_MODEL'!A:A)-1</f>
        <v>99</v>
      </c>
    </row>
    <row r="8" spans="1:16">
      <c r="A8" t="s">
        <v>1497</v>
      </c>
      <c r="B8" t="s">
        <v>138</v>
      </c>
      <c r="C8" t="s">
        <v>138</v>
      </c>
      <c r="D8" t="s">
        <v>138</v>
      </c>
      <c r="E8" t="s">
        <v>138</v>
      </c>
      <c r="F8" t="s">
        <v>138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</row>
    <row r="9" spans="1:16">
      <c r="A9" t="s">
        <v>1498</v>
      </c>
      <c r="B9" t="s">
        <v>138</v>
      </c>
      <c r="C9" t="s">
        <v>138</v>
      </c>
      <c r="D9" t="s">
        <v>1499</v>
      </c>
      <c r="E9" t="str">
        <f>'16_RECONCILIATION_CHECK'!C13</f>
        <v>CHECK REQUIRED</v>
      </c>
      <c r="F9" t="s">
        <v>184</v>
      </c>
      <c r="G9">
        <f>'16_RECONCILIATION_CHECK'!C11</f>
        <v>0.997584541062802</v>
      </c>
      <c r="H9" t="s">
        <v>138</v>
      </c>
      <c r="I9" t="s">
        <v>138</v>
      </c>
      <c r="J9" t="s">
        <v>138</v>
      </c>
      <c r="K9" t="s">
        <v>138</v>
      </c>
    </row>
    <row r="10" spans="1:16">
      <c r="A10" t="s">
        <v>1500</v>
      </c>
      <c r="B10" t="s">
        <v>138</v>
      </c>
      <c r="C10" t="s">
        <v>138</v>
      </c>
    </row>
    <row r="11" spans="1:16">
      <c r="A11" t="s">
        <v>1501</v>
      </c>
      <c r="B11" t="s">
        <v>138</v>
      </c>
      <c r="C11" t="s">
        <v>138</v>
      </c>
      <c r="D11" t="s">
        <v>1189</v>
      </c>
      <c r="E11">
        <f>COUNTIF('08_GDE_RISK_ENGINE'!G:G,"Extreme High")</f>
        <v>23</v>
      </c>
      <c r="F11" t="s">
        <v>200</v>
      </c>
      <c r="G11">
        <f>COUNTIF('08_GDE_RISK_ENGINE'!G:G,"High")</f>
        <v>261</v>
      </c>
      <c r="H11" t="s">
        <v>202</v>
      </c>
      <c r="I11">
        <f>COUNTIF('08_GDE_RISK_ENGINE'!G:G,"Medium")</f>
        <v>70</v>
      </c>
      <c r="J11" t="s">
        <v>204</v>
      </c>
      <c r="K11">
        <f>COUNTIF('08_GDE_RISK_ENGINE'!G:G,"Low")</f>
        <v>59</v>
      </c>
    </row>
    <row r="12" spans="1:16">
      <c r="A12" t="s">
        <v>1502</v>
      </c>
      <c r="B12" t="s">
        <v>138</v>
      </c>
      <c r="C12" t="s">
        <v>138</v>
      </c>
      <c r="D12" t="s">
        <v>138</v>
      </c>
      <c r="E12" t="s">
        <v>138</v>
      </c>
      <c r="F12" t="s">
        <v>138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</row>
    <row r="13" spans="1:16">
      <c r="A13" t="s">
        <v>1503</v>
      </c>
      <c r="B13" t="s">
        <v>138</v>
      </c>
      <c r="C13" t="s">
        <v>138</v>
      </c>
    </row>
    <row r="14" spans="1:16">
      <c r="A14" t="s">
        <v>138</v>
      </c>
      <c r="B14" t="s">
        <v>138</v>
      </c>
      <c r="C14" t="s">
        <v>138</v>
      </c>
    </row>
    <row r="15" spans="1:16">
      <c r="A15" t="s">
        <v>1504</v>
      </c>
      <c r="B15" t="s">
        <v>138</v>
      </c>
      <c r="C15" t="s">
        <v>138</v>
      </c>
    </row>
    <row r="16" spans="1:16">
      <c r="A16" t="s">
        <v>1505</v>
      </c>
      <c r="B16" t="s">
        <v>138</v>
      </c>
      <c r="C16" t="s">
        <v>138</v>
      </c>
      <c r="D16" t="s">
        <v>1506</v>
      </c>
      <c r="E16" t="s">
        <v>138</v>
      </c>
      <c r="F16" t="s">
        <v>138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</row>
    <row r="17" spans="1:16">
      <c r="A17" t="s">
        <v>1507</v>
      </c>
      <c r="B17" t="s">
        <v>138</v>
      </c>
      <c r="C17" t="s">
        <v>138</v>
      </c>
      <c r="D17" t="s">
        <v>72</v>
      </c>
      <c r="E17" t="s">
        <v>207</v>
      </c>
      <c r="F17" t="s">
        <v>84</v>
      </c>
      <c r="G17" t="s">
        <v>211</v>
      </c>
      <c r="H17" t="s">
        <v>212</v>
      </c>
      <c r="I17" t="s">
        <v>213</v>
      </c>
      <c r="J17" t="s">
        <v>214</v>
      </c>
      <c r="K17" t="s">
        <v>1508</v>
      </c>
      <c r="L17" t="s">
        <v>1509</v>
      </c>
      <c r="M17" t="s">
        <v>215</v>
      </c>
      <c r="N17" t="s">
        <v>1054</v>
      </c>
      <c r="O17" t="s">
        <v>185</v>
      </c>
      <c r="P17" t="s">
        <v>1478</v>
      </c>
    </row>
    <row r="18" spans="1:16">
      <c r="A18" t="s">
        <v>1510</v>
      </c>
      <c r="B18" t="s">
        <v>138</v>
      </c>
      <c r="C18" t="s">
        <v>138</v>
      </c>
      <c r="D18">
        <f>'08_GDE_RISK_ENGINE'!A2</f>
        <v>0</v>
      </c>
      <c r="E18">
        <f>'08_GDE_RISK_ENGINE'!B2</f>
        <v>0</v>
      </c>
      <c r="F18">
        <f>'08_GDE_RISK_ENGINE'!C2</f>
        <v>0</v>
      </c>
      <c r="G18">
        <f>'08_GDE_RISK_ENGINE'!D2</f>
        <v>0</v>
      </c>
      <c r="H18">
        <f>'08_GDE_RISK_ENGINE'!E2</f>
        <v>0</v>
      </c>
      <c r="I18">
        <f>'08_GDE_RISK_ENGINE'!F2</f>
        <v>0</v>
      </c>
      <c r="J18">
        <f>'08_GDE_RISK_ENGINE'!G2</f>
        <v>0</v>
      </c>
      <c r="K18">
        <f>'08_GDE_RISK_ENGINE'!H2</f>
        <v>0</v>
      </c>
      <c r="L18">
        <f>'08_GDE_RISK_ENGINE'!I2</f>
        <v>0</v>
      </c>
      <c r="M18">
        <f>'09_INSPECTION_STRATEGY'!G2</f>
        <v>0</v>
      </c>
      <c r="N18">
        <f>'09_INSPECTION_STRATEGY'!H2</f>
        <v>0</v>
      </c>
      <c r="O18" t="e">
        <f>Proposed</f>
        <v>#NAME?</v>
      </c>
    </row>
    <row r="19" spans="1:16">
      <c r="A19" t="s">
        <v>1511</v>
      </c>
      <c r="B19" t="s">
        <v>138</v>
      </c>
      <c r="C19" t="s">
        <v>138</v>
      </c>
      <c r="D19" t="str">
        <f>'08_GDE_RISK_ENGINE'!A3</f>
        <v>Asset Tag</v>
      </c>
      <c r="E19" t="str">
        <f>'08_GDE_RISK_ENGINE'!B3</f>
        <v>Asset Type</v>
      </c>
      <c r="F19" t="str">
        <f>'08_GDE_RISK_ENGINE'!C3</f>
        <v>System</v>
      </c>
      <c r="G19" t="str">
        <f>'08_GDE_RISK_ENGINE'!D3</f>
        <v>Corrosion Loop ID</v>
      </c>
      <c r="H19" t="str">
        <f>'08_GDE_RISK_ENGINE'!E3</f>
        <v>PoF Score</v>
      </c>
      <c r="I19" t="str">
        <f>'08_GDE_RISK_ENGINE'!F3</f>
        <v>CoF Score</v>
      </c>
      <c r="J19" t="str">
        <f>'08_GDE_RISK_ENGINE'!G3</f>
        <v>Risk Level</v>
      </c>
      <c r="K19" t="str">
        <f>'08_GDE_RISK_ENGINE'!H3</f>
        <v>ECA Category</v>
      </c>
      <c r="L19" t="str">
        <f>'08_GDE_RISK_ENGINE'!I3</f>
        <v>RBI Scope</v>
      </c>
      <c r="M19" t="str">
        <f>'09_INSPECTION_STRATEGY'!G3</f>
        <v>Interval (yr)</v>
      </c>
      <c r="N19" t="str">
        <f>'09_INSPECTION_STRATEGY'!H3</f>
        <v>Method</v>
      </c>
      <c r="O19" t="e">
        <f>Proposed</f>
        <v>#NAME?</v>
      </c>
    </row>
    <row r="20" spans="1:16">
      <c r="A20" t="s">
        <v>138</v>
      </c>
      <c r="B20" t="s">
        <v>138</v>
      </c>
      <c r="C20" t="s">
        <v>138</v>
      </c>
      <c r="D20" t="str">
        <f>'08_GDE_RISK_ENGINE'!A4</f>
        <v>P2LBA11 BR001</v>
      </c>
      <c r="E20" t="str">
        <f>'08_GDE_RISK_ENGINE'!B4</f>
        <v>Piping</v>
      </c>
      <c r="F20" t="str">
        <f>'08_GDE_RISK_ENGINE'!C4</f>
        <v>SAGS</v>
      </c>
      <c r="G20" t="str">
        <f>'08_GDE_RISK_ENGINE'!D4</f>
        <v>CL-SAGS-LBA-STEAM-CS-LG-T3_150C_PLUS</v>
      </c>
      <c r="H20">
        <f>'08_GDE_RISK_ENGINE'!E4</f>
        <v>4</v>
      </c>
      <c r="I20">
        <f>'08_GDE_RISK_ENGINE'!F4</f>
        <v>5</v>
      </c>
      <c r="J20" t="str">
        <f>'08_GDE_RISK_ENGINE'!G4</f>
        <v>Extreme High</v>
      </c>
      <c r="K20" t="str">
        <f>'08_GDE_RISK_ENGINE'!H4</f>
        <v>C1</v>
      </c>
      <c r="L20" t="str">
        <f>'08_GDE_RISK_ENGINE'!I4</f>
        <v>IN</v>
      </c>
      <c r="M20">
        <f>'09_INSPECTION_STRATEGY'!G4</f>
        <v>0.5</v>
      </c>
      <c r="N20" t="str">
        <f>'09_INSPECTION_STRATEGY'!H4</f>
        <v>UT Scan + VT</v>
      </c>
      <c r="O20" t="e">
        <f>Proposed</f>
        <v>#NAME?</v>
      </c>
    </row>
    <row r="21" spans="1:16">
      <c r="A21" t="s">
        <v>1512</v>
      </c>
      <c r="B21" t="s">
        <v>138</v>
      </c>
      <c r="C21" t="s">
        <v>138</v>
      </c>
      <c r="D21" t="str">
        <f>'08_GDE_RISK_ENGINE'!A5</f>
        <v>P2LBA11 BR501</v>
      </c>
      <c r="E21" t="str">
        <f>'08_GDE_RISK_ENGINE'!B5</f>
        <v>Piping</v>
      </c>
      <c r="F21" t="str">
        <f>'08_GDE_RISK_ENGINE'!C5</f>
        <v>SAGS</v>
      </c>
      <c r="G21" t="str">
        <f>'08_GDE_RISK_ENGINE'!D5</f>
        <v>CL-SAGS-LBA-STEAM-CS-LG-T3_150C_PLUS</v>
      </c>
      <c r="H21">
        <f>'08_GDE_RISK_ENGINE'!E5</f>
        <v>4</v>
      </c>
      <c r="I21">
        <f>'08_GDE_RISK_ENGINE'!F5</f>
        <v>5</v>
      </c>
      <c r="J21" t="str">
        <f>'08_GDE_RISK_ENGINE'!G5</f>
        <v>Extreme High</v>
      </c>
      <c r="K21" t="str">
        <f>'08_GDE_RISK_ENGINE'!H5</f>
        <v>C1</v>
      </c>
      <c r="L21" t="str">
        <f>'08_GDE_RISK_ENGINE'!I5</f>
        <v>IN</v>
      </c>
      <c r="M21">
        <f>'09_INSPECTION_STRATEGY'!G5</f>
        <v>0.5</v>
      </c>
      <c r="N21" t="str">
        <f>'09_INSPECTION_STRATEGY'!H5</f>
        <v>UT Scan + VT</v>
      </c>
      <c r="O21" t="e">
        <f>Proposed</f>
        <v>#NAME?</v>
      </c>
    </row>
    <row r="22" spans="1:16">
      <c r="A22" t="s">
        <v>1513</v>
      </c>
      <c r="B22" t="s">
        <v>138</v>
      </c>
      <c r="C22" t="s">
        <v>138</v>
      </c>
      <c r="D22" t="str">
        <f>'08_GDE_RISK_ENGINE'!A6</f>
        <v>P2LBA11 BR011</v>
      </c>
      <c r="E22" t="str">
        <f>'08_GDE_RISK_ENGINE'!B6</f>
        <v>Piping</v>
      </c>
      <c r="F22" t="str">
        <f>'08_GDE_RISK_ENGINE'!C6</f>
        <v>SAGS</v>
      </c>
      <c r="G22" t="str">
        <f>'08_GDE_RISK_ENGINE'!D6</f>
        <v>CL-SAGS-LBA-STEAM-CS-LG-T3_150C_PLUS</v>
      </c>
      <c r="H22">
        <f>'08_GDE_RISK_ENGINE'!E6</f>
        <v>4</v>
      </c>
      <c r="I22">
        <f>'08_GDE_RISK_ENGINE'!F6</f>
        <v>5</v>
      </c>
      <c r="J22" t="str">
        <f>'08_GDE_RISK_ENGINE'!G6</f>
        <v>Extreme High</v>
      </c>
      <c r="K22" t="str">
        <f>'08_GDE_RISK_ENGINE'!H6</f>
        <v>C1</v>
      </c>
      <c r="L22" t="str">
        <f>'08_GDE_RISK_ENGINE'!I6</f>
        <v>IN</v>
      </c>
      <c r="M22">
        <f>'09_INSPECTION_STRATEGY'!G6</f>
        <v>0.5</v>
      </c>
      <c r="N22" t="str">
        <f>'09_INSPECTION_STRATEGY'!H6</f>
        <v>UT Scan + VT</v>
      </c>
      <c r="O22" t="e">
        <f>Proposed</f>
        <v>#NAME?</v>
      </c>
    </row>
    <row r="23" spans="1:16">
      <c r="A23" t="s">
        <v>1514</v>
      </c>
      <c r="B23" t="s">
        <v>138</v>
      </c>
      <c r="C23" t="s">
        <v>138</v>
      </c>
      <c r="D23" t="str">
        <f>'08_GDE_RISK_ENGINE'!A7</f>
        <v>P2LBA11 BR003</v>
      </c>
      <c r="E23" t="str">
        <f>'08_GDE_RISK_ENGINE'!B7</f>
        <v>Piping</v>
      </c>
      <c r="F23" t="str">
        <f>'08_GDE_RISK_ENGINE'!C7</f>
        <v>SAGS</v>
      </c>
      <c r="G23" t="str">
        <f>'08_GDE_RISK_ENGINE'!D7</f>
        <v>CL-SAGS-LBA-STEAM-CS-LG-T3_150C_PLUS</v>
      </c>
      <c r="H23">
        <f>'08_GDE_RISK_ENGINE'!E7</f>
        <v>4</v>
      </c>
      <c r="I23">
        <f>'08_GDE_RISK_ENGINE'!F7</f>
        <v>5</v>
      </c>
      <c r="J23" t="str">
        <f>'08_GDE_RISK_ENGINE'!G7</f>
        <v>Extreme High</v>
      </c>
      <c r="K23" t="str">
        <f>'08_GDE_RISK_ENGINE'!H7</f>
        <v>C1</v>
      </c>
      <c r="L23" t="str">
        <f>'08_GDE_RISK_ENGINE'!I7</f>
        <v>IN</v>
      </c>
      <c r="M23">
        <f>'09_INSPECTION_STRATEGY'!G7</f>
        <v>0.5</v>
      </c>
      <c r="N23" t="str">
        <f>'09_INSPECTION_STRATEGY'!H7</f>
        <v>UT Scan + VT</v>
      </c>
      <c r="O23" t="e">
        <f>Proposed</f>
        <v>#NAME?</v>
      </c>
    </row>
    <row r="24" spans="1:16">
      <c r="A24" t="s">
        <v>1515</v>
      </c>
      <c r="B24" t="s">
        <v>138</v>
      </c>
      <c r="C24" t="s">
        <v>138</v>
      </c>
      <c r="D24" t="str">
        <f>'08_GDE_RISK_ENGINE'!A8</f>
        <v>P2LBA11 BR010</v>
      </c>
      <c r="E24" t="str">
        <f>'08_GDE_RISK_ENGINE'!B8</f>
        <v>Piping</v>
      </c>
      <c r="F24" t="str">
        <f>'08_GDE_RISK_ENGINE'!C8</f>
        <v>SAGS</v>
      </c>
      <c r="G24" t="str">
        <f>'08_GDE_RISK_ENGINE'!D8</f>
        <v>CL-SAGS-LBA-STEAM-CS-LG-T3_150C_PLUS</v>
      </c>
      <c r="H24">
        <f>'08_GDE_RISK_ENGINE'!E8</f>
        <v>4</v>
      </c>
      <c r="I24">
        <f>'08_GDE_RISK_ENGINE'!F8</f>
        <v>5</v>
      </c>
      <c r="J24" t="str">
        <f>'08_GDE_RISK_ENGINE'!G8</f>
        <v>Extreme High</v>
      </c>
      <c r="K24" t="str">
        <f>'08_GDE_RISK_ENGINE'!H8</f>
        <v>C1</v>
      </c>
      <c r="L24" t="str">
        <f>'08_GDE_RISK_ENGINE'!I8</f>
        <v>IN</v>
      </c>
      <c r="M24">
        <f>'09_INSPECTION_STRATEGY'!G8</f>
        <v>0.5</v>
      </c>
      <c r="N24" t="str">
        <f>'09_INSPECTION_STRATEGY'!H8</f>
        <v>UT Scan + VT</v>
      </c>
      <c r="O24" t="e">
        <f>Proposed</f>
        <v>#NAME?</v>
      </c>
    </row>
    <row r="25" spans="1:16">
      <c r="A25" t="s">
        <v>1516</v>
      </c>
      <c r="B25" t="s">
        <v>138</v>
      </c>
      <c r="C25" t="s">
        <v>138</v>
      </c>
      <c r="D25" t="str">
        <f>'08_GDE_RISK_ENGINE'!A9</f>
        <v>P2LBA11 BR301</v>
      </c>
      <c r="E25" t="str">
        <f>'08_GDE_RISK_ENGINE'!B9</f>
        <v>Piping</v>
      </c>
      <c r="F25" t="str">
        <f>'08_GDE_RISK_ENGINE'!C9</f>
        <v>SAGS</v>
      </c>
      <c r="G25" t="str">
        <f>'08_GDE_RISK_ENGINE'!D9</f>
        <v>CL-SAGS-LBA-STEAM-CS-LG-T3_150C_PLUS</v>
      </c>
      <c r="H25">
        <f>'08_GDE_RISK_ENGINE'!E9</f>
        <v>4</v>
      </c>
      <c r="I25">
        <f>'08_GDE_RISK_ENGINE'!F9</f>
        <v>5</v>
      </c>
      <c r="J25" t="str">
        <f>'08_GDE_RISK_ENGINE'!G9</f>
        <v>Extreme High</v>
      </c>
      <c r="K25" t="str">
        <f>'08_GDE_RISK_ENGINE'!H9</f>
        <v>C1</v>
      </c>
      <c r="L25" t="str">
        <f>'08_GDE_RISK_ENGINE'!I9</f>
        <v>IN</v>
      </c>
      <c r="M25">
        <f>'09_INSPECTION_STRATEGY'!G9</f>
        <v>0.5</v>
      </c>
      <c r="N25" t="str">
        <f>'09_INSPECTION_STRATEGY'!H9</f>
        <v>UT Scan + VT</v>
      </c>
      <c r="O25" t="e">
        <f>Proposed</f>
        <v>#NAME?</v>
      </c>
    </row>
    <row r="26" spans="1:16">
      <c r="A26" t="s">
        <v>1517</v>
      </c>
      <c r="B26" t="s">
        <v>138</v>
      </c>
      <c r="C26" t="s">
        <v>138</v>
      </c>
      <c r="D26" t="str">
        <f>'08_GDE_RISK_ENGINE'!A10</f>
        <v>P2LBA12 BR001</v>
      </c>
      <c r="E26" t="str">
        <f>'08_GDE_RISK_ENGINE'!B10</f>
        <v>Piping</v>
      </c>
      <c r="F26" t="str">
        <f>'08_GDE_RISK_ENGINE'!C10</f>
        <v>SAGS</v>
      </c>
      <c r="G26" t="str">
        <f>'08_GDE_RISK_ENGINE'!D10</f>
        <v>CL-SAGS-LBA-STEAM-CS-V-T3_150C_PLUS</v>
      </c>
      <c r="H26">
        <f>'08_GDE_RISK_ENGINE'!E10</f>
        <v>2</v>
      </c>
      <c r="I26">
        <f>'08_GDE_RISK_ENGINE'!F10</f>
        <v>5</v>
      </c>
      <c r="J26" t="str">
        <f>'08_GDE_RISK_ENGINE'!G10</f>
        <v>High</v>
      </c>
      <c r="K26" t="str">
        <f>'08_GDE_RISK_ENGINE'!H10</f>
        <v>C1</v>
      </c>
      <c r="L26" t="str">
        <f>'08_GDE_RISK_ENGINE'!I10</f>
        <v>IN</v>
      </c>
      <c r="M26">
        <f>'09_INSPECTION_STRATEGY'!G10</f>
        <v>0.5</v>
      </c>
      <c r="N26" t="str">
        <f>'09_INSPECTION_STRATEGY'!H10</f>
        <v>VT + CUI screening</v>
      </c>
      <c r="O26" t="e">
        <f>Proposed</f>
        <v>#NAME?</v>
      </c>
    </row>
    <row r="27" spans="1:16">
      <c r="A27" t="s">
        <v>1518</v>
      </c>
      <c r="B27" t="s">
        <v>138</v>
      </c>
      <c r="C27" t="s">
        <v>138</v>
      </c>
      <c r="D27" t="str">
        <f>'08_GDE_RISK_ENGINE'!A11</f>
        <v>P2LBA12 BR501</v>
      </c>
      <c r="E27" t="str">
        <f>'08_GDE_RISK_ENGINE'!B11</f>
        <v>Piping</v>
      </c>
      <c r="F27" t="str">
        <f>'08_GDE_RISK_ENGINE'!C11</f>
        <v>SAGS</v>
      </c>
      <c r="G27" t="str">
        <f>'08_GDE_RISK_ENGINE'!D11</f>
        <v>CL-SAGS-LBA-STEAM-CS-V-T3_150C_PLUS</v>
      </c>
      <c r="H27">
        <f>'08_GDE_RISK_ENGINE'!E11</f>
        <v>2</v>
      </c>
      <c r="I27">
        <f>'08_GDE_RISK_ENGINE'!F11</f>
        <v>5</v>
      </c>
      <c r="J27" t="str">
        <f>'08_GDE_RISK_ENGINE'!G11</f>
        <v>High</v>
      </c>
      <c r="K27" t="str">
        <f>'08_GDE_RISK_ENGINE'!H11</f>
        <v>C1</v>
      </c>
      <c r="L27" t="str">
        <f>'08_GDE_RISK_ENGINE'!I11</f>
        <v>IN</v>
      </c>
      <c r="M27">
        <f>'09_INSPECTION_STRATEGY'!G11</f>
        <v>0.5</v>
      </c>
      <c r="N27" t="str">
        <f>'09_INSPECTION_STRATEGY'!H11</f>
        <v>VT + CUI screening</v>
      </c>
      <c r="O27" t="e">
        <f>Proposed</f>
        <v>#NAME?</v>
      </c>
    </row>
    <row r="28" spans="1:16">
      <c r="D28" t="str">
        <f>'08_GDE_RISK_ENGINE'!A12</f>
        <v>P2LBA12 BR011</v>
      </c>
      <c r="E28" t="str">
        <f>'08_GDE_RISK_ENGINE'!B12</f>
        <v>Piping</v>
      </c>
      <c r="F28" t="str">
        <f>'08_GDE_RISK_ENGINE'!C12</f>
        <v>SAGS</v>
      </c>
      <c r="G28" t="str">
        <f>'08_GDE_RISK_ENGINE'!D12</f>
        <v>CL-SAGS-LBA-STEAM-CS-V-T3_150C_PLUS</v>
      </c>
      <c r="H28">
        <f>'08_GDE_RISK_ENGINE'!E12</f>
        <v>2</v>
      </c>
      <c r="I28">
        <f>'08_GDE_RISK_ENGINE'!F12</f>
        <v>5</v>
      </c>
      <c r="J28" t="str">
        <f>'08_GDE_RISK_ENGINE'!G12</f>
        <v>High</v>
      </c>
      <c r="K28" t="str">
        <f>'08_GDE_RISK_ENGINE'!H12</f>
        <v>C1</v>
      </c>
      <c r="L28" t="str">
        <f>'08_GDE_RISK_ENGINE'!I12</f>
        <v>IN</v>
      </c>
      <c r="M28">
        <f>'09_INSPECTION_STRATEGY'!G12</f>
        <v>0.5</v>
      </c>
      <c r="N28" t="str">
        <f>'09_INSPECTION_STRATEGY'!H12</f>
        <v>VT + CUI screening</v>
      </c>
      <c r="O28" t="e">
        <f>Proposed</f>
        <v>#NAME?</v>
      </c>
    </row>
    <row r="29" spans="1:16">
      <c r="D29" t="str">
        <f>'08_GDE_RISK_ENGINE'!A13</f>
        <v>P2LBA12 BR003</v>
      </c>
      <c r="E29" t="str">
        <f>'08_GDE_RISK_ENGINE'!B13</f>
        <v>Piping</v>
      </c>
      <c r="F29" t="str">
        <f>'08_GDE_RISK_ENGINE'!C13</f>
        <v>SAGS</v>
      </c>
      <c r="G29" t="str">
        <f>'08_GDE_RISK_ENGINE'!D13</f>
        <v>CL-SAGS-LBA-STEAM-CS-V-T3_150C_PLUS</v>
      </c>
      <c r="H29">
        <f>'08_GDE_RISK_ENGINE'!E13</f>
        <v>2</v>
      </c>
      <c r="I29">
        <f>'08_GDE_RISK_ENGINE'!F13</f>
        <v>5</v>
      </c>
      <c r="J29" t="str">
        <f>'08_GDE_RISK_ENGINE'!G13</f>
        <v>High</v>
      </c>
      <c r="K29" t="str">
        <f>'08_GDE_RISK_ENGINE'!H13</f>
        <v>C1</v>
      </c>
      <c r="L29" t="str">
        <f>'08_GDE_RISK_ENGINE'!I13</f>
        <v>IN</v>
      </c>
      <c r="M29">
        <f>'09_INSPECTION_STRATEGY'!G13</f>
        <v>0.5</v>
      </c>
      <c r="N29" t="str">
        <f>'09_INSPECTION_STRATEGY'!H13</f>
        <v>VT + CUI screening</v>
      </c>
      <c r="O29" t="e">
        <f>Proposed</f>
        <v>#NAME?</v>
      </c>
    </row>
    <row r="30" spans="1:16">
      <c r="D30" t="str">
        <f>'08_GDE_RISK_ENGINE'!A14</f>
        <v>P2LBA12 BR010</v>
      </c>
      <c r="E30" t="str">
        <f>'08_GDE_RISK_ENGINE'!B14</f>
        <v>Piping</v>
      </c>
      <c r="F30" t="str">
        <f>'08_GDE_RISK_ENGINE'!C14</f>
        <v>SAGS</v>
      </c>
      <c r="G30" t="str">
        <f>'08_GDE_RISK_ENGINE'!D14</f>
        <v>CL-SAGS-LBA-STEAM-CS-V-T3_150C_PLUS</v>
      </c>
      <c r="H30">
        <f>'08_GDE_RISK_ENGINE'!E14</f>
        <v>2</v>
      </c>
      <c r="I30">
        <f>'08_GDE_RISK_ENGINE'!F14</f>
        <v>5</v>
      </c>
      <c r="J30" t="str">
        <f>'08_GDE_RISK_ENGINE'!G14</f>
        <v>High</v>
      </c>
      <c r="K30" t="str">
        <f>'08_GDE_RISK_ENGINE'!H14</f>
        <v>C1</v>
      </c>
      <c r="L30" t="str">
        <f>'08_GDE_RISK_ENGINE'!I14</f>
        <v>IN</v>
      </c>
      <c r="M30">
        <f>'09_INSPECTION_STRATEGY'!G14</f>
        <v>0.5</v>
      </c>
      <c r="N30" t="str">
        <f>'09_INSPECTION_STRATEGY'!H14</f>
        <v>VT + CUI screening</v>
      </c>
      <c r="O30" t="e">
        <f>Proposed</f>
        <v>#NAME?</v>
      </c>
    </row>
    <row r="31" spans="1:16">
      <c r="D31" t="str">
        <f>'08_GDE_RISK_ENGINE'!A15</f>
        <v>P2LBA12 BR301</v>
      </c>
      <c r="E31" t="str">
        <f>'08_GDE_RISK_ENGINE'!B15</f>
        <v>Piping</v>
      </c>
      <c r="F31" t="str">
        <f>'08_GDE_RISK_ENGINE'!C15</f>
        <v>SAGS</v>
      </c>
      <c r="G31" t="str">
        <f>'08_GDE_RISK_ENGINE'!D15</f>
        <v>CL-SAGS-LBA-STEAM-CS-V-T3_150C_PLUS</v>
      </c>
      <c r="H31">
        <f>'08_GDE_RISK_ENGINE'!E15</f>
        <v>2</v>
      </c>
      <c r="I31">
        <f>'08_GDE_RISK_ENGINE'!F15</f>
        <v>5</v>
      </c>
      <c r="J31" t="str">
        <f>'08_GDE_RISK_ENGINE'!G15</f>
        <v>High</v>
      </c>
      <c r="K31" t="str">
        <f>'08_GDE_RISK_ENGINE'!H15</f>
        <v>C1</v>
      </c>
      <c r="L31" t="str">
        <f>'08_GDE_RISK_ENGINE'!I15</f>
        <v>IN</v>
      </c>
      <c r="M31">
        <f>'09_INSPECTION_STRATEGY'!G15</f>
        <v>0.5</v>
      </c>
      <c r="N31" t="str">
        <f>'09_INSPECTION_STRATEGY'!H15</f>
        <v>VT + CUI screening</v>
      </c>
      <c r="O31" t="e">
        <f>Proposed</f>
        <v>#NAME?</v>
      </c>
    </row>
    <row r="32" spans="1:16">
      <c r="D32" t="str">
        <f>'08_GDE_RISK_ENGINE'!A16</f>
        <v>P2LBA13 BR001</v>
      </c>
      <c r="E32" t="str">
        <f>'08_GDE_RISK_ENGINE'!B16</f>
        <v>Piping</v>
      </c>
      <c r="F32" t="str">
        <f>'08_GDE_RISK_ENGINE'!C16</f>
        <v>SAGS</v>
      </c>
      <c r="G32" t="str">
        <f>'08_GDE_RISK_ENGINE'!D16</f>
        <v>CL-SAGS-LBA-STEAM-CS-V-T3_150C_PLUS</v>
      </c>
      <c r="H32">
        <f>'08_GDE_RISK_ENGINE'!E16</f>
        <v>2</v>
      </c>
      <c r="I32">
        <f>'08_GDE_RISK_ENGINE'!F16</f>
        <v>5</v>
      </c>
      <c r="J32" t="str">
        <f>'08_GDE_RISK_ENGINE'!G16</f>
        <v>High</v>
      </c>
      <c r="K32" t="str">
        <f>'08_GDE_RISK_ENGINE'!H16</f>
        <v>C1</v>
      </c>
      <c r="L32" t="str">
        <f>'08_GDE_RISK_ENGINE'!I16</f>
        <v>IN</v>
      </c>
      <c r="M32">
        <f>'09_INSPECTION_STRATEGY'!G16</f>
        <v>0.5</v>
      </c>
      <c r="N32" t="str">
        <f>'09_INSPECTION_STRATEGY'!H16</f>
        <v>VT + CUI screening</v>
      </c>
      <c r="O32" t="e">
        <f>Proposed</f>
        <v>#NAME?</v>
      </c>
    </row>
    <row r="40" spans="4:16">
      <c r="D40" t="s">
        <v>1519</v>
      </c>
      <c r="E40" t="s">
        <v>138</v>
      </c>
      <c r="F40" t="s">
        <v>138</v>
      </c>
      <c r="G40" t="s">
        <v>138</v>
      </c>
      <c r="H40" t="s">
        <v>138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  <c r="O40" t="s">
        <v>138</v>
      </c>
      <c r="P40" t="s">
        <v>138</v>
      </c>
    </row>
    <row r="41" spans="4:16">
      <c r="D41" t="s">
        <v>1520</v>
      </c>
      <c r="E41" t="str">
        <f>'16_RECONCILIATION_CHECK'!C13</f>
        <v>CHECK REQUIRED</v>
      </c>
      <c r="F41" t="s">
        <v>1521</v>
      </c>
      <c r="G41" t="s">
        <v>138</v>
      </c>
    </row>
    <row r="42" spans="4:16">
      <c r="D42" t="s">
        <v>1196</v>
      </c>
      <c r="E42">
        <f>'16_RECONCILIATION_CHECK'!C11</f>
        <v>0.997584541062802</v>
      </c>
      <c r="F42" t="s">
        <v>1522</v>
      </c>
      <c r="G42" t="s">
        <v>138</v>
      </c>
    </row>
    <row r="43" spans="4:16">
      <c r="D43" t="s">
        <v>1201</v>
      </c>
      <c r="E43">
        <f>'16_RECONCILIATION_CHECK'!C5</f>
        <v>414</v>
      </c>
      <c r="F43" t="s">
        <v>1523</v>
      </c>
      <c r="G43" t="s">
        <v>138</v>
      </c>
    </row>
    <row r="44" spans="4:16">
      <c r="D44" t="s">
        <v>1194</v>
      </c>
      <c r="E44">
        <f>'16_RECONCILIATION_CHECK'!C6</f>
        <v>414</v>
      </c>
      <c r="F44" t="s">
        <v>1524</v>
      </c>
      <c r="G44" t="s">
        <v>138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E14" sqref="E14"/>
    </sheetView>
  </sheetViews>
  <sheetFormatPr defaultColWidth="9" defaultRowHeight="14.5"/>
  <cols>
    <col min="1" max="1" width="18.5727272727273" customWidth="1"/>
    <col min="4" max="4" width="35.6727272727273" customWidth="1"/>
    <col min="5" max="5" width="46.9727272727273" customWidth="1"/>
    <col min="6" max="6" width="27.0454545454545" customWidth="1"/>
    <col min="7" max="7" width="5.79090909090909" customWidth="1"/>
    <col min="8" max="8" width="17.2272727272727" customWidth="1"/>
  </cols>
  <sheetData>
    <row r="1" ht="15.5" spans="1:16">
      <c r="A1" s="1" t="s">
        <v>1525</v>
      </c>
      <c r="B1" s="1" t="s">
        <v>138</v>
      </c>
      <c r="C1" s="1" t="s">
        <v>138</v>
      </c>
      <c r="D1" s="1" t="s">
        <v>138</v>
      </c>
      <c r="E1" s="1" t="s">
        <v>138</v>
      </c>
      <c r="F1" s="1" t="s">
        <v>138</v>
      </c>
      <c r="G1" s="1" t="s">
        <v>138</v>
      </c>
      <c r="H1" s="1" t="s">
        <v>138</v>
      </c>
      <c r="I1" s="1" t="s">
        <v>138</v>
      </c>
      <c r="J1" s="1" t="s">
        <v>138</v>
      </c>
      <c r="K1" s="1" t="s">
        <v>138</v>
      </c>
      <c r="L1" s="1" t="s">
        <v>138</v>
      </c>
      <c r="M1" s="1" t="s">
        <v>138</v>
      </c>
      <c r="N1" s="1" t="s">
        <v>138</v>
      </c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>
      <c r="A4" t="s">
        <v>1526</v>
      </c>
      <c r="B4" t="s">
        <v>138</v>
      </c>
      <c r="C4" t="s">
        <v>138</v>
      </c>
      <c r="D4" t="s">
        <v>1527</v>
      </c>
      <c r="E4" t="s">
        <v>138</v>
      </c>
      <c r="F4" t="s">
        <v>138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</row>
    <row r="5" spans="1:16">
      <c r="A5" t="s">
        <v>138</v>
      </c>
      <c r="B5" t="s">
        <v>138</v>
      </c>
      <c r="C5" t="s">
        <v>138</v>
      </c>
    </row>
    <row r="6" spans="1:16">
      <c r="A6" t="s">
        <v>1528</v>
      </c>
      <c r="B6" t="s">
        <v>138</v>
      </c>
      <c r="C6" t="s">
        <v>138</v>
      </c>
    </row>
    <row r="7" spans="1:16">
      <c r="A7" t="s">
        <v>1529</v>
      </c>
      <c r="B7" t="s">
        <v>138</v>
      </c>
      <c r="C7" t="s">
        <v>138</v>
      </c>
      <c r="D7" t="s">
        <v>1487</v>
      </c>
      <c r="E7" t="s">
        <v>1530</v>
      </c>
      <c r="F7" t="s">
        <v>1531</v>
      </c>
    </row>
    <row r="8" spans="1:16">
      <c r="A8" t="s">
        <v>1532</v>
      </c>
      <c r="B8" t="s">
        <v>138</v>
      </c>
      <c r="C8" t="s">
        <v>138</v>
      </c>
      <c r="D8" t="s">
        <v>1533</v>
      </c>
      <c r="E8" t="s">
        <v>1534</v>
      </c>
      <c r="F8" t="s">
        <v>1531</v>
      </c>
    </row>
    <row r="9" spans="1:16">
      <c r="A9" t="s">
        <v>1535</v>
      </c>
      <c r="B9" t="s">
        <v>138</v>
      </c>
      <c r="C9" t="s">
        <v>138</v>
      </c>
      <c r="D9" t="s">
        <v>1536</v>
      </c>
      <c r="E9" t="s">
        <v>1537</v>
      </c>
      <c r="F9" t="s">
        <v>1531</v>
      </c>
    </row>
    <row r="10" spans="1:16">
      <c r="A10" t="s">
        <v>1538</v>
      </c>
      <c r="B10" t="s">
        <v>138</v>
      </c>
      <c r="C10" t="s">
        <v>138</v>
      </c>
      <c r="D10" t="s">
        <v>1183</v>
      </c>
      <c r="E10" t="s">
        <v>1539</v>
      </c>
      <c r="F10" t="s">
        <v>1531</v>
      </c>
    </row>
    <row r="11" spans="1:16">
      <c r="A11" t="s">
        <v>1540</v>
      </c>
      <c r="B11" t="s">
        <v>138</v>
      </c>
      <c r="C11" t="s">
        <v>138</v>
      </c>
      <c r="D11" t="s">
        <v>1541</v>
      </c>
      <c r="E11" t="s">
        <v>1542</v>
      </c>
      <c r="F11" t="s">
        <v>1531</v>
      </c>
    </row>
    <row r="12" spans="1:16">
      <c r="A12" t="s">
        <v>1543</v>
      </c>
      <c r="B12" t="s">
        <v>138</v>
      </c>
      <c r="C12" t="s">
        <v>138</v>
      </c>
    </row>
    <row r="13" spans="1:16">
      <c r="A13" t="s">
        <v>138</v>
      </c>
      <c r="B13" t="s">
        <v>138</v>
      </c>
      <c r="C13" t="s">
        <v>138</v>
      </c>
    </row>
    <row r="14" spans="1:16">
      <c r="A14" t="s">
        <v>1544</v>
      </c>
      <c r="B14" t="s">
        <v>138</v>
      </c>
      <c r="C14" t="s">
        <v>138</v>
      </c>
    </row>
    <row r="15" spans="1:16">
      <c r="A15" t="s">
        <v>1545</v>
      </c>
      <c r="B15" t="s">
        <v>138</v>
      </c>
      <c r="C15" t="s">
        <v>138</v>
      </c>
    </row>
    <row r="16" spans="1:16">
      <c r="A16" t="s">
        <v>1546</v>
      </c>
      <c r="B16" t="s">
        <v>138</v>
      </c>
      <c r="C16" t="s">
        <v>138</v>
      </c>
    </row>
    <row r="17" spans="1:8">
      <c r="A17" t="s">
        <v>1547</v>
      </c>
      <c r="B17" t="s">
        <v>138</v>
      </c>
      <c r="C17" t="s">
        <v>138</v>
      </c>
    </row>
    <row r="31" spans="1:8">
      <c r="D31" t="s">
        <v>1548</v>
      </c>
      <c r="E31" t="s">
        <v>138</v>
      </c>
      <c r="F31" t="s">
        <v>138</v>
      </c>
      <c r="G31" t="s">
        <v>138</v>
      </c>
      <c r="H31" t="s">
        <v>138</v>
      </c>
    </row>
    <row r="32" spans="1:8">
      <c r="D32" t="s">
        <v>102</v>
      </c>
      <c r="E32" t="s">
        <v>195</v>
      </c>
      <c r="F32" t="s">
        <v>1549</v>
      </c>
      <c r="G32" t="s">
        <v>1064</v>
      </c>
      <c r="H32" t="s">
        <v>1550</v>
      </c>
    </row>
    <row r="33" spans="4:8">
      <c r="D33" t="s">
        <v>199</v>
      </c>
      <c r="E33">
        <f>COUNTIF('08_GDE_RISK_ENGINE'!G:G,"Extreme High")</f>
        <v>23</v>
      </c>
      <c r="F33" t="s">
        <v>1551</v>
      </c>
      <c r="G33" t="s">
        <v>1552</v>
      </c>
      <c r="H33" t="s">
        <v>1553</v>
      </c>
    </row>
    <row r="34" spans="4:8">
      <c r="D34" t="s">
        <v>200</v>
      </c>
      <c r="E34">
        <f>COUNTIF('08_GDE_RISK_ENGINE'!G:G,"High")</f>
        <v>261</v>
      </c>
      <c r="F34" t="s">
        <v>1554</v>
      </c>
      <c r="G34" t="s">
        <v>1298</v>
      </c>
      <c r="H34" t="s">
        <v>1487</v>
      </c>
    </row>
    <row r="35" spans="4:8">
      <c r="D35" t="s">
        <v>202</v>
      </c>
      <c r="E35">
        <f>COUNTIF('08_GDE_RISK_ENGINE'!G:G,"Medium")</f>
        <v>70</v>
      </c>
      <c r="F35" t="s">
        <v>1555</v>
      </c>
      <c r="G35" t="s">
        <v>1556</v>
      </c>
      <c r="H35" t="s">
        <v>1557</v>
      </c>
    </row>
    <row r="36" spans="4:8">
      <c r="D36" t="s">
        <v>204</v>
      </c>
      <c r="E36">
        <f>COUNTIF('08_GDE_RISK_ENGINE'!G:G,"Low")</f>
        <v>59</v>
      </c>
      <c r="F36" t="s">
        <v>1558</v>
      </c>
      <c r="G36" t="s">
        <v>1559</v>
      </c>
      <c r="H36" t="s">
        <v>1560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6" sqref="A16"/>
    </sheetView>
  </sheetViews>
  <sheetFormatPr defaultColWidth="9" defaultRowHeight="14.5"/>
  <cols>
    <col min="1" max="1" width="100.4" customWidth="1"/>
    <col min="2" max="2" width="73.6181818181818" customWidth="1"/>
    <col min="3" max="3" width="9.01818181818182" customWidth="1"/>
    <col min="4" max="4" width="5.65454545454545" customWidth="1"/>
    <col min="5" max="5" width="10.7727272727273" customWidth="1"/>
    <col min="6" max="6" width="13.4636363636364" customWidth="1"/>
    <col min="7" max="7" width="9.41818181818182" customWidth="1"/>
    <col min="8" max="8" width="14.8" customWidth="1"/>
    <col min="9" max="9" width="60.5727272727273" customWidth="1"/>
    <col min="10" max="10" width="37.4181818181818" customWidth="1"/>
    <col min="11" max="11" width="6.86363636363636" customWidth="1"/>
    <col min="12" max="12" width="5.38181818181818" customWidth="1"/>
  </cols>
  <sheetData>
    <row r="1" ht="15.5" spans="1:16">
      <c r="A1" s="1" t="s">
        <v>1561</v>
      </c>
      <c r="B1" s="1" t="s">
        <v>138</v>
      </c>
      <c r="C1" s="1" t="s">
        <v>138</v>
      </c>
      <c r="D1" s="1" t="s">
        <v>138</v>
      </c>
      <c r="E1" s="1" t="s">
        <v>138</v>
      </c>
      <c r="F1" s="1" t="s">
        <v>138</v>
      </c>
      <c r="G1" s="1" t="s">
        <v>138</v>
      </c>
      <c r="H1" s="1" t="s">
        <v>138</v>
      </c>
      <c r="I1" s="1" t="s">
        <v>138</v>
      </c>
      <c r="J1" s="1" t="s">
        <v>138</v>
      </c>
      <c r="K1" s="1" t="s">
        <v>138</v>
      </c>
      <c r="L1" s="1" t="s">
        <v>138</v>
      </c>
      <c r="M1" s="1"/>
      <c r="N1" s="1"/>
      <c r="O1" s="1"/>
      <c r="P1" s="1"/>
    </row>
    <row r="2" spans="1:16">
      <c r="A2" s="2" t="s">
        <v>138</v>
      </c>
      <c r="B2" s="2" t="s">
        <v>138</v>
      </c>
      <c r="C2" s="2" t="s">
        <v>138</v>
      </c>
      <c r="D2" s="2" t="s">
        <v>138</v>
      </c>
      <c r="E2" s="2" t="s">
        <v>138</v>
      </c>
      <c r="F2" s="2" t="s">
        <v>138</v>
      </c>
      <c r="G2" s="2" t="s">
        <v>138</v>
      </c>
      <c r="H2" s="2" t="s">
        <v>138</v>
      </c>
      <c r="I2" s="2" t="s">
        <v>138</v>
      </c>
      <c r="J2" s="2" t="s">
        <v>138</v>
      </c>
      <c r="K2" s="2" t="s">
        <v>138</v>
      </c>
      <c r="L2" s="2" t="s">
        <v>138</v>
      </c>
      <c r="M2" s="2"/>
      <c r="N2" s="2"/>
      <c r="O2" s="2"/>
      <c r="P2" s="2"/>
    </row>
    <row r="3" spans="1:16">
      <c r="A3" t="s">
        <v>1562</v>
      </c>
      <c r="B3" t="s">
        <v>138</v>
      </c>
      <c r="C3" t="s">
        <v>138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</row>
    <row r="5" spans="1:16">
      <c r="A5" t="s">
        <v>1061</v>
      </c>
      <c r="B5" t="s">
        <v>72</v>
      </c>
      <c r="C5" t="s">
        <v>207</v>
      </c>
      <c r="D5" t="s">
        <v>84</v>
      </c>
      <c r="E5" t="s">
        <v>214</v>
      </c>
      <c r="F5" t="s">
        <v>1563</v>
      </c>
      <c r="G5" t="s">
        <v>215</v>
      </c>
      <c r="H5" t="s">
        <v>1054</v>
      </c>
      <c r="I5" t="s">
        <v>1055</v>
      </c>
      <c r="J5" t="s">
        <v>1564</v>
      </c>
      <c r="K5" t="s">
        <v>185</v>
      </c>
      <c r="L5" t="s">
        <v>1063</v>
      </c>
    </row>
    <row r="6" spans="1:16">
      <c r="A6">
        <f t="shared" ref="A6:A25" si="0">ROW()-5</f>
        <v>1</v>
      </c>
      <c r="B6">
        <f>'09_INSPECTION_STRATEGY'!A2</f>
        <v>0</v>
      </c>
      <c r="C6">
        <f>'09_INSPECTION_STRATEGY'!B2</f>
        <v>0</v>
      </c>
      <c r="D6">
        <f>'09_INSPECTION_STRATEGY'!C2</f>
        <v>0</v>
      </c>
      <c r="E6">
        <f>'09_INSPECTION_STRATEGY'!E2</f>
        <v>0</v>
      </c>
      <c r="F6">
        <f>'09_INSPECTION_STRATEGY'!F2</f>
        <v>0</v>
      </c>
      <c r="G6">
        <f>'09_INSPECTION_STRATEGY'!G2</f>
        <v>0</v>
      </c>
      <c r="H6">
        <f>'09_INSPECTION_STRATEGY'!H2</f>
        <v>0</v>
      </c>
      <c r="I6">
        <f>'09_INSPECTION_STRATEGY'!I2</f>
        <v>0</v>
      </c>
      <c r="J6">
        <f>'09_INSPECTION_STRATEGY'!J2</f>
        <v>0</v>
      </c>
      <c r="K6" t="e">
        <f>Proposed</f>
        <v>#NAME?</v>
      </c>
    </row>
    <row r="7" spans="1:16">
      <c r="A7">
        <f t="shared" si="0"/>
        <v>2</v>
      </c>
      <c r="B7" t="str">
        <f>'09_INSPECTION_STRATEGY'!A3</f>
        <v>Asset Tag</v>
      </c>
      <c r="C7" t="str">
        <f>'09_INSPECTION_STRATEGY'!B3</f>
        <v>Asset Type</v>
      </c>
      <c r="D7" t="str">
        <f>'09_INSPECTION_STRATEGY'!C3</f>
        <v>System</v>
      </c>
      <c r="E7" t="str">
        <f>'09_INSPECTION_STRATEGY'!E3</f>
        <v>Risk Level</v>
      </c>
      <c r="F7" t="str">
        <f>'09_INSPECTION_STRATEGY'!F3</f>
        <v>Confidence Level</v>
      </c>
      <c r="G7" t="str">
        <f>'09_INSPECTION_STRATEGY'!G3</f>
        <v>Interval (yr)</v>
      </c>
      <c r="H7" t="str">
        <f>'09_INSPECTION_STRATEGY'!H3</f>
        <v>Method</v>
      </c>
      <c r="I7" t="str">
        <f>'09_INSPECTION_STRATEGY'!I3</f>
        <v>TML / Focus Area</v>
      </c>
      <c r="J7" t="str">
        <f>'09_INSPECTION_STRATEGY'!J3</f>
        <v>Basis</v>
      </c>
      <c r="K7" t="e">
        <f>Proposed</f>
        <v>#NAME?</v>
      </c>
    </row>
    <row r="8" spans="1:16">
      <c r="A8">
        <f t="shared" si="0"/>
        <v>3</v>
      </c>
      <c r="B8" t="str">
        <f>'09_INSPECTION_STRATEGY'!A4</f>
        <v>P2LBA11 BR001</v>
      </c>
      <c r="C8" t="str">
        <f>'09_INSPECTION_STRATEGY'!B4</f>
        <v>Piping</v>
      </c>
      <c r="D8" t="str">
        <f>'09_INSPECTION_STRATEGY'!C4</f>
        <v>SAGS</v>
      </c>
      <c r="E8" t="str">
        <f>'09_INSPECTION_STRATEGY'!E4</f>
        <v>Extreme High</v>
      </c>
      <c r="F8">
        <f>'09_INSPECTION_STRATEGY'!F4</f>
        <v>4</v>
      </c>
      <c r="G8">
        <f>'09_INSPECTION_STRATEGY'!G4</f>
        <v>0.5</v>
      </c>
      <c r="H8" t="str">
        <f>'09_INSPECTION_STRATEGY'!H4</f>
        <v>UT Scan + VT</v>
      </c>
      <c r="I8" t="str">
        <f>'09_INSPECTION_STRATEGY'!I4</f>
        <v>Bends, reducers, low points, drain/deadleg, nozzles, insulation damage area</v>
      </c>
      <c r="J8" t="str">
        <f>'09_INSPECTION_STRATEGY'!J4</f>
        <v>CO2 corrosion; Erosion-corrosion / FAC; CUI</v>
      </c>
      <c r="K8" t="e">
        <f>Proposed</f>
        <v>#NAME?</v>
      </c>
    </row>
    <row r="9" spans="1:16">
      <c r="A9">
        <f t="shared" si="0"/>
        <v>4</v>
      </c>
      <c r="B9" t="str">
        <f>'09_INSPECTION_STRATEGY'!A5</f>
        <v>P2LBA11 BR501</v>
      </c>
      <c r="C9" t="str">
        <f>'09_INSPECTION_STRATEGY'!B5</f>
        <v>Piping</v>
      </c>
      <c r="D9" t="str">
        <f>'09_INSPECTION_STRATEGY'!C5</f>
        <v>SAGS</v>
      </c>
      <c r="E9" t="str">
        <f>'09_INSPECTION_STRATEGY'!E5</f>
        <v>Extreme High</v>
      </c>
      <c r="F9">
        <f>'09_INSPECTION_STRATEGY'!F5</f>
        <v>4</v>
      </c>
      <c r="G9">
        <f>'09_INSPECTION_STRATEGY'!G5</f>
        <v>0.5</v>
      </c>
      <c r="H9" t="str">
        <f>'09_INSPECTION_STRATEGY'!H5</f>
        <v>UT Scan + VT</v>
      </c>
      <c r="I9" t="str">
        <f>'09_INSPECTION_STRATEGY'!I5</f>
        <v>Bends, reducers, low points, drain/deadleg, nozzles, insulation damage area</v>
      </c>
      <c r="J9" t="str">
        <f>'09_INSPECTION_STRATEGY'!J5</f>
        <v>CO2 corrosion; Erosion-corrosion / FAC; CUI</v>
      </c>
      <c r="K9" t="e">
        <f>Proposed</f>
        <v>#NAME?</v>
      </c>
    </row>
    <row r="10" spans="1:16">
      <c r="A10">
        <f t="shared" si="0"/>
        <v>5</v>
      </c>
      <c r="B10" t="str">
        <f>'09_INSPECTION_STRATEGY'!A6</f>
        <v>P2LBA11 BR011</v>
      </c>
      <c r="C10" t="str">
        <f>'09_INSPECTION_STRATEGY'!B6</f>
        <v>Piping</v>
      </c>
      <c r="D10" t="str">
        <f>'09_INSPECTION_STRATEGY'!C6</f>
        <v>SAGS</v>
      </c>
      <c r="E10" t="str">
        <f>'09_INSPECTION_STRATEGY'!E6</f>
        <v>Extreme High</v>
      </c>
      <c r="F10">
        <f>'09_INSPECTION_STRATEGY'!F6</f>
        <v>4</v>
      </c>
      <c r="G10">
        <f>'09_INSPECTION_STRATEGY'!G6</f>
        <v>0.5</v>
      </c>
      <c r="H10" t="str">
        <f>'09_INSPECTION_STRATEGY'!H6</f>
        <v>UT Scan + VT</v>
      </c>
      <c r="I10" t="str">
        <f>'09_INSPECTION_STRATEGY'!I6</f>
        <v>Bends, reducers, low points, drain/deadleg, nozzles, insulation damage area</v>
      </c>
      <c r="J10" t="str">
        <f>'09_INSPECTION_STRATEGY'!J6</f>
        <v>CO2 corrosion; Erosion-corrosion / FAC; CUI</v>
      </c>
      <c r="K10" t="e">
        <f>Proposed</f>
        <v>#NAME?</v>
      </c>
    </row>
    <row r="11" spans="1:16">
      <c r="A11">
        <f t="shared" si="0"/>
        <v>6</v>
      </c>
      <c r="B11" t="str">
        <f>'09_INSPECTION_STRATEGY'!A7</f>
        <v>P2LBA11 BR003</v>
      </c>
      <c r="C11" t="str">
        <f>'09_INSPECTION_STRATEGY'!B7</f>
        <v>Piping</v>
      </c>
      <c r="D11" t="str">
        <f>'09_INSPECTION_STRATEGY'!C7</f>
        <v>SAGS</v>
      </c>
      <c r="E11" t="str">
        <f>'09_INSPECTION_STRATEGY'!E7</f>
        <v>Extreme High</v>
      </c>
      <c r="F11">
        <f>'09_INSPECTION_STRATEGY'!F7</f>
        <v>4</v>
      </c>
      <c r="G11">
        <f>'09_INSPECTION_STRATEGY'!G7</f>
        <v>0.5</v>
      </c>
      <c r="H11" t="str">
        <f>'09_INSPECTION_STRATEGY'!H7</f>
        <v>UT Scan + VT</v>
      </c>
      <c r="I11" t="str">
        <f>'09_INSPECTION_STRATEGY'!I7</f>
        <v>Bends, reducers, low points, drain/deadleg, nozzles, insulation damage area</v>
      </c>
      <c r="J11" t="str">
        <f>'09_INSPECTION_STRATEGY'!J7</f>
        <v>CO2 corrosion; Erosion-corrosion / FAC; CUI</v>
      </c>
      <c r="K11" t="e">
        <f>Proposed</f>
        <v>#NAME?</v>
      </c>
    </row>
    <row r="12" spans="1:16">
      <c r="A12">
        <f t="shared" si="0"/>
        <v>7</v>
      </c>
      <c r="B12" t="str">
        <f>'09_INSPECTION_STRATEGY'!A8</f>
        <v>P2LBA11 BR010</v>
      </c>
      <c r="C12" t="str">
        <f>'09_INSPECTION_STRATEGY'!B8</f>
        <v>Piping</v>
      </c>
      <c r="D12" t="str">
        <f>'09_INSPECTION_STRATEGY'!C8</f>
        <v>SAGS</v>
      </c>
      <c r="E12" t="str">
        <f>'09_INSPECTION_STRATEGY'!E8</f>
        <v>Extreme High</v>
      </c>
      <c r="F12">
        <f>'09_INSPECTION_STRATEGY'!F8</f>
        <v>4</v>
      </c>
      <c r="G12">
        <f>'09_INSPECTION_STRATEGY'!G8</f>
        <v>0.5</v>
      </c>
      <c r="H12" t="str">
        <f>'09_INSPECTION_STRATEGY'!H8</f>
        <v>UT Scan + VT</v>
      </c>
      <c r="I12" t="str">
        <f>'09_INSPECTION_STRATEGY'!I8</f>
        <v>Bends, reducers, low points, drain/deadleg, nozzles, insulation damage area</v>
      </c>
      <c r="J12" t="str">
        <f>'09_INSPECTION_STRATEGY'!J8</f>
        <v>CO2 corrosion; Erosion-corrosion / FAC; CUI</v>
      </c>
      <c r="K12" t="e">
        <f>Proposed</f>
        <v>#NAME?</v>
      </c>
    </row>
    <row r="13" spans="1:16">
      <c r="A13">
        <f t="shared" si="0"/>
        <v>8</v>
      </c>
      <c r="B13" t="str">
        <f>'09_INSPECTION_STRATEGY'!A9</f>
        <v>P2LBA11 BR301</v>
      </c>
      <c r="C13" t="str">
        <f>'09_INSPECTION_STRATEGY'!B9</f>
        <v>Piping</v>
      </c>
      <c r="D13" t="str">
        <f>'09_INSPECTION_STRATEGY'!C9</f>
        <v>SAGS</v>
      </c>
      <c r="E13" t="str">
        <f>'09_INSPECTION_STRATEGY'!E9</f>
        <v>Extreme High</v>
      </c>
      <c r="F13">
        <f>'09_INSPECTION_STRATEGY'!F9</f>
        <v>4</v>
      </c>
      <c r="G13">
        <f>'09_INSPECTION_STRATEGY'!G9</f>
        <v>0.5</v>
      </c>
      <c r="H13" t="str">
        <f>'09_INSPECTION_STRATEGY'!H9</f>
        <v>UT Scan + VT</v>
      </c>
      <c r="I13" t="str">
        <f>'09_INSPECTION_STRATEGY'!I9</f>
        <v>Bends, reducers, low points, drain/deadleg, nozzles, insulation damage area</v>
      </c>
      <c r="J13" t="str">
        <f>'09_INSPECTION_STRATEGY'!J9</f>
        <v>CO2 corrosion; Erosion-corrosion / FAC; CUI</v>
      </c>
      <c r="K13" t="e">
        <f>Proposed</f>
        <v>#NAME?</v>
      </c>
    </row>
    <row r="14" spans="1:16">
      <c r="A14">
        <f t="shared" si="0"/>
        <v>9</v>
      </c>
      <c r="B14" t="str">
        <f>'09_INSPECTION_STRATEGY'!A10</f>
        <v>P2LBA12 BR001</v>
      </c>
      <c r="C14" t="str">
        <f>'09_INSPECTION_STRATEGY'!B10</f>
        <v>Piping</v>
      </c>
      <c r="D14" t="str">
        <f>'09_INSPECTION_STRATEGY'!C10</f>
        <v>SAGS</v>
      </c>
      <c r="E14" t="str">
        <f>'09_INSPECTION_STRATEGY'!E10</f>
        <v>High</v>
      </c>
      <c r="F14">
        <f>'09_INSPECTION_STRATEGY'!F10</f>
        <v>4</v>
      </c>
      <c r="G14">
        <f>'09_INSPECTION_STRATEGY'!G10</f>
        <v>0.5</v>
      </c>
      <c r="H14" t="str">
        <f>'09_INSPECTION_STRATEGY'!H10</f>
        <v>VT + CUI screening</v>
      </c>
      <c r="I14" t="str">
        <f>'09_INSPECTION_STRATEGY'!I10</f>
        <v>Bends, reducers, low points, drain/deadleg, nozzles, insulation damage area</v>
      </c>
      <c r="J14" t="str">
        <f>'09_INSPECTION_STRATEGY'!J10</f>
        <v>CUI; Atmospheric corrosion; Erosion (localized)</v>
      </c>
      <c r="K14" t="e">
        <f>Proposed</f>
        <v>#NAME?</v>
      </c>
    </row>
    <row r="15" spans="1:16">
      <c r="A15">
        <f t="shared" si="0"/>
        <v>10</v>
      </c>
      <c r="B15" t="str">
        <f>'09_INSPECTION_STRATEGY'!A11</f>
        <v>P2LBA12 BR501</v>
      </c>
      <c r="C15" t="str">
        <f>'09_INSPECTION_STRATEGY'!B11</f>
        <v>Piping</v>
      </c>
      <c r="D15" t="str">
        <f>'09_INSPECTION_STRATEGY'!C11</f>
        <v>SAGS</v>
      </c>
      <c r="E15" t="str">
        <f>'09_INSPECTION_STRATEGY'!E11</f>
        <v>High</v>
      </c>
      <c r="F15">
        <f>'09_INSPECTION_STRATEGY'!F11</f>
        <v>4</v>
      </c>
      <c r="G15">
        <f>'09_INSPECTION_STRATEGY'!G11</f>
        <v>0.5</v>
      </c>
      <c r="H15" t="str">
        <f>'09_INSPECTION_STRATEGY'!H11</f>
        <v>VT + CUI screening</v>
      </c>
      <c r="I15" t="str">
        <f>'09_INSPECTION_STRATEGY'!I11</f>
        <v>Bends, reducers, low points, drain/deadleg, nozzles, insulation damage area</v>
      </c>
      <c r="J15" t="str">
        <f>'09_INSPECTION_STRATEGY'!J11</f>
        <v>CUI; Atmospheric corrosion; Erosion (localized)</v>
      </c>
      <c r="K15" t="e">
        <f>Proposed</f>
        <v>#NAME?</v>
      </c>
    </row>
    <row r="16" spans="1:16">
      <c r="A16">
        <f t="shared" si="0"/>
        <v>11</v>
      </c>
      <c r="B16" t="str">
        <f>'09_INSPECTION_STRATEGY'!A12</f>
        <v>P2LBA12 BR011</v>
      </c>
      <c r="C16" t="str">
        <f>'09_INSPECTION_STRATEGY'!B12</f>
        <v>Piping</v>
      </c>
      <c r="D16" t="str">
        <f>'09_INSPECTION_STRATEGY'!C12</f>
        <v>SAGS</v>
      </c>
      <c r="E16" t="str">
        <f>'09_INSPECTION_STRATEGY'!E12</f>
        <v>High</v>
      </c>
      <c r="F16">
        <f>'09_INSPECTION_STRATEGY'!F12</f>
        <v>4</v>
      </c>
      <c r="G16">
        <f>'09_INSPECTION_STRATEGY'!G12</f>
        <v>0.5</v>
      </c>
      <c r="H16" t="str">
        <f>'09_INSPECTION_STRATEGY'!H12</f>
        <v>VT + CUI screening</v>
      </c>
      <c r="I16" t="str">
        <f>'09_INSPECTION_STRATEGY'!I12</f>
        <v>Bends, reducers, low points, drain/deadleg, nozzles, insulation damage area</v>
      </c>
      <c r="J16" t="str">
        <f>'09_INSPECTION_STRATEGY'!J12</f>
        <v>CUI; Atmospheric corrosion; Erosion (localized)</v>
      </c>
      <c r="K16" t="e">
        <f>Proposed</f>
        <v>#NAME?</v>
      </c>
    </row>
    <row r="17" spans="1:12">
      <c r="A17">
        <f t="shared" si="0"/>
        <v>12</v>
      </c>
      <c r="B17" t="str">
        <f>'09_INSPECTION_STRATEGY'!A13</f>
        <v>P2LBA12 BR003</v>
      </c>
      <c r="C17" t="str">
        <f>'09_INSPECTION_STRATEGY'!B13</f>
        <v>Piping</v>
      </c>
      <c r="D17" t="str">
        <f>'09_INSPECTION_STRATEGY'!C13</f>
        <v>SAGS</v>
      </c>
      <c r="E17" t="str">
        <f>'09_INSPECTION_STRATEGY'!E13</f>
        <v>High</v>
      </c>
      <c r="F17">
        <f>'09_INSPECTION_STRATEGY'!F13</f>
        <v>4</v>
      </c>
      <c r="G17">
        <f>'09_INSPECTION_STRATEGY'!G13</f>
        <v>0.5</v>
      </c>
      <c r="H17" t="str">
        <f>'09_INSPECTION_STRATEGY'!H13</f>
        <v>VT + CUI screening</v>
      </c>
      <c r="I17" t="str">
        <f>'09_INSPECTION_STRATEGY'!I13</f>
        <v>Bends, reducers, low points, drain/deadleg, nozzles, insulation damage area</v>
      </c>
      <c r="J17" t="str">
        <f>'09_INSPECTION_STRATEGY'!J13</f>
        <v>CUI; Atmospheric corrosion; Erosion (localized)</v>
      </c>
      <c r="K17" t="e">
        <f>Proposed</f>
        <v>#NAME?</v>
      </c>
    </row>
    <row r="18" spans="1:12">
      <c r="A18">
        <f t="shared" si="0"/>
        <v>13</v>
      </c>
      <c r="B18" t="str">
        <f>'09_INSPECTION_STRATEGY'!A14</f>
        <v>P2LBA12 BR010</v>
      </c>
      <c r="C18" t="str">
        <f>'09_INSPECTION_STRATEGY'!B14</f>
        <v>Piping</v>
      </c>
      <c r="D18" t="str">
        <f>'09_INSPECTION_STRATEGY'!C14</f>
        <v>SAGS</v>
      </c>
      <c r="E18" t="str">
        <f>'09_INSPECTION_STRATEGY'!E14</f>
        <v>High</v>
      </c>
      <c r="F18">
        <f>'09_INSPECTION_STRATEGY'!F14</f>
        <v>4</v>
      </c>
      <c r="G18">
        <f>'09_INSPECTION_STRATEGY'!G14</f>
        <v>0.5</v>
      </c>
      <c r="H18" t="str">
        <f>'09_INSPECTION_STRATEGY'!H14</f>
        <v>VT + CUI screening</v>
      </c>
      <c r="I18" t="str">
        <f>'09_INSPECTION_STRATEGY'!I14</f>
        <v>Bends, reducers, low points, drain/deadleg, nozzles, insulation damage area</v>
      </c>
      <c r="J18" t="str">
        <f>'09_INSPECTION_STRATEGY'!J14</f>
        <v>CUI; Atmospheric corrosion; Erosion (localized)</v>
      </c>
      <c r="K18" t="e">
        <f>Proposed</f>
        <v>#NAME?</v>
      </c>
    </row>
    <row r="19" spans="1:12">
      <c r="A19">
        <f t="shared" si="0"/>
        <v>14</v>
      </c>
      <c r="B19" t="str">
        <f>'09_INSPECTION_STRATEGY'!A15</f>
        <v>P2LBA12 BR301</v>
      </c>
      <c r="C19" t="str">
        <f>'09_INSPECTION_STRATEGY'!B15</f>
        <v>Piping</v>
      </c>
      <c r="D19" t="str">
        <f>'09_INSPECTION_STRATEGY'!C15</f>
        <v>SAGS</v>
      </c>
      <c r="E19" t="str">
        <f>'09_INSPECTION_STRATEGY'!E15</f>
        <v>High</v>
      </c>
      <c r="F19">
        <f>'09_INSPECTION_STRATEGY'!F15</f>
        <v>4</v>
      </c>
      <c r="G19">
        <f>'09_INSPECTION_STRATEGY'!G15</f>
        <v>0.5</v>
      </c>
      <c r="H19" t="str">
        <f>'09_INSPECTION_STRATEGY'!H15</f>
        <v>VT + CUI screening</v>
      </c>
      <c r="I19" t="str">
        <f>'09_INSPECTION_STRATEGY'!I15</f>
        <v>Bends, reducers, low points, drain/deadleg, nozzles, insulation damage area</v>
      </c>
      <c r="J19" t="str">
        <f>'09_INSPECTION_STRATEGY'!J15</f>
        <v>CUI; Atmospheric corrosion; Erosion (localized)</v>
      </c>
      <c r="K19" t="e">
        <f>Proposed</f>
        <v>#NAME?</v>
      </c>
    </row>
    <row r="20" spans="1:12">
      <c r="A20">
        <f t="shared" si="0"/>
        <v>15</v>
      </c>
      <c r="B20" t="str">
        <f>'09_INSPECTION_STRATEGY'!A16</f>
        <v>P2LBA13 BR001</v>
      </c>
      <c r="C20" t="str">
        <f>'09_INSPECTION_STRATEGY'!B16</f>
        <v>Piping</v>
      </c>
      <c r="D20" t="str">
        <f>'09_INSPECTION_STRATEGY'!C16</f>
        <v>SAGS</v>
      </c>
      <c r="E20" t="str">
        <f>'09_INSPECTION_STRATEGY'!E16</f>
        <v>High</v>
      </c>
      <c r="F20">
        <f>'09_INSPECTION_STRATEGY'!F16</f>
        <v>4</v>
      </c>
      <c r="G20">
        <f>'09_INSPECTION_STRATEGY'!G16</f>
        <v>0.5</v>
      </c>
      <c r="H20" t="str">
        <f>'09_INSPECTION_STRATEGY'!H16</f>
        <v>VT + CUI screening</v>
      </c>
      <c r="I20" t="str">
        <f>'09_INSPECTION_STRATEGY'!I16</f>
        <v>Bends, reducers, low points, drain/deadleg, nozzles, insulation damage area</v>
      </c>
      <c r="J20" t="str">
        <f>'09_INSPECTION_STRATEGY'!J16</f>
        <v>CUI; Atmospheric corrosion; Erosion (localized)</v>
      </c>
      <c r="K20" t="e">
        <f>Proposed</f>
        <v>#NAME?</v>
      </c>
    </row>
    <row r="21" spans="1:12">
      <c r="A21">
        <f t="shared" si="0"/>
        <v>16</v>
      </c>
      <c r="B21" t="str">
        <f>'09_INSPECTION_STRATEGY'!A17</f>
        <v>P2LBA13 BR501</v>
      </c>
      <c r="C21" t="str">
        <f>'09_INSPECTION_STRATEGY'!B17</f>
        <v>Piping</v>
      </c>
      <c r="D21" t="str">
        <f>'09_INSPECTION_STRATEGY'!C17</f>
        <v>SAGS</v>
      </c>
      <c r="E21" t="str">
        <f>'09_INSPECTION_STRATEGY'!E17</f>
        <v>High</v>
      </c>
      <c r="F21">
        <f>'09_INSPECTION_STRATEGY'!F17</f>
        <v>4</v>
      </c>
      <c r="G21">
        <f>'09_INSPECTION_STRATEGY'!G17</f>
        <v>0.5</v>
      </c>
      <c r="H21" t="str">
        <f>'09_INSPECTION_STRATEGY'!H17</f>
        <v>VT + CUI screening</v>
      </c>
      <c r="I21" t="str">
        <f>'09_INSPECTION_STRATEGY'!I17</f>
        <v>Bends, reducers, low points, drain/deadleg, nozzles, insulation damage area</v>
      </c>
      <c r="J21" t="str">
        <f>'09_INSPECTION_STRATEGY'!J17</f>
        <v>CUI; Atmospheric corrosion; Erosion (localized)</v>
      </c>
      <c r="K21" t="e">
        <f>Proposed</f>
        <v>#NAME?</v>
      </c>
    </row>
    <row r="22" spans="1:12">
      <c r="A22">
        <f t="shared" si="0"/>
        <v>17</v>
      </c>
      <c r="B22" t="str">
        <f>'09_INSPECTION_STRATEGY'!A18</f>
        <v>P2LBA13 BR011</v>
      </c>
      <c r="C22" t="str">
        <f>'09_INSPECTION_STRATEGY'!B18</f>
        <v>Piping</v>
      </c>
      <c r="D22" t="str">
        <f>'09_INSPECTION_STRATEGY'!C18</f>
        <v>SAGS</v>
      </c>
      <c r="E22" t="str">
        <f>'09_INSPECTION_STRATEGY'!E18</f>
        <v>High</v>
      </c>
      <c r="F22">
        <f>'09_INSPECTION_STRATEGY'!F18</f>
        <v>4</v>
      </c>
      <c r="G22">
        <f>'09_INSPECTION_STRATEGY'!G18</f>
        <v>0.5</v>
      </c>
      <c r="H22" t="str">
        <f>'09_INSPECTION_STRATEGY'!H18</f>
        <v>VT + CUI screening</v>
      </c>
      <c r="I22" t="str">
        <f>'09_INSPECTION_STRATEGY'!I18</f>
        <v>Bends, reducers, low points, drain/deadleg, nozzles, insulation damage area</v>
      </c>
      <c r="J22" t="str">
        <f>'09_INSPECTION_STRATEGY'!J18</f>
        <v>CUI; Atmospheric corrosion; Erosion (localized)</v>
      </c>
      <c r="K22" t="e">
        <f>Proposed</f>
        <v>#NAME?</v>
      </c>
    </row>
    <row r="23" spans="1:12">
      <c r="A23">
        <f t="shared" si="0"/>
        <v>18</v>
      </c>
      <c r="B23" t="str">
        <f>'09_INSPECTION_STRATEGY'!A19</f>
        <v>P2LBA13 BR003</v>
      </c>
      <c r="C23" t="str">
        <f>'09_INSPECTION_STRATEGY'!B19</f>
        <v>Piping</v>
      </c>
      <c r="D23" t="str">
        <f>'09_INSPECTION_STRATEGY'!C19</f>
        <v>SAGS</v>
      </c>
      <c r="E23" t="str">
        <f>'09_INSPECTION_STRATEGY'!E19</f>
        <v>High</v>
      </c>
      <c r="F23">
        <f>'09_INSPECTION_STRATEGY'!F19</f>
        <v>4</v>
      </c>
      <c r="G23">
        <f>'09_INSPECTION_STRATEGY'!G19</f>
        <v>0.5</v>
      </c>
      <c r="H23" t="str">
        <f>'09_INSPECTION_STRATEGY'!H19</f>
        <v>VT + CUI screening</v>
      </c>
      <c r="I23" t="str">
        <f>'09_INSPECTION_STRATEGY'!I19</f>
        <v>Bends, reducers, low points, drain/deadleg, nozzles, insulation damage area</v>
      </c>
      <c r="J23" t="str">
        <f>'09_INSPECTION_STRATEGY'!J19</f>
        <v>CUI; Atmospheric corrosion; Erosion (localized)</v>
      </c>
      <c r="K23" t="e">
        <f>Proposed</f>
        <v>#NAME?</v>
      </c>
    </row>
    <row r="24" spans="1:12">
      <c r="A24">
        <f t="shared" si="0"/>
        <v>19</v>
      </c>
      <c r="B24" t="str">
        <f>'09_INSPECTION_STRATEGY'!A20</f>
        <v>P2LBA13 BR010</v>
      </c>
      <c r="C24" t="str">
        <f>'09_INSPECTION_STRATEGY'!B20</f>
        <v>Piping</v>
      </c>
      <c r="D24" t="str">
        <f>'09_INSPECTION_STRATEGY'!C20</f>
        <v>SAGS</v>
      </c>
      <c r="E24" t="str">
        <f>'09_INSPECTION_STRATEGY'!E20</f>
        <v>High</v>
      </c>
      <c r="F24">
        <f>'09_INSPECTION_STRATEGY'!F20</f>
        <v>4</v>
      </c>
      <c r="G24">
        <f>'09_INSPECTION_STRATEGY'!G20</f>
        <v>0.5</v>
      </c>
      <c r="H24" t="str">
        <f>'09_INSPECTION_STRATEGY'!H20</f>
        <v>VT + CUI screening</v>
      </c>
      <c r="I24" t="str">
        <f>'09_INSPECTION_STRATEGY'!I20</f>
        <v>Bends, reducers, low points, drain/deadleg, nozzles, insulation damage area</v>
      </c>
      <c r="J24" t="str">
        <f>'09_INSPECTION_STRATEGY'!J20</f>
        <v>CUI; Atmospheric corrosion; Erosion (localized)</v>
      </c>
      <c r="K24" t="e">
        <f>Proposed</f>
        <v>#NAME?</v>
      </c>
    </row>
    <row r="25" spans="1:12">
      <c r="A25">
        <f t="shared" si="0"/>
        <v>20</v>
      </c>
      <c r="B25" t="str">
        <f>'09_INSPECTION_STRATEGY'!A21</f>
        <v>P2LBA13 BR301</v>
      </c>
      <c r="C25" t="str">
        <f>'09_INSPECTION_STRATEGY'!B21</f>
        <v>Piping</v>
      </c>
      <c r="D25" t="str">
        <f>'09_INSPECTION_STRATEGY'!C21</f>
        <v>SAGS</v>
      </c>
      <c r="E25" t="str">
        <f>'09_INSPECTION_STRATEGY'!E21</f>
        <v>High</v>
      </c>
      <c r="F25">
        <f>'09_INSPECTION_STRATEGY'!F21</f>
        <v>4</v>
      </c>
      <c r="G25">
        <f>'09_INSPECTION_STRATEGY'!G21</f>
        <v>0.5</v>
      </c>
      <c r="H25" t="str">
        <f>'09_INSPECTION_STRATEGY'!H21</f>
        <v>VT + CUI screening</v>
      </c>
      <c r="I25" t="str">
        <f>'09_INSPECTION_STRATEGY'!I21</f>
        <v>Bends, reducers, low points, drain/deadleg, nozzles, insulation damage area</v>
      </c>
      <c r="J25" t="str">
        <f>'09_INSPECTION_STRATEGY'!J21</f>
        <v>CUI; Atmospheric corrosion; Erosion (localized)</v>
      </c>
      <c r="K25" t="e">
        <f>Proposed</f>
        <v>#NAME?</v>
      </c>
    </row>
    <row r="28" spans="1:12">
      <c r="A28" t="s">
        <v>1565</v>
      </c>
      <c r="B28" t="s">
        <v>138</v>
      </c>
      <c r="C28" t="s">
        <v>138</v>
      </c>
      <c r="D28" t="s">
        <v>138</v>
      </c>
      <c r="E28" t="s">
        <v>138</v>
      </c>
      <c r="F28" t="s">
        <v>138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</row>
    <row r="29" spans="1:12">
      <c r="A29" t="s">
        <v>1566</v>
      </c>
      <c r="B29" t="s">
        <v>138</v>
      </c>
      <c r="C29" t="s">
        <v>1567</v>
      </c>
      <c r="D29" t="s">
        <v>138</v>
      </c>
      <c r="E29" t="s">
        <v>1568</v>
      </c>
      <c r="F29" t="s">
        <v>138</v>
      </c>
      <c r="G29" t="s">
        <v>1569</v>
      </c>
      <c r="H29" t="s">
        <v>1570</v>
      </c>
      <c r="I29" t="s">
        <v>1520</v>
      </c>
      <c r="J29" t="str">
        <f>'16_RECONCILIATION_CHECK'!C13</f>
        <v>CHECK REQUIRED</v>
      </c>
      <c r="K29" t="s">
        <v>138</v>
      </c>
      <c r="L29" t="s">
        <v>138</v>
      </c>
    </row>
    <row r="30" spans="1:12">
      <c r="A30" t="s">
        <v>1571</v>
      </c>
      <c r="B30" t="s">
        <v>138</v>
      </c>
      <c r="C30" t="s">
        <v>1571</v>
      </c>
      <c r="D30" t="s">
        <v>138</v>
      </c>
      <c r="E30" t="s">
        <v>1571</v>
      </c>
      <c r="F30" t="s">
        <v>138</v>
      </c>
      <c r="G30" t="s">
        <v>184</v>
      </c>
      <c r="H30">
        <f>'16_RECONCILIATION_CHECK'!C11</f>
        <v>0.997584541062802</v>
      </c>
      <c r="I30" t="s">
        <v>1478</v>
      </c>
      <c r="J30" t="s">
        <v>138</v>
      </c>
      <c r="K30" t="s">
        <v>138</v>
      </c>
      <c r="L30" t="s">
        <v>138</v>
      </c>
    </row>
    <row r="31" spans="1:12">
      <c r="A31" t="s">
        <v>138</v>
      </c>
      <c r="B31" t="s">
        <v>138</v>
      </c>
      <c r="C31" t="s">
        <v>138</v>
      </c>
      <c r="D31" t="s">
        <v>138</v>
      </c>
      <c r="E31" t="s">
        <v>138</v>
      </c>
      <c r="F31" t="s">
        <v>138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</row>
    <row r="32" spans="1:12">
      <c r="A32" t="s">
        <v>1572</v>
      </c>
      <c r="B32" t="s">
        <v>1573</v>
      </c>
      <c r="C32" t="s">
        <v>138</v>
      </c>
      <c r="D32" t="s">
        <v>138</v>
      </c>
      <c r="E32" t="s">
        <v>138</v>
      </c>
      <c r="F32" t="s">
        <v>138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00_COVER_LOGIN</vt:lpstr>
      <vt:lpstr>00_USER_GUIDE_FLOW</vt:lpstr>
      <vt:lpstr>00_INPUT_CONTROL_PANEL</vt:lpstr>
      <vt:lpstr>00_DASHBOARD</vt:lpstr>
      <vt:lpstr>01_ASSET_INPUT_FULL</vt:lpstr>
      <vt:lpstr>02_ASSET_HIERARCHY_FULL</vt:lpstr>
      <vt:lpstr>03_ECA_FULL</vt:lpstr>
      <vt:lpstr>04_CORROSION_LOOP_MODEL</vt:lpstr>
      <vt:lpstr>05_DAMAGE_MECHANISM_MODEL</vt:lpstr>
      <vt:lpstr>06_POF_ENGINE</vt:lpstr>
      <vt:lpstr>07_COF_ENGINE</vt:lpstr>
      <vt:lpstr>08_GDE_RISK_ENGINE</vt:lpstr>
      <vt:lpstr>09_INSPECTION_STRATEGY</vt:lpstr>
      <vt:lpstr>10_L3_UPGRADE_INPUT</vt:lpstr>
      <vt:lpstr>11_ACTION_TRACKER</vt:lpstr>
      <vt:lpstr>12_MODEL_GUIDE</vt:lpstr>
      <vt:lpstr>13_SUMMARIES</vt:lpstr>
      <vt:lpstr>97_CONTROL_LISTS</vt:lpstr>
      <vt:lpstr>98_MACRO_SETUP_GUIDE</vt:lpstr>
      <vt:lpstr>99_VBA_CODE_IMPORT</vt:lpstr>
      <vt:lpstr>15_RISK_MATRIX_LINK_DATA</vt:lpstr>
      <vt:lpstr>14_GDE_RISK_MATRIX_DASHBOARD</vt:lpstr>
      <vt:lpstr>16_RECONCILIATION_CHECK</vt:lpstr>
      <vt:lpstr>17_DASHBOARD_LINK_AUDIT</vt:lpstr>
      <vt:lpstr>99_USER_DB</vt:lpstr>
      <vt:lpstr>18_GB_CODE_MASTER</vt:lpstr>
      <vt:lpstr>21_CHANGE_LOG</vt:lpstr>
      <vt:lpstr>00_GE_SOFTWARE_VIEW</vt:lpstr>
      <vt:lpstr>22_GE_REPORTING_VIEW</vt:lpstr>
      <vt:lpstr>23_GE_INSPECTION_PLAN_VIEW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sriyanto</cp:lastModifiedBy>
  <dcterms:created xsi:type="dcterms:W3CDTF">2026-05-02T10:49:19Z</dcterms:created>
  <dcterms:modified xsi:type="dcterms:W3CDTF">2026-05-02T12:09:20Z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CD32A5C99CC54B93AB68F00B4EE07AD3_12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